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harts" sheetId="2" state="visible" r:id="rId2"/>
    <sheet xmlns:r="http://schemas.openxmlformats.org/officeDocument/2006/relationships" name="Lifting Log" sheetId="3" state="visible" r:id="rId3"/>
    <sheet xmlns:r="http://schemas.openxmlformats.org/officeDocument/2006/relationships" name="Running Log" sheetId="4" state="visible" r:id="rId4"/>
    <sheet xmlns:r="http://schemas.openxmlformats.org/officeDocument/2006/relationships" name="Body Metrics" sheetId="5" state="visible" r:id="rId5"/>
    <sheet xmlns:r="http://schemas.openxmlformats.org/officeDocument/2006/relationships" name="Personal Records" sheetId="6" state="visible" r:id="rId6"/>
    <sheet xmlns:r="http://schemas.openxmlformats.org/officeDocument/2006/relationships" name="Weekly Summary" sheetId="7" state="visible" r:id="rId7"/>
    <sheet xmlns:r="http://schemas.openxmlformats.org/officeDocument/2006/relationships" name="Progression Data" sheetId="8" state="visible" r:id="rId8"/>
    <sheet xmlns:r="http://schemas.openxmlformats.org/officeDocument/2006/relationships" name="Reference" sheetId="9" state="visible" r:id="rId9"/>
  </sheets>
  <definedNames/>
  <calcPr calcId="124519" fullCalcOnLoad="1"/>
</workbook>
</file>

<file path=xl/styles.xml><?xml version="1.0" encoding="utf-8"?>
<styleSheet xmlns="http://schemas.openxmlformats.org/spreadsheetml/2006/main">
  <numFmts count="3">
    <numFmt numFmtId="164" formatCode="0.0"/>
    <numFmt numFmtId="165" formatCode="+0.00;-0.00;0.00"/>
    <numFmt numFmtId="166" formatCode="yyyy-mm-dd"/>
  </numFmts>
  <fonts count="8">
    <font>
      <name val="Calibri"/>
      <family val="2"/>
      <color theme="1"/>
      <sz val="11"/>
      <scheme val="minor"/>
    </font>
    <font>
      <name val="Calibri"/>
      <b val="1"/>
      <color rgb="001F4E78"/>
      <sz val="18"/>
    </font>
    <font>
      <name val="Calibri"/>
      <b val="1"/>
      <color rgb="001F4E78"/>
      <sz val="13"/>
    </font>
    <font>
      <name val="Calibri"/>
      <sz val="11"/>
    </font>
    <font>
      <name val="Calibri"/>
      <b val="1"/>
      <color rgb="00FFFFFF"/>
      <sz val="12"/>
    </font>
    <font>
      <name val="Calibri"/>
      <i val="1"/>
      <color rgb="00595959"/>
      <sz val="11"/>
    </font>
    <font>
      <name val="Calibri"/>
      <b val="1"/>
      <color rgb="001F4E78"/>
      <sz val="11"/>
    </font>
    <font>
      <name val="Calibri"/>
      <b val="1"/>
      <color rgb="001F4E78"/>
      <sz val="16"/>
    </font>
  </fonts>
  <fills count="4">
    <fill>
      <patternFill/>
    </fill>
    <fill>
      <patternFill patternType="gray125"/>
    </fill>
    <fill>
      <patternFill patternType="solid">
        <fgColor rgb="001F4E78"/>
      </patternFill>
    </fill>
    <fill>
      <patternFill patternType="solid">
        <fgColor rgb="00F4F6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5" fillId="0" borderId="0" pivotButton="0" quotePrefix="0" xfId="0"/>
    <xf numFmtId="0" fontId="3" fillId="3" borderId="1" pivotButton="0" quotePrefix="0" xfId="0"/>
    <xf numFmtId="1" fontId="6" fillId="3" borderId="1" applyAlignment="1" pivotButton="0" quotePrefix="0" xfId="0">
      <alignment horizontal="right"/>
    </xf>
    <xf numFmtId="0" fontId="3" fillId="0" borderId="1" pivotButton="0" quotePrefix="0" xfId="0"/>
    <xf numFmtId="1" fontId="6" fillId="0" borderId="1" applyAlignment="1" pivotButton="0" quotePrefix="0" xfId="0">
      <alignment horizontal="right"/>
    </xf>
    <xf numFmtId="3" fontId="6" fillId="3" borderId="1" applyAlignment="1" pivotButton="0" quotePrefix="0" xfId="0">
      <alignment horizontal="right"/>
    </xf>
    <xf numFmtId="2" fontId="6" fillId="0" borderId="1" applyAlignment="1" pivotButton="0" quotePrefix="0" xfId="0">
      <alignment horizontal="right"/>
    </xf>
    <xf numFmtId="164" fontId="6" fillId="3" borderId="1" applyAlignment="1" pivotButton="0" quotePrefix="0" xfId="0">
      <alignment horizontal="right"/>
    </xf>
    <xf numFmtId="164" fontId="6" fillId="0" borderId="1" applyAlignment="1" pivotButton="0" quotePrefix="0" xfId="0">
      <alignment horizontal="right"/>
    </xf>
    <xf numFmtId="165" fontId="6" fillId="3" borderId="1" applyAlignment="1" pivotButton="0" quotePrefix="0" xfId="0">
      <alignment horizontal="right"/>
    </xf>
    <xf numFmtId="0" fontId="4" fillId="2" borderId="1" applyAlignment="1" pivotButton="0" quotePrefix="0" xfId="0">
      <alignment horizontal="center" vertical="center"/>
    </xf>
    <xf numFmtId="166" fontId="3" fillId="3" borderId="1"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164" fontId="3" fillId="3" borderId="1" applyAlignment="1" pivotButton="0" quotePrefix="0" xfId="0">
      <alignment horizontal="center" vertical="center"/>
    </xf>
    <xf numFmtId="1" fontId="3" fillId="3" borderId="1" applyAlignment="1" pivotButton="0" quotePrefix="0" xfId="0">
      <alignment horizontal="center" vertical="center"/>
    </xf>
    <xf numFmtId="0" fontId="3" fillId="3" borderId="1" applyAlignment="1" pivotButton="0" quotePrefix="0" xfId="0">
      <alignment horizontal="left" vertical="center" wrapText="1"/>
    </xf>
    <xf numFmtId="166" fontId="3" fillId="0"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164" fontId="3" fillId="0" borderId="1" applyAlignment="1" pivotButton="0" quotePrefix="0" xfId="0">
      <alignment horizontal="center" vertical="center"/>
    </xf>
    <xf numFmtId="1" fontId="3" fillId="0" borderId="1" applyAlignment="1" pivotButton="0" quotePrefix="0" xfId="0">
      <alignment horizontal="center" vertical="center"/>
    </xf>
    <xf numFmtId="0" fontId="3" fillId="0" borderId="1" applyAlignment="1" pivotButton="0" quotePrefix="0" xfId="0">
      <alignment horizontal="left" vertical="center" wrapText="1"/>
    </xf>
    <xf numFmtId="2" fontId="3" fillId="3" borderId="1" applyAlignment="1" pivotButton="0" quotePrefix="0" xfId="0">
      <alignment horizontal="center" vertical="center"/>
    </xf>
    <xf numFmtId="2" fontId="3" fillId="0" borderId="1" applyAlignment="1" pivotButton="0" quotePrefix="0" xfId="0">
      <alignment horizontal="center" vertical="center"/>
    </xf>
    <xf numFmtId="3" fontId="3" fillId="3" borderId="1" applyAlignment="1" pivotButton="0" quotePrefix="0" xfId="0">
      <alignment horizontal="center" vertical="center"/>
    </xf>
    <xf numFmtId="3" fontId="3" fillId="0" borderId="1" applyAlignment="1" pivotButton="0" quotePrefix="0" xfId="0">
      <alignment horizontal="center" vertical="center"/>
    </xf>
    <xf numFmtId="0" fontId="7" fillId="0" borderId="0" pivotButton="0" quotePrefix="0" xfId="0"/>
    <xf numFmtId="164" fontId="6" fillId="3" borderId="1" applyAlignment="1" pivotButton="0" quotePrefix="0" xfId="0">
      <alignment horizontal="right"/>
    </xf>
    <xf numFmtId="164" fontId="6" fillId="0" borderId="1" applyAlignment="1" pivotButton="0" quotePrefix="0" xfId="0">
      <alignment horizontal="right"/>
    </xf>
    <xf numFmtId="165" fontId="6" fillId="3" borderId="1" applyAlignment="1" pivotButton="0" quotePrefix="0" xfId="0">
      <alignment horizontal="right"/>
    </xf>
    <xf numFmtId="166" fontId="3" fillId="3" borderId="1" applyAlignment="1" pivotButton="0" quotePrefix="0" xfId="0">
      <alignment horizontal="center" vertical="center"/>
    </xf>
    <xf numFmtId="164" fontId="3" fillId="3" borderId="1" applyAlignment="1" pivotButton="0" quotePrefix="0" xfId="0">
      <alignment horizontal="center" vertical="center"/>
    </xf>
    <xf numFmtId="166" fontId="3" fillId="0" borderId="1" applyAlignment="1" pivotButton="0" quotePrefix="0" xfId="0">
      <alignment horizontal="center" vertical="center"/>
    </xf>
    <xf numFmtId="164"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e1RM (kg) by Week — priority lifts</a:t>
            </a:r>
          </a:p>
        </rich>
      </tx>
    </title>
    <plotArea>
      <lineChart>
        <grouping val="standard"/>
        <ser>
          <idx val="0"/>
          <order val="0"/>
          <tx>
            <strRef>
              <f>'Progression Data'!C1</f>
            </strRef>
          </tx>
          <spPr>
            <a:ln xmlns:a="http://schemas.openxmlformats.org/drawingml/2006/main">
              <a:prstDash val="solid"/>
            </a:ln>
          </spPr>
          <marker>
            <symbol val="circle"/>
            <size val="6"/>
            <spPr>
              <a:ln xmlns:a="http://schemas.openxmlformats.org/drawingml/2006/main">
                <a:prstDash val="solid"/>
              </a:ln>
            </spPr>
          </marker>
          <cat>
            <numRef>
              <f>'Progression Data'!$A$2:$A$12</f>
            </numRef>
          </cat>
          <val>
            <numRef>
              <f>'Progression Data'!$C$2:$C$12</f>
            </numRef>
          </val>
          <smooth val="0"/>
        </ser>
        <ser>
          <idx val="1"/>
          <order val="1"/>
          <tx>
            <strRef>
              <f>'Progression Data'!D1</f>
            </strRef>
          </tx>
          <spPr>
            <a:ln xmlns:a="http://schemas.openxmlformats.org/drawingml/2006/main">
              <a:prstDash val="solid"/>
            </a:ln>
          </spPr>
          <marker>
            <symbol val="circle"/>
            <size val="6"/>
            <spPr>
              <a:ln xmlns:a="http://schemas.openxmlformats.org/drawingml/2006/main">
                <a:prstDash val="solid"/>
              </a:ln>
            </spPr>
          </marker>
          <cat>
            <numRef>
              <f>'Progression Data'!$A$2:$A$12</f>
            </numRef>
          </cat>
          <val>
            <numRef>
              <f>'Progression Data'!$D$2:$D$12</f>
            </numRef>
          </val>
          <smooth val="0"/>
        </ser>
        <ser>
          <idx val="2"/>
          <order val="2"/>
          <tx>
            <strRef>
              <f>'Progression Data'!E1</f>
            </strRef>
          </tx>
          <spPr>
            <a:ln xmlns:a="http://schemas.openxmlformats.org/drawingml/2006/main">
              <a:prstDash val="solid"/>
            </a:ln>
          </spPr>
          <marker>
            <symbol val="circle"/>
            <size val="6"/>
            <spPr>
              <a:ln xmlns:a="http://schemas.openxmlformats.org/drawingml/2006/main">
                <a:prstDash val="solid"/>
              </a:ln>
            </spPr>
          </marker>
          <cat>
            <numRef>
              <f>'Progression Data'!$A$2:$A$12</f>
            </numRef>
          </cat>
          <val>
            <numRef>
              <f>'Progression Data'!$E$2:$E$12</f>
            </numRef>
          </val>
          <smooth val="0"/>
        </ser>
        <ser>
          <idx val="3"/>
          <order val="3"/>
          <tx>
            <strRef>
              <f>'Progression Data'!F1</f>
            </strRef>
          </tx>
          <spPr>
            <a:ln xmlns:a="http://schemas.openxmlformats.org/drawingml/2006/main">
              <a:prstDash val="solid"/>
            </a:ln>
          </spPr>
          <marker>
            <symbol val="circle"/>
            <size val="6"/>
            <spPr>
              <a:ln xmlns:a="http://schemas.openxmlformats.org/drawingml/2006/main">
                <a:prstDash val="solid"/>
              </a:ln>
            </spPr>
          </marker>
          <cat>
            <numRef>
              <f>'Progression Data'!$A$2:$A$12</f>
            </numRef>
          </cat>
          <val>
            <numRef>
              <f>'Progression Data'!$F$2:$F$12</f>
            </numRef>
          </val>
          <smooth val="0"/>
        </ser>
        <ser>
          <idx val="4"/>
          <order val="4"/>
          <tx>
            <strRef>
              <f>'Progression Data'!G1</f>
            </strRef>
          </tx>
          <spPr>
            <a:ln xmlns:a="http://schemas.openxmlformats.org/drawingml/2006/main">
              <a:prstDash val="solid"/>
            </a:ln>
          </spPr>
          <marker>
            <symbol val="circle"/>
            <size val="6"/>
            <spPr>
              <a:ln xmlns:a="http://schemas.openxmlformats.org/drawingml/2006/main">
                <a:prstDash val="solid"/>
              </a:ln>
            </spPr>
          </marker>
          <cat>
            <numRef>
              <f>'Progression Data'!$A$2:$A$12</f>
            </numRef>
          </cat>
          <val>
            <numRef>
              <f>'Progression Data'!$G$2:$G$12</f>
            </numRef>
          </val>
          <smooth val="0"/>
        </ser>
        <ser>
          <idx val="5"/>
          <order val="5"/>
          <tx>
            <strRef>
              <f>'Progression Data'!H1</f>
            </strRef>
          </tx>
          <spPr>
            <a:ln xmlns:a="http://schemas.openxmlformats.org/drawingml/2006/main">
              <a:prstDash val="solid"/>
            </a:ln>
          </spPr>
          <marker>
            <symbol val="circle"/>
            <size val="6"/>
            <spPr>
              <a:ln xmlns:a="http://schemas.openxmlformats.org/drawingml/2006/main">
                <a:prstDash val="solid"/>
              </a:ln>
            </spPr>
          </marker>
          <cat>
            <numRef>
              <f>'Progression Data'!$A$2:$A$12</f>
            </numRef>
          </cat>
          <val>
            <numRef>
              <f>'Progression Data'!$H$2:$H$12</f>
            </numRef>
          </val>
          <smooth val="0"/>
        </ser>
        <ser>
          <idx val="6"/>
          <order val="6"/>
          <tx>
            <strRef>
              <f>'Progression Data'!I1</f>
            </strRef>
          </tx>
          <spPr>
            <a:ln xmlns:a="http://schemas.openxmlformats.org/drawingml/2006/main">
              <a:prstDash val="solid"/>
            </a:ln>
          </spPr>
          <marker>
            <symbol val="circle"/>
            <size val="6"/>
            <spPr>
              <a:ln xmlns:a="http://schemas.openxmlformats.org/drawingml/2006/main">
                <a:prstDash val="solid"/>
              </a:ln>
            </spPr>
          </marker>
          <cat>
            <numRef>
              <f>'Progression Data'!$A$2:$A$12</f>
            </numRef>
          </cat>
          <val>
            <numRef>
              <f>'Progression Data'!$I$2:$I$12</f>
            </numRef>
          </val>
          <smooth val="0"/>
        </ser>
        <ser>
          <idx val="7"/>
          <order val="7"/>
          <tx>
            <strRef>
              <f>'Progression Data'!J1</f>
            </strRef>
          </tx>
          <spPr>
            <a:ln xmlns:a="http://schemas.openxmlformats.org/drawingml/2006/main">
              <a:prstDash val="solid"/>
            </a:ln>
          </spPr>
          <marker>
            <symbol val="circle"/>
            <size val="6"/>
            <spPr>
              <a:ln xmlns:a="http://schemas.openxmlformats.org/drawingml/2006/main">
                <a:prstDash val="solid"/>
              </a:ln>
            </spPr>
          </marker>
          <cat>
            <numRef>
              <f>'Progression Data'!$A$2:$A$12</f>
            </numRef>
          </cat>
          <val>
            <numRef>
              <f>'Progression Data'!$J$2:$J$12</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Block week</a:t>
                </a:r>
              </a:p>
            </rich>
          </tx>
        </title>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e1RM (kg)</a:t>
                </a:r>
              </a:p>
            </rich>
          </tx>
        </title>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Total Lifting Volume (kg) by Week</a:t>
            </a:r>
          </a:p>
        </rich>
      </tx>
    </title>
    <plotArea>
      <barChart>
        <barDir val="col"/>
        <grouping val="clustered"/>
        <ser>
          <idx val="0"/>
          <order val="0"/>
          <tx>
            <strRef>
              <f>'Weekly Summary'!E1</f>
            </strRef>
          </tx>
          <spPr>
            <a:ln xmlns:a="http://schemas.openxmlformats.org/drawingml/2006/main">
              <a:prstDash val="solid"/>
            </a:ln>
          </spPr>
          <cat>
            <numRef>
              <f>'Weekly Summary'!$A$2:$A$12</f>
            </numRef>
          </cat>
          <val>
            <numRef>
              <f>'Weekly Summary'!$E$2:$E$12</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Block 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Volume (kg)</a:t>
                </a:r>
              </a:p>
            </rich>
          </tx>
        </title>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Avg Session RPE by Week</a:t>
            </a:r>
          </a:p>
        </rich>
      </tx>
    </title>
    <plotArea>
      <lineChart>
        <grouping val="standard"/>
        <ser>
          <idx val="0"/>
          <order val="0"/>
          <tx>
            <strRef>
              <f>'Weekly Summary'!F1</f>
            </strRef>
          </tx>
          <spPr>
            <a:ln xmlns:a="http://schemas.openxmlformats.org/drawingml/2006/main">
              <a:prstDash val="solid"/>
            </a:ln>
          </spPr>
          <marker>
            <symbol val="circle"/>
            <size val="6"/>
            <spPr>
              <a:ln xmlns:a="http://schemas.openxmlformats.org/drawingml/2006/main">
                <a:prstDash val="solid"/>
              </a:ln>
            </spPr>
          </marker>
          <cat>
            <numRef>
              <f>'Weekly Summary'!$A$2:$A$12</f>
            </numRef>
          </cat>
          <val>
            <numRef>
              <f>'Weekly Summary'!$F$2:$F$12</f>
            </numRef>
          </val>
        </ser>
        <axId val="10"/>
        <axId val="100"/>
      </lineChart>
      <catAx>
        <axId val="10"/>
        <scaling>
          <orientation val="minMax"/>
        </scaling>
        <axPos val="l"/>
        <title>
          <tx>
            <rich>
              <a:bodyPr xmlns:a="http://schemas.openxmlformats.org/drawingml/2006/main"/>
              <a:p xmlns:a="http://schemas.openxmlformats.org/drawingml/2006/main">
                <a:pPr>
                  <a:defRPr/>
                </a:pPr>
                <a:r>
                  <a:t>Block week</a:t>
                </a:r>
              </a:p>
            </rich>
          </tx>
        </title>
        <majorTickMark val="none"/>
        <minorTickMark val="none"/>
        <crossAx val="100"/>
        <lblOffset val="100"/>
      </catAx>
      <valAx>
        <axId val="100"/>
        <scaling>
          <orientation val="minMax"/>
          <max val="10"/>
          <min val="5"/>
        </scaling>
        <axPos val="l"/>
        <title>
          <tx>
            <rich>
              <a:bodyPr xmlns:a="http://schemas.openxmlformats.org/drawingml/2006/main"/>
              <a:p xmlns:a="http://schemas.openxmlformats.org/drawingml/2006/main">
                <a:pPr>
                  <a:defRPr/>
                </a:pPr>
                <a:r>
                  <a:t>RPE</a:t>
                </a:r>
              </a:p>
            </rich>
          </tx>
        </title>
        <majorTickMark val="none"/>
        <minorTickMark val="none"/>
        <crossAx val="10"/>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Body Weight (kg) over time</a:t>
            </a:r>
          </a:p>
        </rich>
      </tx>
    </title>
    <plotArea>
      <lineChart>
        <grouping val="standard"/>
        <ser>
          <idx val="0"/>
          <order val="0"/>
          <tx>
            <strRef>
              <f>'Body Metrics'!C1</f>
            </strRef>
          </tx>
          <spPr>
            <a:ln xmlns:a="http://schemas.openxmlformats.org/drawingml/2006/main">
              <a:prstDash val="solid"/>
            </a:ln>
          </spPr>
          <marker>
            <symbol val="circle"/>
            <size val="6"/>
            <spPr>
              <a:ln xmlns:a="http://schemas.openxmlformats.org/drawingml/2006/main">
                <a:prstDash val="solid"/>
              </a:ln>
            </spPr>
          </marker>
          <trendline>
            <trendlineType val="linear"/>
            <dispRSqr val="0"/>
            <dispEq val="0"/>
          </trendline>
          <cat>
            <numRef>
              <f>'Body Metrics'!$A$2:$A$200</f>
            </numRef>
          </cat>
          <val>
            <numRef>
              <f>'Body Metrics'!$C$2:$C$200</f>
            </numRef>
          </val>
        </ser>
        <axId val="500"/>
        <axId val="100"/>
      </lineChart>
      <dateAx>
        <axId val="500"/>
        <scaling>
          <orientation val="minMax"/>
        </scaling>
        <axPos val="l"/>
        <title>
          <tx>
            <rich>
              <a:bodyPr xmlns:a="http://schemas.openxmlformats.org/drawingml/2006/main"/>
              <a:p xmlns:a="http://schemas.openxmlformats.org/drawingml/2006/main">
                <a:pPr>
                  <a:defRPr/>
                </a:pPr>
                <a:r>
                  <a:t>Date</a:t>
                </a:r>
              </a:p>
            </rich>
          </tx>
        </title>
        <numFmt formatCode="mmm d" sourceLinked="0"/>
        <majorTickMark val="none"/>
        <minorTickMark val="none"/>
        <crossAx val="100"/>
        <majorTimeUnit val="days"/>
      </dateAx>
      <valAx>
        <axId val="100"/>
        <scaling>
          <orientation val="minMax"/>
        </scaling>
        <axPos val="l"/>
        <title>
          <tx>
            <rich>
              <a:bodyPr xmlns:a="http://schemas.openxmlformats.org/drawingml/2006/main"/>
              <a:p xmlns:a="http://schemas.openxmlformats.org/drawingml/2006/main">
                <a:pPr>
                  <a:defRPr/>
                </a:pPr>
                <a:r>
                  <a:t>BW (kg)</a:t>
                </a:r>
              </a:p>
            </rich>
          </tx>
        </title>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Working Sets by Week</a:t>
            </a:r>
          </a:p>
        </rich>
      </tx>
    </title>
    <plotArea>
      <barChart>
        <barDir val="col"/>
        <grouping val="clustered"/>
        <ser>
          <idx val="0"/>
          <order val="0"/>
          <tx>
            <strRef>
              <f>'Weekly Summary'!D1</f>
            </strRef>
          </tx>
          <spPr>
            <a:ln xmlns:a="http://schemas.openxmlformats.org/drawingml/2006/main">
              <a:prstDash val="solid"/>
            </a:ln>
          </spPr>
          <cat>
            <numRef>
              <f>'Weekly Summary'!$A$2:$A$12</f>
            </numRef>
          </cat>
          <val>
            <numRef>
              <f>'Weekly Summary'!$D$2:$D$12</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Block 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Sets</a:t>
                </a:r>
              </a:p>
            </rich>
          </tx>
        </title>
        <majorTickMark val="none"/>
        <minorTickMark val="none"/>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Run Distance (km) by Week</a:t>
            </a:r>
          </a:p>
        </rich>
      </tx>
    </title>
    <plotArea>
      <barChart>
        <barDir val="col"/>
        <grouping val="clustered"/>
        <ser>
          <idx val="0"/>
          <order val="0"/>
          <tx>
            <strRef>
              <f>'Weekly Summary'!H1</f>
            </strRef>
          </tx>
          <spPr>
            <a:ln xmlns:a="http://schemas.openxmlformats.org/drawingml/2006/main">
              <a:prstDash val="solid"/>
            </a:ln>
          </spPr>
          <cat>
            <numRef>
              <f>'Weekly Summary'!$A$2:$A$12</f>
            </numRef>
          </cat>
          <val>
            <numRef>
              <f>'Weekly Summary'!$H$2:$H$12</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Block 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km</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drawing1.xml><?xml version="1.0" encoding="utf-8"?>
<wsDr xmlns="http://schemas.openxmlformats.org/drawingml/2006/spreadsheetDrawing">
  <oneCellAnchor>
    <from>
      <col>1</col>
      <colOff>0</colOff>
      <row>17</row>
      <rowOff>0</rowOff>
    </from>
    <ext cx="86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40</row>
      <rowOff>0</rowOff>
    </from>
    <ext cx="864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63</row>
      <rowOff>0</rowOff>
    </from>
    <ext cx="864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col>
      <colOff>0</colOff>
      <row>86</row>
      <rowOff>0</rowOff>
    </from>
    <ext cx="8640000" cy="39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col>
      <colOff>0</colOff>
      <row>109</row>
      <rowOff>0</rowOff>
    </from>
    <ext cx="8640000" cy="39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1</col>
      <colOff>0</colOff>
      <row>132</row>
      <rowOff>0</rowOff>
    </from>
    <ext cx="8640000" cy="396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ht="28" customHeight="1">
      <c r="A1" s="1" t="inlineStr">
        <is>
          <t>Training Log — 11-Week Hypertrophy Block</t>
        </is>
      </c>
    </row>
    <row r="2">
      <c r="A2" s="2" t="inlineStr">
        <is>
          <t>Block: 2026-04-27 → 2026-07-12  •  User: Leonardo  •  Last rebuild driven by scripts/build_log.py</t>
        </is>
      </c>
    </row>
    <row r="3">
      <c r="A3" s="3" t="inlineStr"/>
    </row>
    <row r="4">
      <c r="A4" s="2" t="inlineStr">
        <is>
          <t>TABS</t>
        </is>
      </c>
    </row>
    <row r="5">
      <c r="A5" s="3" t="inlineStr">
        <is>
          <t>• Charts — KPI snapshot (live) + 6 progression charts. Open this first.</t>
        </is>
      </c>
    </row>
    <row r="6">
      <c r="A6" s="3" t="inlineStr">
        <is>
          <t>• Lifting Log — every working set. Edit here to add new sessions.</t>
        </is>
      </c>
    </row>
    <row r="7">
      <c r="A7" s="3" t="inlineStr">
        <is>
          <t>• Running Log — every run. Edit here to add runs.</t>
        </is>
      </c>
    </row>
    <row r="8">
      <c r="A8" s="3" t="inlineStr">
        <is>
          <t>• Body Metrics — daily BW + weekly tape measurements.</t>
        </is>
      </c>
    </row>
    <row r="9">
      <c r="A9" s="3" t="inlineStr">
        <is>
          <t>• Personal Records — auto best lifts (recomputes on open).</t>
        </is>
      </c>
    </row>
    <row r="10">
      <c r="A10" s="3" t="inlineStr">
        <is>
          <t>• Weekly Summary — auto weekly volume / RPE / runs / BW.</t>
        </is>
      </c>
    </row>
    <row r="11">
      <c r="A11" s="3" t="inlineStr">
        <is>
          <t>• Progression Data — weekly best e1RM per priority lift (chart source).</t>
        </is>
      </c>
    </row>
    <row r="12">
      <c r="A12" s="3" t="inlineStr">
        <is>
          <t>• Reference — HR / pace zones, schedule, RPE table.</t>
        </is>
      </c>
    </row>
    <row r="13">
      <c r="A13" s="3" t="inlineStr"/>
    </row>
    <row r="14">
      <c r="A14" s="2" t="inlineStr">
        <is>
          <t>HOW IT WORKS</t>
        </is>
      </c>
    </row>
    <row r="15">
      <c r="A15" s="3" t="inlineStr">
        <is>
          <t>• Sources of truth: logs/session_log.md (narrative) + logs/sessions/&lt;date&gt;_&lt;sess&gt;.md (filled session blocks).</t>
        </is>
      </c>
    </row>
    <row r="16">
      <c r="A16" s="3" t="inlineStr">
        <is>
          <t>• Pre-populated rows are baked into scripts/build_log.py — re-run only after adding new sessions to the script.</t>
        </is>
      </c>
    </row>
    <row r="17">
      <c r="A17" s="3" t="inlineStr">
        <is>
          <t>• Charts read from live formulas — they update automatically when you add data to the input tabs.</t>
        </is>
      </c>
    </row>
    <row r="18">
      <c r="A18" s="3" t="inlineStr"/>
    </row>
    <row r="19">
      <c r="A19" s="2" t="inlineStr">
        <is>
          <t>RPE LEGEND</t>
        </is>
      </c>
    </row>
    <row r="20">
      <c r="A20" s="3" t="inlineStr">
        <is>
          <t>RPE 6 = 4 RIR  •  7 = 3 RIR  •  8 = 2 RIR (most of block)  •  9 = 1 RIR (peak)  •  10 = failure (isolation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C14"/>
  <sheetViews>
    <sheetView workbookViewId="0">
      <selection activeCell="A1" sqref="A1"/>
    </sheetView>
  </sheetViews>
  <sheetFormatPr baseColWidth="8" defaultRowHeight="15"/>
  <cols>
    <col width="3" customWidth="1" min="1" max="1"/>
    <col width="22" customWidth="1" min="2" max="2"/>
    <col width="22" customWidth="1" min="3" max="3"/>
    <col width="22" customWidth="1" min="4" max="4"/>
    <col width="22" customWidth="1" min="5" max="5"/>
    <col width="22" customWidth="1" min="6" max="6"/>
  </cols>
  <sheetData>
    <row r="1" ht="28" customHeight="1">
      <c r="B1" s="1" t="inlineStr">
        <is>
          <t>Block 1 — Visual Progression</t>
        </is>
      </c>
    </row>
    <row r="2">
      <c r="B2" s="4" t="inlineStr">
        <is>
          <t>Charts auto-update from Lifting Log / Running Log / Body Metrics. KPI cells live below.</t>
        </is>
      </c>
    </row>
    <row r="4">
      <c r="B4" s="2" t="inlineStr">
        <is>
          <t>KPI snapshot</t>
        </is>
      </c>
    </row>
    <row r="5">
      <c r="B5" s="5" t="inlineStr">
        <is>
          <t>Sessions logged</t>
        </is>
      </c>
      <c r="C5" s="6">
        <f>SUMPRODUCT(IFERROR(('Lifting Log'!E2:E801=1)/COUNTIFS('Lifting Log'!A:A,'Lifting Log'!A2:A801,'Lifting Log'!E:E,1),0))</f>
        <v/>
      </c>
    </row>
    <row r="6">
      <c r="B6" s="7" t="inlineStr">
        <is>
          <t>Total working sets</t>
        </is>
      </c>
      <c r="C6" s="8">
        <f>COUNTA('Lifting Log'!E2:E801)</f>
        <v/>
      </c>
    </row>
    <row r="7">
      <c r="B7" s="5" t="inlineStr">
        <is>
          <t>Total volume (kg)</t>
        </is>
      </c>
      <c r="C7" s="9">
        <f>SUM('Lifting Log'!I2:I801)</f>
        <v/>
      </c>
    </row>
    <row r="8">
      <c r="B8" s="7" t="inlineStr">
        <is>
          <t>Avg RPE (all sets)</t>
        </is>
      </c>
      <c r="C8" s="10">
        <f>IFERROR(AVERAGE('Lifting Log'!H2:H801),"")</f>
        <v/>
      </c>
    </row>
    <row r="9">
      <c r="B9" s="5" t="inlineStr">
        <is>
          <t>Bench best e1RM (kg)</t>
        </is>
      </c>
      <c r="C9" s="32">
        <f>IF(COUNTIF('Lifting Log'!D:D,"Bench Press")=0,"",SUMPRODUCT(MAX(('Lifting Log'!D2:D801="Bench Press")*IFERROR('Lifting Log'!J2:J801*1,0))))</f>
        <v/>
      </c>
    </row>
    <row r="10">
      <c r="B10" s="7" t="inlineStr">
        <is>
          <t>Squat best e1RM (kg)</t>
        </is>
      </c>
      <c r="C10" s="33">
        <f>IF(COUNTIF('Lifting Log'!D:D,"Back Squat")=0,"",SUMPRODUCT(MAX(('Lifting Log'!D2:D801="Back Squat")*IFERROR('Lifting Log'!J2:J801*1,0))))</f>
        <v/>
      </c>
    </row>
    <row r="11">
      <c r="B11" s="5" t="inlineStr">
        <is>
          <t>OHP best e1RM (kg)</t>
        </is>
      </c>
      <c r="C11" s="32">
        <f>IF(COUNTIF('Lifting Log'!D:D,"Overhead Press")=0,"",SUMPRODUCT(MAX(('Lifting Log'!D2:D801="Overhead Press")*IFERROR('Lifting Log'!J2:J801*1,0))))</f>
        <v/>
      </c>
    </row>
    <row r="12">
      <c r="B12" s="7" t="inlineStr">
        <is>
          <t>Latest BW (kg)</t>
        </is>
      </c>
      <c r="C12" s="33">
        <f>IFERROR(LOOKUP(2,1/('Body Metrics'!C2:C200&lt;&gt;""),'Body Metrics'!C2:C200),"")</f>
        <v/>
      </c>
    </row>
    <row r="13">
      <c r="B13" s="5" t="inlineStr">
        <is>
          <t>BW Δ vs Wk 1 (kg)</t>
        </is>
      </c>
      <c r="C13" s="34">
        <f>IFERROR(LOOKUP(2,1/('Body Metrics'!C2:C200&lt;&gt;""),'Body Metrics'!C2:C200)-INDEX('Body Metrics'!C:C,MATCH(TRUE,INDEX('Body Metrics'!C2:C200&lt;&gt;"",0),0)+1),"")</f>
        <v/>
      </c>
    </row>
    <row r="14">
      <c r="B14" s="7" t="inlineStr">
        <is>
          <t>Total run km</t>
        </is>
      </c>
      <c r="C14" s="10">
        <f>SUM('Running Log'!C2:C151)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K801"/>
  <sheetViews>
    <sheetView workbookViewId="0">
      <pane ySplit="1" topLeftCell="A2" activePane="bottomLeft" state="frozen"/>
      <selection pane="bottomLeft" activeCell="A1" sqref="A1"/>
    </sheetView>
  </sheetViews>
  <sheetFormatPr baseColWidth="8" defaultRowHeight="15"/>
  <cols>
    <col width="12" customWidth="1" min="1" max="1"/>
    <col width="7" customWidth="1" min="2" max="2"/>
    <col width="10" customWidth="1" min="3" max="3"/>
    <col width="24" customWidth="1" min="4" max="4"/>
    <col width="7" customWidth="1" min="5" max="5"/>
    <col width="7" customWidth="1" min="6" max="6"/>
    <col width="12" customWidth="1" min="7" max="7"/>
    <col width="7" customWidth="1" min="8" max="8"/>
    <col width="13" customWidth="1" min="9" max="9"/>
    <col width="12" customWidth="1" min="10" max="10"/>
    <col width="42" customWidth="1" min="11" max="11"/>
  </cols>
  <sheetData>
    <row r="1" ht="26" customHeight="1">
      <c r="A1" s="14" t="inlineStr">
        <is>
          <t>Date</t>
        </is>
      </c>
      <c r="B1" s="14" t="inlineStr">
        <is>
          <t>Week</t>
        </is>
      </c>
      <c r="C1" s="14" t="inlineStr">
        <is>
          <t>Day</t>
        </is>
      </c>
      <c r="D1" s="14" t="inlineStr">
        <is>
          <t>Exercise</t>
        </is>
      </c>
      <c r="E1" s="14" t="inlineStr">
        <is>
          <t>Set #</t>
        </is>
      </c>
      <c r="F1" s="14" t="inlineStr">
        <is>
          <t>Reps</t>
        </is>
      </c>
      <c r="G1" s="14" t="inlineStr">
        <is>
          <t>Weight (kg)</t>
        </is>
      </c>
      <c r="H1" s="14" t="inlineStr">
        <is>
          <t>RPE</t>
        </is>
      </c>
      <c r="I1" s="14" t="inlineStr">
        <is>
          <t>Volume (kg)</t>
        </is>
      </c>
      <c r="J1" s="14" t="inlineStr">
        <is>
          <t>e1RM (kg)</t>
        </is>
      </c>
      <c r="K1" s="14" t="inlineStr">
        <is>
          <t>Notes</t>
        </is>
      </c>
    </row>
    <row r="2" ht="18" customHeight="1">
      <c r="A2" s="35" t="n">
        <v>46146</v>
      </c>
      <c r="B2" s="16">
        <f>IF(A2="","",IFERROR(INT((A2-DATE(2026,4,27))/7)+1,""))</f>
        <v/>
      </c>
      <c r="C2" s="16" t="inlineStr">
        <is>
          <t>Upper A</t>
        </is>
      </c>
      <c r="D2" s="17" t="inlineStr">
        <is>
          <t>Bench Press</t>
        </is>
      </c>
      <c r="E2" s="16" t="n">
        <v>1</v>
      </c>
      <c r="F2" s="16" t="n">
        <v>7</v>
      </c>
      <c r="G2" s="36" t="n">
        <v>32.5</v>
      </c>
      <c r="H2" s="16" t="n">
        <v>7</v>
      </c>
      <c r="I2" s="19">
        <f>IF(OR(F2="",G2=""),"",F2*G2)</f>
        <v/>
      </c>
      <c r="J2" s="36">
        <f>IF(OR(F2="",G2=""),"",ROUND(G2*(1+F2/30),1))</f>
        <v/>
      </c>
      <c r="K2" s="20" t="inlineStr"/>
    </row>
    <row r="3" ht="18" customHeight="1">
      <c r="A3" s="37" t="n">
        <v>46146</v>
      </c>
      <c r="B3" s="22">
        <f>IF(A3="","",IFERROR(INT((A3-DATE(2026,4,27))/7)+1,""))</f>
        <v/>
      </c>
      <c r="C3" s="22" t="inlineStr">
        <is>
          <t>Upper A</t>
        </is>
      </c>
      <c r="D3" s="23" t="inlineStr">
        <is>
          <t>Bench Press</t>
        </is>
      </c>
      <c r="E3" s="22" t="n">
        <v>2</v>
      </c>
      <c r="F3" s="22" t="n">
        <v>7</v>
      </c>
      <c r="G3" s="38" t="n">
        <v>32.5</v>
      </c>
      <c r="H3" s="22" t="n">
        <v>8</v>
      </c>
      <c r="I3" s="25">
        <f>IF(OR(F3="",G3=""),"",F3*G3)</f>
        <v/>
      </c>
      <c r="J3" s="38">
        <f>IF(OR(F3="",G3=""),"",ROUND(G3*(1+F3/30),1))</f>
        <v/>
      </c>
      <c r="K3" s="26" t="inlineStr"/>
    </row>
    <row r="4" ht="18" customHeight="1">
      <c r="A4" s="35" t="n">
        <v>46146</v>
      </c>
      <c r="B4" s="16">
        <f>IF(A4="","",IFERROR(INT((A4-DATE(2026,4,27))/7)+1,""))</f>
        <v/>
      </c>
      <c r="C4" s="16" t="inlineStr">
        <is>
          <t>Upper A</t>
        </is>
      </c>
      <c r="D4" s="17" t="inlineStr">
        <is>
          <t>Bench Press</t>
        </is>
      </c>
      <c r="E4" s="16" t="n">
        <v>3</v>
      </c>
      <c r="F4" s="16" t="n">
        <v>7</v>
      </c>
      <c r="G4" s="36" t="n">
        <v>32.5</v>
      </c>
      <c r="H4" s="16" t="n">
        <v>8</v>
      </c>
      <c r="I4" s="19">
        <f>IF(OR(F4="",G4=""),"",F4*G4)</f>
        <v/>
      </c>
      <c r="J4" s="36">
        <f>IF(OR(F4="",G4=""),"",ROUND(G4*(1+F4/30),1))</f>
        <v/>
      </c>
      <c r="K4" s="20" t="inlineStr"/>
    </row>
    <row r="5" ht="18" customHeight="1">
      <c r="A5" s="37" t="n">
        <v>46146</v>
      </c>
      <c r="B5" s="22">
        <f>IF(A5="","",IFERROR(INT((A5-DATE(2026,4,27))/7)+1,""))</f>
        <v/>
      </c>
      <c r="C5" s="22" t="inlineStr">
        <is>
          <t>Upper A</t>
        </is>
      </c>
      <c r="D5" s="23" t="inlineStr">
        <is>
          <t>Bench Press</t>
        </is>
      </c>
      <c r="E5" s="22" t="n">
        <v>4</v>
      </c>
      <c r="F5" s="22" t="n">
        <v>7</v>
      </c>
      <c r="G5" s="38" t="n">
        <v>32.5</v>
      </c>
      <c r="H5" s="22" t="n">
        <v>8</v>
      </c>
      <c r="I5" s="25">
        <f>IF(OR(F5="",G5=""),"",F5*G5)</f>
        <v/>
      </c>
      <c r="J5" s="38">
        <f>IF(OR(F5="",G5=""),"",ROUND(G5*(1+F5/30),1))</f>
        <v/>
      </c>
      <c r="K5" s="26" t="inlineStr">
        <is>
          <t>bump 35 next</t>
        </is>
      </c>
    </row>
    <row r="6" ht="18" customHeight="1">
      <c r="A6" s="35" t="n">
        <v>46146</v>
      </c>
      <c r="B6" s="16">
        <f>IF(A6="","",IFERROR(INT((A6-DATE(2026,4,27))/7)+1,""))</f>
        <v/>
      </c>
      <c r="C6" s="16" t="inlineStr">
        <is>
          <t>Upper A</t>
        </is>
      </c>
      <c r="D6" s="17" t="inlineStr">
        <is>
          <t>Barbell Row</t>
        </is>
      </c>
      <c r="E6" s="16" t="n">
        <v>1</v>
      </c>
      <c r="F6" s="16" t="n">
        <v>7</v>
      </c>
      <c r="G6" s="36" t="n">
        <v>32.5</v>
      </c>
      <c r="H6" s="16" t="n">
        <v>8</v>
      </c>
      <c r="I6" s="19">
        <f>IF(OR(F6="",G6=""),"",F6*G6)</f>
        <v/>
      </c>
      <c r="J6" s="36">
        <f>IF(OR(F6="",G6=""),"",ROUND(G6*(1+F6/30),1))</f>
        <v/>
      </c>
      <c r="K6" s="20" t="inlineStr"/>
    </row>
    <row r="7" ht="18" customHeight="1">
      <c r="A7" s="37" t="n">
        <v>46146</v>
      </c>
      <c r="B7" s="22">
        <f>IF(A7="","",IFERROR(INT((A7-DATE(2026,4,27))/7)+1,""))</f>
        <v/>
      </c>
      <c r="C7" s="22" t="inlineStr">
        <is>
          <t>Upper A</t>
        </is>
      </c>
      <c r="D7" s="23" t="inlineStr">
        <is>
          <t>Barbell Row</t>
        </is>
      </c>
      <c r="E7" s="22" t="n">
        <v>2</v>
      </c>
      <c r="F7" s="22" t="n">
        <v>7</v>
      </c>
      <c r="G7" s="38" t="n">
        <v>32.5</v>
      </c>
      <c r="H7" s="22" t="n">
        <v>8</v>
      </c>
      <c r="I7" s="25">
        <f>IF(OR(F7="",G7=""),"",F7*G7)</f>
        <v/>
      </c>
      <c r="J7" s="38">
        <f>IF(OR(F7="",G7=""),"",ROUND(G7*(1+F7/30),1))</f>
        <v/>
      </c>
      <c r="K7" s="26" t="inlineStr"/>
    </row>
    <row r="8" ht="18" customHeight="1">
      <c r="A8" s="35" t="n">
        <v>46146</v>
      </c>
      <c r="B8" s="16">
        <f>IF(A8="","",IFERROR(INT((A8-DATE(2026,4,27))/7)+1,""))</f>
        <v/>
      </c>
      <c r="C8" s="16" t="inlineStr">
        <is>
          <t>Upper A</t>
        </is>
      </c>
      <c r="D8" s="17" t="inlineStr">
        <is>
          <t>Barbell Row</t>
        </is>
      </c>
      <c r="E8" s="16" t="n">
        <v>3</v>
      </c>
      <c r="F8" s="16" t="n">
        <v>7</v>
      </c>
      <c r="G8" s="36" t="n">
        <v>32.5</v>
      </c>
      <c r="H8" s="16" t="n">
        <v>8</v>
      </c>
      <c r="I8" s="19">
        <f>IF(OR(F8="",G8=""),"",F8*G8)</f>
        <v/>
      </c>
      <c r="J8" s="36">
        <f>IF(OR(F8="",G8=""),"",ROUND(G8*(1+F8/30),1))</f>
        <v/>
      </c>
      <c r="K8" s="20" t="inlineStr"/>
    </row>
    <row r="9" ht="18" customHeight="1">
      <c r="A9" s="37" t="n">
        <v>46146</v>
      </c>
      <c r="B9" s="22">
        <f>IF(A9="","",IFERROR(INT((A9-DATE(2026,4,27))/7)+1,""))</f>
        <v/>
      </c>
      <c r="C9" s="22" t="inlineStr">
        <is>
          <t>Upper A</t>
        </is>
      </c>
      <c r="D9" s="23" t="inlineStr">
        <is>
          <t>Barbell Row</t>
        </is>
      </c>
      <c r="E9" s="22" t="n">
        <v>4</v>
      </c>
      <c r="F9" s="22" t="n">
        <v>7</v>
      </c>
      <c r="G9" s="38" t="n">
        <v>32.5</v>
      </c>
      <c r="H9" s="22" t="n">
        <v>8</v>
      </c>
      <c r="I9" s="25">
        <f>IF(OR(F9="",G9=""),"",F9*G9)</f>
        <v/>
      </c>
      <c r="J9" s="38">
        <f>IF(OR(F9="",G9=""),"",ROUND(G9*(1+F9/30),1))</f>
        <v/>
      </c>
      <c r="K9" s="26" t="inlineStr">
        <is>
          <t>bump 35 next</t>
        </is>
      </c>
    </row>
    <row r="10" ht="18" customHeight="1">
      <c r="A10" s="35" t="n">
        <v>46146</v>
      </c>
      <c r="B10" s="16">
        <f>IF(A10="","",IFERROR(INT((A10-DATE(2026,4,27))/7)+1,""))</f>
        <v/>
      </c>
      <c r="C10" s="16" t="inlineStr">
        <is>
          <t>Upper A</t>
        </is>
      </c>
      <c r="D10" s="17" t="inlineStr">
        <is>
          <t>Incline DB Press</t>
        </is>
      </c>
      <c r="E10" s="16" t="n">
        <v>1</v>
      </c>
      <c r="F10" s="16" t="n">
        <v>10</v>
      </c>
      <c r="G10" s="36" t="n">
        <v>12</v>
      </c>
      <c r="H10" s="16" t="n">
        <v>8</v>
      </c>
      <c r="I10" s="19">
        <f>IF(OR(F10="",G10=""),"",F10*G10)</f>
        <v/>
      </c>
      <c r="J10" s="36">
        <f>IF(OR(F10="",G10=""),"",ROUND(G10*(1+F10/30),1))</f>
        <v/>
      </c>
      <c r="K10" s="20" t="inlineStr"/>
    </row>
    <row r="11" ht="18" customHeight="1">
      <c r="A11" s="37" t="n">
        <v>46146</v>
      </c>
      <c r="B11" s="22">
        <f>IF(A11="","",IFERROR(INT((A11-DATE(2026,4,27))/7)+1,""))</f>
        <v/>
      </c>
      <c r="C11" s="22" t="inlineStr">
        <is>
          <t>Upper A</t>
        </is>
      </c>
      <c r="D11" s="23" t="inlineStr">
        <is>
          <t>Incline DB Press</t>
        </is>
      </c>
      <c r="E11" s="22" t="n">
        <v>2</v>
      </c>
      <c r="F11" s="22" t="n">
        <v>9</v>
      </c>
      <c r="G11" s="38" t="n">
        <v>12</v>
      </c>
      <c r="H11" s="22" t="n">
        <v>8</v>
      </c>
      <c r="I11" s="25">
        <f>IF(OR(F11="",G11=""),"",F11*G11)</f>
        <v/>
      </c>
      <c r="J11" s="38">
        <f>IF(OR(F11="",G11=""),"",ROUND(G11*(1+F11/30),1))</f>
        <v/>
      </c>
      <c r="K11" s="26" t="inlineStr"/>
    </row>
    <row r="12" ht="18" customHeight="1">
      <c r="A12" s="35" t="n">
        <v>46146</v>
      </c>
      <c r="B12" s="16">
        <f>IF(A12="","",IFERROR(INT((A12-DATE(2026,4,27))/7)+1,""))</f>
        <v/>
      </c>
      <c r="C12" s="16" t="inlineStr">
        <is>
          <t>Upper A</t>
        </is>
      </c>
      <c r="D12" s="17" t="inlineStr">
        <is>
          <t>Incline DB Press</t>
        </is>
      </c>
      <c r="E12" s="16" t="n">
        <v>3</v>
      </c>
      <c r="F12" s="16" t="n">
        <v>8</v>
      </c>
      <c r="G12" s="36" t="n">
        <v>12</v>
      </c>
      <c r="H12" s="16" t="n">
        <v>8</v>
      </c>
      <c r="I12" s="19">
        <f>IF(OR(F12="",G12=""),"",F12*G12)</f>
        <v/>
      </c>
      <c r="J12" s="36">
        <f>IF(OR(F12="",G12=""),"",ROUND(G12*(1+F12/30),1))</f>
        <v/>
      </c>
      <c r="K12" s="20" t="inlineStr">
        <is>
          <t>hold 12, climb 10/10/10</t>
        </is>
      </c>
    </row>
    <row r="13" ht="18" customHeight="1">
      <c r="A13" s="37" t="n">
        <v>46146</v>
      </c>
      <c r="B13" s="22">
        <f>IF(A13="","",IFERROR(INT((A13-DATE(2026,4,27))/7)+1,""))</f>
        <v/>
      </c>
      <c r="C13" s="22" t="inlineStr">
        <is>
          <t>Upper A</t>
        </is>
      </c>
      <c r="D13" s="23" t="inlineStr">
        <is>
          <t>Lat Pulldown</t>
        </is>
      </c>
      <c r="E13" s="22" t="n">
        <v>1</v>
      </c>
      <c r="F13" s="22" t="n">
        <v>10</v>
      </c>
      <c r="G13" s="38" t="n">
        <v>35</v>
      </c>
      <c r="H13" s="22" t="n">
        <v>7</v>
      </c>
      <c r="I13" s="25">
        <f>IF(OR(F13="",G13=""),"",F13*G13)</f>
        <v/>
      </c>
      <c r="J13" s="38">
        <f>IF(OR(F13="",G13=""),"",ROUND(G13*(1+F13/30),1))</f>
        <v/>
      </c>
      <c r="K13" s="26" t="inlineStr"/>
    </row>
    <row r="14" ht="18" customHeight="1">
      <c r="A14" s="35" t="n">
        <v>46146</v>
      </c>
      <c r="B14" s="16">
        <f>IF(A14="","",IFERROR(INT((A14-DATE(2026,4,27))/7)+1,""))</f>
        <v/>
      </c>
      <c r="C14" s="16" t="inlineStr">
        <is>
          <t>Upper A</t>
        </is>
      </c>
      <c r="D14" s="17" t="inlineStr">
        <is>
          <t>Lat Pulldown</t>
        </is>
      </c>
      <c r="E14" s="16" t="n">
        <v>2</v>
      </c>
      <c r="F14" s="16" t="n">
        <v>10</v>
      </c>
      <c r="G14" s="36" t="n">
        <v>35</v>
      </c>
      <c r="H14" s="16" t="n">
        <v>8</v>
      </c>
      <c r="I14" s="19">
        <f>IF(OR(F14="",G14=""),"",F14*G14)</f>
        <v/>
      </c>
      <c r="J14" s="36">
        <f>IF(OR(F14="",G14=""),"",ROUND(G14*(1+F14/30),1))</f>
        <v/>
      </c>
      <c r="K14" s="20" t="inlineStr"/>
    </row>
    <row r="15" ht="18" customHeight="1">
      <c r="A15" s="37" t="n">
        <v>46146</v>
      </c>
      <c r="B15" s="22">
        <f>IF(A15="","",IFERROR(INT((A15-DATE(2026,4,27))/7)+1,""))</f>
        <v/>
      </c>
      <c r="C15" s="22" t="inlineStr">
        <is>
          <t>Upper A</t>
        </is>
      </c>
      <c r="D15" s="23" t="inlineStr">
        <is>
          <t>Lat Pulldown</t>
        </is>
      </c>
      <c r="E15" s="22" t="n">
        <v>3</v>
      </c>
      <c r="F15" s="22" t="n">
        <v>10</v>
      </c>
      <c r="G15" s="38" t="n">
        <v>35</v>
      </c>
      <c r="H15" s="22" t="n">
        <v>8</v>
      </c>
      <c r="I15" s="25">
        <f>IF(OR(F15="",G15=""),"",F15*G15)</f>
        <v/>
      </c>
      <c r="J15" s="38">
        <f>IF(OR(F15="",G15=""),"",ROUND(G15*(1+F15/30),1))</f>
        <v/>
      </c>
      <c r="K15" s="26" t="inlineStr">
        <is>
          <t>bump 37.5 next</t>
        </is>
      </c>
    </row>
    <row r="16" ht="18" customHeight="1">
      <c r="A16" s="35" t="n">
        <v>46146</v>
      </c>
      <c r="B16" s="16">
        <f>IF(A16="","",IFERROR(INT((A16-DATE(2026,4,27))/7)+1,""))</f>
        <v/>
      </c>
      <c r="C16" s="16" t="inlineStr">
        <is>
          <t>Upper A</t>
        </is>
      </c>
      <c r="D16" s="17" t="inlineStr">
        <is>
          <t>Pec Deck</t>
        </is>
      </c>
      <c r="E16" s="16" t="n">
        <v>1</v>
      </c>
      <c r="F16" s="16" t="n">
        <v>12</v>
      </c>
      <c r="G16" s="36" t="n">
        <v>7.5</v>
      </c>
      <c r="H16" s="16" t="n">
        <v>9</v>
      </c>
      <c r="I16" s="19">
        <f>IF(OR(F16="",G16=""),"",F16*G16)</f>
        <v/>
      </c>
      <c r="J16" s="36">
        <f>IF(OR(F16="",G16=""),"",ROUND(G16*(1+F16/30),1))</f>
        <v/>
      </c>
      <c r="K16" s="20" t="inlineStr"/>
    </row>
    <row r="17" ht="18" customHeight="1">
      <c r="A17" s="37" t="n">
        <v>46146</v>
      </c>
      <c r="B17" s="22">
        <f>IF(A17="","",IFERROR(INT((A17-DATE(2026,4,27))/7)+1,""))</f>
        <v/>
      </c>
      <c r="C17" s="22" t="inlineStr">
        <is>
          <t>Upper A</t>
        </is>
      </c>
      <c r="D17" s="23" t="inlineStr">
        <is>
          <t>Pec Deck</t>
        </is>
      </c>
      <c r="E17" s="22" t="n">
        <v>2</v>
      </c>
      <c r="F17" s="22" t="n">
        <v>12</v>
      </c>
      <c r="G17" s="38" t="n">
        <v>7.5</v>
      </c>
      <c r="H17" s="22" t="n">
        <v>9</v>
      </c>
      <c r="I17" s="25">
        <f>IF(OR(F17="",G17=""),"",F17*G17)</f>
        <v/>
      </c>
      <c r="J17" s="38">
        <f>IF(OR(F17="",G17=""),"",ROUND(G17*(1+F17/30),1))</f>
        <v/>
      </c>
      <c r="K17" s="26" t="inlineStr"/>
    </row>
    <row r="18" ht="18" customHeight="1">
      <c r="A18" s="35" t="n">
        <v>46146</v>
      </c>
      <c r="B18" s="16">
        <f>IF(A18="","",IFERROR(INT((A18-DATE(2026,4,27))/7)+1,""))</f>
        <v/>
      </c>
      <c r="C18" s="16" t="inlineStr">
        <is>
          <t>Upper A</t>
        </is>
      </c>
      <c r="D18" s="17" t="inlineStr">
        <is>
          <t>Pec Deck</t>
        </is>
      </c>
      <c r="E18" s="16" t="n">
        <v>3</v>
      </c>
      <c r="F18" s="16" t="n">
        <v>12</v>
      </c>
      <c r="G18" s="36" t="n">
        <v>7.5</v>
      </c>
      <c r="H18" s="16" t="n">
        <v>9</v>
      </c>
      <c r="I18" s="19">
        <f>IF(OR(F18="",G18=""),"",F18*G18)</f>
        <v/>
      </c>
      <c r="J18" s="36">
        <f>IF(OR(F18="",G18=""),"",ROUND(G18*(1+F18/30),1))</f>
        <v/>
      </c>
      <c r="K18" s="20" t="inlineStr">
        <is>
          <t>hold 7.5, climb 15/15/15</t>
        </is>
      </c>
    </row>
    <row r="19" ht="18" customHeight="1">
      <c r="A19" s="37" t="n">
        <v>46146</v>
      </c>
      <c r="B19" s="22">
        <f>IF(A19="","",IFERROR(INT((A19-DATE(2026,4,27))/7)+1,""))</f>
        <v/>
      </c>
      <c r="C19" s="22" t="inlineStr">
        <is>
          <t>Upper A</t>
        </is>
      </c>
      <c r="D19" s="23" t="inlineStr">
        <is>
          <t>Face Pull</t>
        </is>
      </c>
      <c r="E19" s="22" t="n">
        <v>1</v>
      </c>
      <c r="F19" s="22" t="n">
        <v>15</v>
      </c>
      <c r="G19" s="38" t="n">
        <v>10</v>
      </c>
      <c r="H19" s="22" t="n">
        <v>8</v>
      </c>
      <c r="I19" s="25">
        <f>IF(OR(F19="",G19=""),"",F19*G19)</f>
        <v/>
      </c>
      <c r="J19" s="38">
        <f>IF(OR(F19="",G19=""),"",ROUND(G19*(1+F19/30),1))</f>
        <v/>
      </c>
      <c r="K19" s="26" t="inlineStr"/>
    </row>
    <row r="20" ht="18" customHeight="1">
      <c r="A20" s="35" t="n">
        <v>46146</v>
      </c>
      <c r="B20" s="16">
        <f>IF(A20="","",IFERROR(INT((A20-DATE(2026,4,27))/7)+1,""))</f>
        <v/>
      </c>
      <c r="C20" s="16" t="inlineStr">
        <is>
          <t>Upper A</t>
        </is>
      </c>
      <c r="D20" s="17" t="inlineStr">
        <is>
          <t>Face Pull</t>
        </is>
      </c>
      <c r="E20" s="16" t="n">
        <v>2</v>
      </c>
      <c r="F20" s="16" t="n">
        <v>14</v>
      </c>
      <c r="G20" s="36" t="n">
        <v>10</v>
      </c>
      <c r="H20" s="16" t="n">
        <v>9</v>
      </c>
      <c r="I20" s="19">
        <f>IF(OR(F20="",G20=""),"",F20*G20)</f>
        <v/>
      </c>
      <c r="J20" s="36">
        <f>IF(OR(F20="",G20=""),"",ROUND(G20*(1+F20/30),1))</f>
        <v/>
      </c>
      <c r="K20" s="20" t="inlineStr"/>
    </row>
    <row r="21" ht="18" customHeight="1">
      <c r="A21" s="37" t="n">
        <v>46146</v>
      </c>
      <c r="B21" s="22">
        <f>IF(A21="","",IFERROR(INT((A21-DATE(2026,4,27))/7)+1,""))</f>
        <v/>
      </c>
      <c r="C21" s="22" t="inlineStr">
        <is>
          <t>Upper A</t>
        </is>
      </c>
      <c r="D21" s="23" t="inlineStr">
        <is>
          <t>Face Pull</t>
        </is>
      </c>
      <c r="E21" s="22" t="n">
        <v>3</v>
      </c>
      <c r="F21" s="22" t="n">
        <v>14</v>
      </c>
      <c r="G21" s="38" t="n">
        <v>10</v>
      </c>
      <c r="H21" s="22" t="n">
        <v>8</v>
      </c>
      <c r="I21" s="25">
        <f>IF(OR(F21="",G21=""),"",F21*G21)</f>
        <v/>
      </c>
      <c r="J21" s="38">
        <f>IF(OR(F21="",G21=""),"",ROUND(G21*(1+F21/30),1))</f>
        <v/>
      </c>
      <c r="K21" s="26" t="inlineStr">
        <is>
          <t>bump 11-12 next</t>
        </is>
      </c>
    </row>
    <row r="22" ht="18" customHeight="1">
      <c r="A22" s="35" t="n">
        <v>46146</v>
      </c>
      <c r="B22" s="16">
        <f>IF(A22="","",IFERROR(INT((A22-DATE(2026,4,27))/7)+1,""))</f>
        <v/>
      </c>
      <c r="C22" s="16" t="inlineStr">
        <is>
          <t>Upper A</t>
        </is>
      </c>
      <c r="D22" s="17" t="inlineStr">
        <is>
          <t>Triceps Pushdown</t>
        </is>
      </c>
      <c r="E22" s="16" t="n">
        <v>1</v>
      </c>
      <c r="F22" s="16" t="n">
        <v>12</v>
      </c>
      <c r="G22" s="36" t="n">
        <v>10</v>
      </c>
      <c r="H22" s="16" t="n">
        <v>8</v>
      </c>
      <c r="I22" s="19">
        <f>IF(OR(F22="",G22=""),"",F22*G22)</f>
        <v/>
      </c>
      <c r="J22" s="36">
        <f>IF(OR(F22="",G22=""),"",ROUND(G22*(1+F22/30),1))</f>
        <v/>
      </c>
      <c r="K22" s="20" t="inlineStr"/>
    </row>
    <row r="23" ht="18" customHeight="1">
      <c r="A23" s="37" t="n">
        <v>46146</v>
      </c>
      <c r="B23" s="22">
        <f>IF(A23="","",IFERROR(INT((A23-DATE(2026,4,27))/7)+1,""))</f>
        <v/>
      </c>
      <c r="C23" s="22" t="inlineStr">
        <is>
          <t>Upper A</t>
        </is>
      </c>
      <c r="D23" s="23" t="inlineStr">
        <is>
          <t>Triceps Pushdown</t>
        </is>
      </c>
      <c r="E23" s="22" t="n">
        <v>2</v>
      </c>
      <c r="F23" s="22" t="n">
        <v>12</v>
      </c>
      <c r="G23" s="38" t="n">
        <v>10</v>
      </c>
      <c r="H23" s="22" t="n">
        <v>8</v>
      </c>
      <c r="I23" s="25">
        <f>IF(OR(F23="",G23=""),"",F23*G23)</f>
        <v/>
      </c>
      <c r="J23" s="38">
        <f>IF(OR(F23="",G23=""),"",ROUND(G23*(1+F23/30),1))</f>
        <v/>
      </c>
      <c r="K23" s="26" t="inlineStr"/>
    </row>
    <row r="24" ht="18" customHeight="1">
      <c r="A24" s="35" t="n">
        <v>46146</v>
      </c>
      <c r="B24" s="16">
        <f>IF(A24="","",IFERROR(INT((A24-DATE(2026,4,27))/7)+1,""))</f>
        <v/>
      </c>
      <c r="C24" s="16" t="inlineStr">
        <is>
          <t>Upper A</t>
        </is>
      </c>
      <c r="D24" s="17" t="inlineStr">
        <is>
          <t>Triceps Pushdown</t>
        </is>
      </c>
      <c r="E24" s="16" t="n">
        <v>3</v>
      </c>
      <c r="F24" s="16" t="n">
        <v>12</v>
      </c>
      <c r="G24" s="36" t="n">
        <v>10</v>
      </c>
      <c r="H24" s="16" t="n">
        <v>8</v>
      </c>
      <c r="I24" s="19">
        <f>IF(OR(F24="",G24=""),"",F24*G24)</f>
        <v/>
      </c>
      <c r="J24" s="36">
        <f>IF(OR(F24="",G24=""),"",ROUND(G24*(1+F24/30),1))</f>
        <v/>
      </c>
      <c r="K24" s="20" t="inlineStr">
        <is>
          <t>bump 11-12 next</t>
        </is>
      </c>
    </row>
    <row r="25" ht="18" customHeight="1">
      <c r="A25" s="37" t="n">
        <v>46146</v>
      </c>
      <c r="B25" s="22">
        <f>IF(A25="","",IFERROR(INT((A25-DATE(2026,4,27))/7)+1,""))</f>
        <v/>
      </c>
      <c r="C25" s="22" t="inlineStr">
        <is>
          <t>Upper A</t>
        </is>
      </c>
      <c r="D25" s="23" t="inlineStr">
        <is>
          <t>DB Curl</t>
        </is>
      </c>
      <c r="E25" s="22" t="n">
        <v>1</v>
      </c>
      <c r="F25" s="22" t="n">
        <v>12</v>
      </c>
      <c r="G25" s="38" t="n">
        <v>6</v>
      </c>
      <c r="H25" s="22" t="n">
        <v>8</v>
      </c>
      <c r="I25" s="25">
        <f>IF(OR(F25="",G25=""),"",F25*G25)</f>
        <v/>
      </c>
      <c r="J25" s="38">
        <f>IF(OR(F25="",G25=""),"",ROUND(G25*(1+F25/30),1))</f>
        <v/>
      </c>
      <c r="K25" s="26" t="inlineStr"/>
    </row>
    <row r="26" ht="18" customHeight="1">
      <c r="A26" s="35" t="n">
        <v>46146</v>
      </c>
      <c r="B26" s="16">
        <f>IF(A26="","",IFERROR(INT((A26-DATE(2026,4,27))/7)+1,""))</f>
        <v/>
      </c>
      <c r="C26" s="16" t="inlineStr">
        <is>
          <t>Upper A</t>
        </is>
      </c>
      <c r="D26" s="17" t="inlineStr">
        <is>
          <t>DB Curl</t>
        </is>
      </c>
      <c r="E26" s="16" t="n">
        <v>2</v>
      </c>
      <c r="F26" s="16" t="n">
        <v>12</v>
      </c>
      <c r="G26" s="36" t="n">
        <v>6</v>
      </c>
      <c r="H26" s="16" t="n">
        <v>8</v>
      </c>
      <c r="I26" s="19">
        <f>IF(OR(F26="",G26=""),"",F26*G26)</f>
        <v/>
      </c>
      <c r="J26" s="36">
        <f>IF(OR(F26="",G26=""),"",ROUND(G26*(1+F26/30),1))</f>
        <v/>
      </c>
      <c r="K26" s="20" t="inlineStr"/>
    </row>
    <row r="27" ht="18" customHeight="1">
      <c r="A27" s="37" t="n">
        <v>46146</v>
      </c>
      <c r="B27" s="22">
        <f>IF(A27="","",IFERROR(INT((A27-DATE(2026,4,27))/7)+1,""))</f>
        <v/>
      </c>
      <c r="C27" s="22" t="inlineStr">
        <is>
          <t>Upper A</t>
        </is>
      </c>
      <c r="D27" s="23" t="inlineStr">
        <is>
          <t>DB Curl</t>
        </is>
      </c>
      <c r="E27" s="22" t="n">
        <v>3</v>
      </c>
      <c r="F27" s="22" t="n">
        <v>12</v>
      </c>
      <c r="G27" s="38" t="n">
        <v>6</v>
      </c>
      <c r="H27" s="22" t="n">
        <v>8</v>
      </c>
      <c r="I27" s="25">
        <f>IF(OR(F27="",G27=""),"",F27*G27)</f>
        <v/>
      </c>
      <c r="J27" s="38">
        <f>IF(OR(F27="",G27=""),"",ROUND(G27*(1+F27/30),1))</f>
        <v/>
      </c>
      <c r="K27" s="26" t="inlineStr">
        <is>
          <t>bump 7-8 next</t>
        </is>
      </c>
    </row>
    <row r="28" ht="18" customHeight="1">
      <c r="A28" s="35" t="n">
        <v>46147</v>
      </c>
      <c r="B28" s="16">
        <f>IF(A28="","",IFERROR(INT((A28-DATE(2026,4,27))/7)+1,""))</f>
        <v/>
      </c>
      <c r="C28" s="16" t="inlineStr">
        <is>
          <t>Lower A</t>
        </is>
      </c>
      <c r="D28" s="17" t="inlineStr">
        <is>
          <t>Back Squat</t>
        </is>
      </c>
      <c r="E28" s="16" t="n">
        <v>1</v>
      </c>
      <c r="F28" s="16" t="n">
        <v>7</v>
      </c>
      <c r="G28" s="36" t="n">
        <v>35</v>
      </c>
      <c r="H28" s="16" t="n">
        <v>8</v>
      </c>
      <c r="I28" s="19">
        <f>IF(OR(F28="",G28=""),"",F28*G28)</f>
        <v/>
      </c>
      <c r="J28" s="36">
        <f>IF(OR(F28="",G28=""),"",ROUND(G28*(1+F28/30),1))</f>
        <v/>
      </c>
      <c r="K28" s="20" t="inlineStr"/>
    </row>
    <row r="29" ht="18" customHeight="1">
      <c r="A29" s="37" t="n">
        <v>46147</v>
      </c>
      <c r="B29" s="22">
        <f>IF(A29="","",IFERROR(INT((A29-DATE(2026,4,27))/7)+1,""))</f>
        <v/>
      </c>
      <c r="C29" s="22" t="inlineStr">
        <is>
          <t>Lower A</t>
        </is>
      </c>
      <c r="D29" s="23" t="inlineStr">
        <is>
          <t>Back Squat</t>
        </is>
      </c>
      <c r="E29" s="22" t="n">
        <v>2</v>
      </c>
      <c r="F29" s="22" t="n">
        <v>7</v>
      </c>
      <c r="G29" s="38" t="n">
        <v>35</v>
      </c>
      <c r="H29" s="22" t="n">
        <v>8</v>
      </c>
      <c r="I29" s="25">
        <f>IF(OR(F29="",G29=""),"",F29*G29)</f>
        <v/>
      </c>
      <c r="J29" s="38">
        <f>IF(OR(F29="",G29=""),"",ROUND(G29*(1+F29/30),1))</f>
        <v/>
      </c>
      <c r="K29" s="26" t="inlineStr"/>
    </row>
    <row r="30" ht="18" customHeight="1">
      <c r="A30" s="35" t="n">
        <v>46147</v>
      </c>
      <c r="B30" s="16">
        <f>IF(A30="","",IFERROR(INT((A30-DATE(2026,4,27))/7)+1,""))</f>
        <v/>
      </c>
      <c r="C30" s="16" t="inlineStr">
        <is>
          <t>Lower A</t>
        </is>
      </c>
      <c r="D30" s="17" t="inlineStr">
        <is>
          <t>Back Squat</t>
        </is>
      </c>
      <c r="E30" s="16" t="n">
        <v>3</v>
      </c>
      <c r="F30" s="16" t="n">
        <v>6</v>
      </c>
      <c r="G30" s="36" t="n">
        <v>35</v>
      </c>
      <c r="H30" s="16" t="n">
        <v>8</v>
      </c>
      <c r="I30" s="19">
        <f>IF(OR(F30="",G30=""),"",F30*G30)</f>
        <v/>
      </c>
      <c r="J30" s="36">
        <f>IF(OR(F30="",G30=""),"",ROUND(G30*(1+F30/30),1))</f>
        <v/>
      </c>
      <c r="K30" s="20" t="inlineStr"/>
    </row>
    <row r="31" ht="18" customHeight="1">
      <c r="A31" s="37" t="n">
        <v>46147</v>
      </c>
      <c r="B31" s="22">
        <f>IF(A31="","",IFERROR(INT((A31-DATE(2026,4,27))/7)+1,""))</f>
        <v/>
      </c>
      <c r="C31" s="22" t="inlineStr">
        <is>
          <t>Lower A</t>
        </is>
      </c>
      <c r="D31" s="23" t="inlineStr">
        <is>
          <t>Back Squat</t>
        </is>
      </c>
      <c r="E31" s="22" t="n">
        <v>4</v>
      </c>
      <c r="F31" s="22" t="n">
        <v>6</v>
      </c>
      <c r="G31" s="38" t="n">
        <v>35</v>
      </c>
      <c r="H31" s="22" t="n">
        <v>8</v>
      </c>
      <c r="I31" s="25">
        <f>IF(OR(F31="",G31=""),"",F31*G31)</f>
        <v/>
      </c>
      <c r="J31" s="38">
        <f>IF(OR(F31="",G31=""),"",ROUND(G31*(1+F31/30),1))</f>
        <v/>
      </c>
      <c r="K31" s="26" t="inlineStr">
        <is>
          <t>hold 35, climb 7/7/7/7</t>
        </is>
      </c>
    </row>
    <row r="32" ht="18" customHeight="1">
      <c r="A32" s="35" t="n">
        <v>46147</v>
      </c>
      <c r="B32" s="16">
        <f>IF(A32="","",IFERROR(INT((A32-DATE(2026,4,27))/7)+1,""))</f>
        <v/>
      </c>
      <c r="C32" s="16" t="inlineStr">
        <is>
          <t>Lower A</t>
        </is>
      </c>
      <c r="D32" s="17" t="inlineStr">
        <is>
          <t>Romanian Deadlift</t>
        </is>
      </c>
      <c r="E32" s="16" t="n">
        <v>1</v>
      </c>
      <c r="F32" s="16" t="n">
        <v>10</v>
      </c>
      <c r="G32" s="36" t="n">
        <v>30</v>
      </c>
      <c r="H32" s="16" t="n">
        <v>8</v>
      </c>
      <c r="I32" s="19">
        <f>IF(OR(F32="",G32=""),"",F32*G32)</f>
        <v/>
      </c>
      <c r="J32" s="36">
        <f>IF(OR(F32="",G32=""),"",ROUND(G32*(1+F32/30),1))</f>
        <v/>
      </c>
      <c r="K32" s="20" t="inlineStr"/>
    </row>
    <row r="33" ht="18" customHeight="1">
      <c r="A33" s="37" t="n">
        <v>46147</v>
      </c>
      <c r="B33" s="22">
        <f>IF(A33="","",IFERROR(INT((A33-DATE(2026,4,27))/7)+1,""))</f>
        <v/>
      </c>
      <c r="C33" s="22" t="inlineStr">
        <is>
          <t>Lower A</t>
        </is>
      </c>
      <c r="D33" s="23" t="inlineStr">
        <is>
          <t>Romanian Deadlift</t>
        </is>
      </c>
      <c r="E33" s="22" t="n">
        <v>2</v>
      </c>
      <c r="F33" s="22" t="n">
        <v>10</v>
      </c>
      <c r="G33" s="38" t="n">
        <v>30</v>
      </c>
      <c r="H33" s="22" t="n">
        <v>8</v>
      </c>
      <c r="I33" s="25">
        <f>IF(OR(F33="",G33=""),"",F33*G33)</f>
        <v/>
      </c>
      <c r="J33" s="38">
        <f>IF(OR(F33="",G33=""),"",ROUND(G33*(1+F33/30),1))</f>
        <v/>
      </c>
      <c r="K33" s="26" t="inlineStr"/>
    </row>
    <row r="34" ht="18" customHeight="1">
      <c r="A34" s="35" t="n">
        <v>46147</v>
      </c>
      <c r="B34" s="16">
        <f>IF(A34="","",IFERROR(INT((A34-DATE(2026,4,27))/7)+1,""))</f>
        <v/>
      </c>
      <c r="C34" s="16" t="inlineStr">
        <is>
          <t>Lower A</t>
        </is>
      </c>
      <c r="D34" s="17" t="inlineStr">
        <is>
          <t>Romanian Deadlift</t>
        </is>
      </c>
      <c r="E34" s="16" t="n">
        <v>3</v>
      </c>
      <c r="F34" s="16" t="n">
        <v>8</v>
      </c>
      <c r="G34" s="36" t="n">
        <v>30</v>
      </c>
      <c r="H34" s="16" t="n">
        <v>8</v>
      </c>
      <c r="I34" s="19">
        <f>IF(OR(F34="",G34=""),"",F34*G34)</f>
        <v/>
      </c>
      <c r="J34" s="36">
        <f>IF(OR(F34="",G34=""),"",ROUND(G34*(1+F34/30),1))</f>
        <v/>
      </c>
      <c r="K34" s="20" t="inlineStr">
        <is>
          <t>hold 30, climb 10/10/10</t>
        </is>
      </c>
    </row>
    <row r="35" ht="18" customHeight="1">
      <c r="A35" s="37" t="n">
        <v>46147</v>
      </c>
      <c r="B35" s="22">
        <f>IF(A35="","",IFERROR(INT((A35-DATE(2026,4,27))/7)+1,""))</f>
        <v/>
      </c>
      <c r="C35" s="22" t="inlineStr">
        <is>
          <t>Lower A</t>
        </is>
      </c>
      <c r="D35" s="23" t="inlineStr">
        <is>
          <t>Leg Press</t>
        </is>
      </c>
      <c r="E35" s="22" t="n">
        <v>1</v>
      </c>
      <c r="F35" s="22" t="n">
        <v>12</v>
      </c>
      <c r="G35" s="38" t="n">
        <v>20</v>
      </c>
      <c r="H35" s="22" t="n">
        <v>7</v>
      </c>
      <c r="I35" s="25">
        <f>IF(OR(F35="",G35=""),"",F35*G35)</f>
        <v/>
      </c>
      <c r="J35" s="38">
        <f>IF(OR(F35="",G35=""),"",ROUND(G35*(1+F35/30),1))</f>
        <v/>
      </c>
      <c r="K35" s="26" t="inlineStr"/>
    </row>
    <row r="36" ht="18" customHeight="1">
      <c r="A36" s="35" t="n">
        <v>46147</v>
      </c>
      <c r="B36" s="16">
        <f>IF(A36="","",IFERROR(INT((A36-DATE(2026,4,27))/7)+1,""))</f>
        <v/>
      </c>
      <c r="C36" s="16" t="inlineStr">
        <is>
          <t>Lower A</t>
        </is>
      </c>
      <c r="D36" s="17" t="inlineStr">
        <is>
          <t>Leg Press</t>
        </is>
      </c>
      <c r="E36" s="16" t="n">
        <v>2</v>
      </c>
      <c r="F36" s="16" t="n">
        <v>12</v>
      </c>
      <c r="G36" s="36" t="n">
        <v>20</v>
      </c>
      <c r="H36" s="16" t="n">
        <v>8</v>
      </c>
      <c r="I36" s="19">
        <f>IF(OR(F36="",G36=""),"",F36*G36)</f>
        <v/>
      </c>
      <c r="J36" s="36">
        <f>IF(OR(F36="",G36=""),"",ROUND(G36*(1+F36/30),1))</f>
        <v/>
      </c>
      <c r="K36" s="20" t="inlineStr"/>
    </row>
    <row r="37" ht="18" customHeight="1">
      <c r="A37" s="37" t="n">
        <v>46147</v>
      </c>
      <c r="B37" s="22">
        <f>IF(A37="","",IFERROR(INT((A37-DATE(2026,4,27))/7)+1,""))</f>
        <v/>
      </c>
      <c r="C37" s="22" t="inlineStr">
        <is>
          <t>Lower A</t>
        </is>
      </c>
      <c r="D37" s="23" t="inlineStr">
        <is>
          <t>Leg Press</t>
        </is>
      </c>
      <c r="E37" s="22" t="n">
        <v>3</v>
      </c>
      <c r="F37" s="22" t="n">
        <v>11</v>
      </c>
      <c r="G37" s="38" t="n">
        <v>20</v>
      </c>
      <c r="H37" s="22" t="n">
        <v>8</v>
      </c>
      <c r="I37" s="25">
        <f>IF(OR(F37="",G37=""),"",F37*G37)</f>
        <v/>
      </c>
      <c r="J37" s="38">
        <f>IF(OR(F37="",G37=""),"",ROUND(G37*(1+F37/30),1))</f>
        <v/>
      </c>
      <c r="K37" s="26" t="inlineStr">
        <is>
          <t>bump 22.5-25 next</t>
        </is>
      </c>
    </row>
    <row r="38" ht="18" customHeight="1">
      <c r="A38" s="35" t="n">
        <v>46147</v>
      </c>
      <c r="B38" s="16">
        <f>IF(A38="","",IFERROR(INT((A38-DATE(2026,4,27))/7)+1,""))</f>
        <v/>
      </c>
      <c r="C38" s="16" t="inlineStr">
        <is>
          <t>Lower A</t>
        </is>
      </c>
      <c r="D38" s="17" t="inlineStr">
        <is>
          <t>Lying Leg Curl</t>
        </is>
      </c>
      <c r="E38" s="16" t="n">
        <v>1</v>
      </c>
      <c r="F38" s="16" t="n">
        <v>12</v>
      </c>
      <c r="G38" s="36" t="n">
        <v>15</v>
      </c>
      <c r="H38" s="16" t="n">
        <v>6</v>
      </c>
      <c r="I38" s="19">
        <f>IF(OR(F38="",G38=""),"",F38*G38)</f>
        <v/>
      </c>
      <c r="J38" s="36">
        <f>IF(OR(F38="",G38=""),"",ROUND(G38*(1+F38/30),1))</f>
        <v/>
      </c>
      <c r="K38" s="20" t="inlineStr">
        <is>
          <t>warm-up, bumped</t>
        </is>
      </c>
    </row>
    <row r="39" ht="18" customHeight="1">
      <c r="A39" s="37" t="n">
        <v>46147</v>
      </c>
      <c r="B39" s="22">
        <f>IF(A39="","",IFERROR(INT((A39-DATE(2026,4,27))/7)+1,""))</f>
        <v/>
      </c>
      <c r="C39" s="22" t="inlineStr">
        <is>
          <t>Lower A</t>
        </is>
      </c>
      <c r="D39" s="23" t="inlineStr">
        <is>
          <t>Lying Leg Curl</t>
        </is>
      </c>
      <c r="E39" s="22" t="n">
        <v>2</v>
      </c>
      <c r="F39" s="22" t="n">
        <v>11</v>
      </c>
      <c r="G39" s="38" t="n">
        <v>20</v>
      </c>
      <c r="H39" s="22" t="n">
        <v>8</v>
      </c>
      <c r="I39" s="25">
        <f>IF(OR(F39="",G39=""),"",F39*G39)</f>
        <v/>
      </c>
      <c r="J39" s="38">
        <f>IF(OR(F39="",G39=""),"",ROUND(G39*(1+F39/30),1))</f>
        <v/>
      </c>
      <c r="K39" s="26" t="inlineStr"/>
    </row>
    <row r="40" ht="18" customHeight="1">
      <c r="A40" s="35" t="n">
        <v>46147</v>
      </c>
      <c r="B40" s="16">
        <f>IF(A40="","",IFERROR(INT((A40-DATE(2026,4,27))/7)+1,""))</f>
        <v/>
      </c>
      <c r="C40" s="16" t="inlineStr">
        <is>
          <t>Lower A</t>
        </is>
      </c>
      <c r="D40" s="17" t="inlineStr">
        <is>
          <t>Lying Leg Curl</t>
        </is>
      </c>
      <c r="E40" s="16" t="n">
        <v>3</v>
      </c>
      <c r="F40" s="16" t="n">
        <v>10</v>
      </c>
      <c r="G40" s="36" t="n">
        <v>20</v>
      </c>
      <c r="H40" s="16" t="n">
        <v>8</v>
      </c>
      <c r="I40" s="19">
        <f>IF(OR(F40="",G40=""),"",F40*G40)</f>
        <v/>
      </c>
      <c r="J40" s="36">
        <f>IF(OR(F40="",G40=""),"",ROUND(G40*(1+F40/30),1))</f>
        <v/>
      </c>
      <c r="K40" s="20" t="inlineStr">
        <is>
          <t>hold 20, climb 12/12/12</t>
        </is>
      </c>
    </row>
    <row r="41" ht="18" customHeight="1">
      <c r="A41" s="37" t="n">
        <v>46147</v>
      </c>
      <c r="B41" s="22">
        <f>IF(A41="","",IFERROR(INT((A41-DATE(2026,4,27))/7)+1,""))</f>
        <v/>
      </c>
      <c r="C41" s="22" t="inlineStr">
        <is>
          <t>Lower A</t>
        </is>
      </c>
      <c r="D41" s="23" t="inlineStr">
        <is>
          <t>Standing Calf Raise</t>
        </is>
      </c>
      <c r="E41" s="22" t="n">
        <v>1</v>
      </c>
      <c r="F41" s="22" t="n">
        <v>15</v>
      </c>
      <c r="G41" s="38" t="n">
        <v>20</v>
      </c>
      <c r="H41" s="22" t="n">
        <v>6</v>
      </c>
      <c r="I41" s="25">
        <f>IF(OR(F41="",G41=""),"",F41*G41)</f>
        <v/>
      </c>
      <c r="J41" s="38">
        <f>IF(OR(F41="",G41=""),"",ROUND(G41*(1+F41/30),1))</f>
        <v/>
      </c>
      <c r="K41" s="26" t="inlineStr">
        <is>
          <t>warm-up, bumped</t>
        </is>
      </c>
    </row>
    <row r="42" ht="18" customHeight="1">
      <c r="A42" s="35" t="n">
        <v>46147</v>
      </c>
      <c r="B42" s="16">
        <f>IF(A42="","",IFERROR(INT((A42-DATE(2026,4,27))/7)+1,""))</f>
        <v/>
      </c>
      <c r="C42" s="16" t="inlineStr">
        <is>
          <t>Lower A</t>
        </is>
      </c>
      <c r="D42" s="17" t="inlineStr">
        <is>
          <t>Standing Calf Raise</t>
        </is>
      </c>
      <c r="E42" s="16" t="n">
        <v>2</v>
      </c>
      <c r="F42" s="16" t="n">
        <v>14</v>
      </c>
      <c r="G42" s="36" t="n">
        <v>30</v>
      </c>
      <c r="H42" s="16" t="n">
        <v>9</v>
      </c>
      <c r="I42" s="19">
        <f>IF(OR(F42="",G42=""),"",F42*G42)</f>
        <v/>
      </c>
      <c r="J42" s="36">
        <f>IF(OR(F42="",G42=""),"",ROUND(G42*(1+F42/30),1))</f>
        <v/>
      </c>
      <c r="K42" s="20" t="inlineStr"/>
    </row>
    <row r="43" ht="18" customHeight="1">
      <c r="A43" s="37" t="n">
        <v>46147</v>
      </c>
      <c r="B43" s="22">
        <f>IF(A43="","",IFERROR(INT((A43-DATE(2026,4,27))/7)+1,""))</f>
        <v/>
      </c>
      <c r="C43" s="22" t="inlineStr">
        <is>
          <t>Lower A</t>
        </is>
      </c>
      <c r="D43" s="23" t="inlineStr">
        <is>
          <t>Standing Calf Raise</t>
        </is>
      </c>
      <c r="E43" s="22" t="n">
        <v>3</v>
      </c>
      <c r="F43" s="22" t="n">
        <v>13</v>
      </c>
      <c r="G43" s="38" t="n">
        <v>30</v>
      </c>
      <c r="H43" s="22" t="n">
        <v>8</v>
      </c>
      <c r="I43" s="25">
        <f>IF(OR(F43="",G43=""),"",F43*G43)</f>
        <v/>
      </c>
      <c r="J43" s="38">
        <f>IF(OR(F43="",G43=""),"",ROUND(G43*(1+F43/30),1))</f>
        <v/>
      </c>
      <c r="K43" s="26" t="inlineStr"/>
    </row>
    <row r="44" ht="18" customHeight="1">
      <c r="A44" s="35" t="n">
        <v>46147</v>
      </c>
      <c r="B44" s="16">
        <f>IF(A44="","",IFERROR(INT((A44-DATE(2026,4,27))/7)+1,""))</f>
        <v/>
      </c>
      <c r="C44" s="16" t="inlineStr">
        <is>
          <t>Lower A</t>
        </is>
      </c>
      <c r="D44" s="17" t="inlineStr">
        <is>
          <t>Standing Calf Raise</t>
        </is>
      </c>
      <c r="E44" s="16" t="n">
        <v>4</v>
      </c>
      <c r="F44" s="16" t="n">
        <v>12</v>
      </c>
      <c r="G44" s="36" t="n">
        <v>30</v>
      </c>
      <c r="H44" s="16" t="n">
        <v>9</v>
      </c>
      <c r="I44" s="19">
        <f>IF(OR(F44="",G44=""),"",F44*G44)</f>
        <v/>
      </c>
      <c r="J44" s="36">
        <f>IF(OR(F44="",G44=""),"",ROUND(G44*(1+F44/30),1))</f>
        <v/>
      </c>
      <c r="K44" s="20" t="inlineStr">
        <is>
          <t>hold 30, climb 15/15/15</t>
        </is>
      </c>
    </row>
    <row r="45" ht="18" customHeight="1">
      <c r="A45" s="37" t="n">
        <v>46147</v>
      </c>
      <c r="B45" s="22">
        <f>IF(A45="","",IFERROR(INT((A45-DATE(2026,4,27))/7)+1,""))</f>
        <v/>
      </c>
      <c r="C45" s="22" t="inlineStr">
        <is>
          <t>Lower A</t>
        </is>
      </c>
      <c r="D45" s="23" t="inlineStr">
        <is>
          <t>Hanging Knee Raise</t>
        </is>
      </c>
      <c r="E45" s="22" t="n">
        <v>1</v>
      </c>
      <c r="F45" s="22" t="n">
        <v>10</v>
      </c>
      <c r="G45" s="38" t="n">
        <v>0</v>
      </c>
      <c r="H45" s="22" t="n">
        <v>7</v>
      </c>
      <c r="I45" s="25">
        <f>IF(OR(F45="",G45=""),"",F45*G45)</f>
        <v/>
      </c>
      <c r="J45" s="38">
        <f>IF(OR(F45="",G45=""),"",ROUND(G45*(1+F45/30),1))</f>
        <v/>
      </c>
      <c r="K45" s="26" t="inlineStr">
        <is>
          <t>BW</t>
        </is>
      </c>
    </row>
    <row r="46" ht="18" customHeight="1">
      <c r="A46" s="35" t="n">
        <v>46147</v>
      </c>
      <c r="B46" s="16">
        <f>IF(A46="","",IFERROR(INT((A46-DATE(2026,4,27))/7)+1,""))</f>
        <v/>
      </c>
      <c r="C46" s="16" t="inlineStr">
        <is>
          <t>Lower A</t>
        </is>
      </c>
      <c r="D46" s="17" t="inlineStr">
        <is>
          <t>Hanging Knee Raise</t>
        </is>
      </c>
      <c r="E46" s="16" t="n">
        <v>2</v>
      </c>
      <c r="F46" s="16" t="n">
        <v>10</v>
      </c>
      <c r="G46" s="36" t="n">
        <v>0</v>
      </c>
      <c r="H46" s="16" t="n">
        <v>7</v>
      </c>
      <c r="I46" s="19">
        <f>IF(OR(F46="",G46=""),"",F46*G46)</f>
        <v/>
      </c>
      <c r="J46" s="36">
        <f>IF(OR(F46="",G46=""),"",ROUND(G46*(1+F46/30),1))</f>
        <v/>
      </c>
      <c r="K46" s="20" t="inlineStr">
        <is>
          <t>BW</t>
        </is>
      </c>
    </row>
    <row r="47" ht="18" customHeight="1">
      <c r="A47" s="37" t="n">
        <v>46147</v>
      </c>
      <c r="B47" s="22">
        <f>IF(A47="","",IFERROR(INT((A47-DATE(2026,4,27))/7)+1,""))</f>
        <v/>
      </c>
      <c r="C47" s="22" t="inlineStr">
        <is>
          <t>Lower A</t>
        </is>
      </c>
      <c r="D47" s="23" t="inlineStr">
        <is>
          <t>Hanging Knee Raise</t>
        </is>
      </c>
      <c r="E47" s="22" t="n">
        <v>3</v>
      </c>
      <c r="F47" s="22" t="n">
        <v>10</v>
      </c>
      <c r="G47" s="38" t="n">
        <v>0</v>
      </c>
      <c r="H47" s="22" t="n">
        <v>7</v>
      </c>
      <c r="I47" s="25">
        <f>IF(OR(F47="",G47=""),"",F47*G47)</f>
        <v/>
      </c>
      <c r="J47" s="38">
        <f>IF(OR(F47="",G47=""),"",ROUND(G47*(1+F47/30),1))</f>
        <v/>
      </c>
      <c r="K47" s="26" t="inlineStr">
        <is>
          <t>BW, add reps/weight next</t>
        </is>
      </c>
    </row>
    <row r="48" ht="18" customHeight="1">
      <c r="A48" s="35" t="n">
        <v>46149</v>
      </c>
      <c r="B48" s="16">
        <f>IF(A48="","",IFERROR(INT((A48-DATE(2026,4,27))/7)+1,""))</f>
        <v/>
      </c>
      <c r="C48" s="16" t="inlineStr">
        <is>
          <t>Upper B</t>
        </is>
      </c>
      <c r="D48" s="17" t="inlineStr">
        <is>
          <t>Overhead Press</t>
        </is>
      </c>
      <c r="E48" s="16" t="n">
        <v>1</v>
      </c>
      <c r="F48" s="16" t="n">
        <v>8</v>
      </c>
      <c r="G48" s="36" t="n">
        <v>22.5</v>
      </c>
      <c r="H48" s="16" t="n">
        <v>8</v>
      </c>
      <c r="I48" s="19">
        <f>IF(OR(F48="",G48=""),"",F48*G48)</f>
        <v/>
      </c>
      <c r="J48" s="36">
        <f>IF(OR(F48="",G48=""),"",ROUND(G48*(1+F48/30),1))</f>
        <v/>
      </c>
      <c r="K48" s="20" t="inlineStr"/>
    </row>
    <row r="49" ht="18" customHeight="1">
      <c r="A49" s="37" t="n">
        <v>46149</v>
      </c>
      <c r="B49" s="22">
        <f>IF(A49="","",IFERROR(INT((A49-DATE(2026,4,27))/7)+1,""))</f>
        <v/>
      </c>
      <c r="C49" s="22" t="inlineStr">
        <is>
          <t>Upper B</t>
        </is>
      </c>
      <c r="D49" s="23" t="inlineStr">
        <is>
          <t>Overhead Press</t>
        </is>
      </c>
      <c r="E49" s="22" t="n">
        <v>2</v>
      </c>
      <c r="F49" s="22" t="n">
        <v>8</v>
      </c>
      <c r="G49" s="38" t="n">
        <v>22.5</v>
      </c>
      <c r="H49" s="22" t="n">
        <v>8</v>
      </c>
      <c r="I49" s="25">
        <f>IF(OR(F49="",G49=""),"",F49*G49)</f>
        <v/>
      </c>
      <c r="J49" s="38">
        <f>IF(OR(F49="",G49=""),"",ROUND(G49*(1+F49/30),1))</f>
        <v/>
      </c>
      <c r="K49" s="26" t="inlineStr"/>
    </row>
    <row r="50" ht="18" customHeight="1">
      <c r="A50" s="35" t="n">
        <v>46149</v>
      </c>
      <c r="B50" s="16">
        <f>IF(A50="","",IFERROR(INT((A50-DATE(2026,4,27))/7)+1,""))</f>
        <v/>
      </c>
      <c r="C50" s="16" t="inlineStr">
        <is>
          <t>Upper B</t>
        </is>
      </c>
      <c r="D50" s="17" t="inlineStr">
        <is>
          <t>Overhead Press</t>
        </is>
      </c>
      <c r="E50" s="16" t="n">
        <v>3</v>
      </c>
      <c r="F50" s="16" t="n">
        <v>8</v>
      </c>
      <c r="G50" s="36" t="n">
        <v>22.5</v>
      </c>
      <c r="H50" s="16" t="n">
        <v>9</v>
      </c>
      <c r="I50" s="19">
        <f>IF(OR(F50="",G50=""),"",F50*G50)</f>
        <v/>
      </c>
      <c r="J50" s="36">
        <f>IF(OR(F50="",G50=""),"",ROUND(G50*(1+F50/30),1))</f>
        <v/>
      </c>
      <c r="K50" s="20" t="inlineStr"/>
    </row>
    <row r="51" ht="18" customHeight="1">
      <c r="A51" s="37" t="n">
        <v>46149</v>
      </c>
      <c r="B51" s="22">
        <f>IF(A51="","",IFERROR(INT((A51-DATE(2026,4,27))/7)+1,""))</f>
        <v/>
      </c>
      <c r="C51" s="22" t="inlineStr">
        <is>
          <t>Upper B</t>
        </is>
      </c>
      <c r="D51" s="23" t="inlineStr">
        <is>
          <t>Overhead Press</t>
        </is>
      </c>
      <c r="E51" s="22" t="n">
        <v>4</v>
      </c>
      <c r="F51" s="22" t="n">
        <v>8</v>
      </c>
      <c r="G51" s="38" t="n">
        <v>22.5</v>
      </c>
      <c r="H51" s="22" t="n">
        <v>9</v>
      </c>
      <c r="I51" s="25">
        <f>IF(OR(F51="",G51=""),"",F51*G51)</f>
        <v/>
      </c>
      <c r="J51" s="38">
        <f>IF(OR(F51="",G51=""),"",ROUND(G51*(1+F51/30),1))</f>
        <v/>
      </c>
      <c r="K51" s="26" t="inlineStr">
        <is>
          <t>bump 25 next, +1 set Wk 3</t>
        </is>
      </c>
    </row>
    <row r="52" ht="18" customHeight="1">
      <c r="A52" s="35" t="n">
        <v>46149</v>
      </c>
      <c r="B52" s="16">
        <f>IF(A52="","",IFERROR(INT((A52-DATE(2026,4,27))/7)+1,""))</f>
        <v/>
      </c>
      <c r="C52" s="16" t="inlineStr">
        <is>
          <t>Upper B</t>
        </is>
      </c>
      <c r="D52" s="17" t="inlineStr">
        <is>
          <t>Lat Pulldown</t>
        </is>
      </c>
      <c r="E52" s="16" t="n">
        <v>1</v>
      </c>
      <c r="F52" s="16" t="n">
        <v>10</v>
      </c>
      <c r="G52" s="36" t="n">
        <v>40</v>
      </c>
      <c r="H52" s="16" t="n">
        <v>7</v>
      </c>
      <c r="I52" s="19">
        <f>IF(OR(F52="",G52=""),"",F52*G52)</f>
        <v/>
      </c>
      <c r="J52" s="36">
        <f>IF(OR(F52="",G52=""),"",ROUND(G52*(1+F52/30),1))</f>
        <v/>
      </c>
      <c r="K52" s="20" t="inlineStr"/>
    </row>
    <row r="53" ht="18" customHeight="1">
      <c r="A53" s="37" t="n">
        <v>46149</v>
      </c>
      <c r="B53" s="22">
        <f>IF(A53="","",IFERROR(INT((A53-DATE(2026,4,27))/7)+1,""))</f>
        <v/>
      </c>
      <c r="C53" s="22" t="inlineStr">
        <is>
          <t>Upper B</t>
        </is>
      </c>
      <c r="D53" s="23" t="inlineStr">
        <is>
          <t>Lat Pulldown</t>
        </is>
      </c>
      <c r="E53" s="22" t="n">
        <v>2</v>
      </c>
      <c r="F53" s="22" t="n">
        <v>10</v>
      </c>
      <c r="G53" s="38" t="n">
        <v>40</v>
      </c>
      <c r="H53" s="22" t="n">
        <v>7</v>
      </c>
      <c r="I53" s="25">
        <f>IF(OR(F53="",G53=""),"",F53*G53)</f>
        <v/>
      </c>
      <c r="J53" s="38">
        <f>IF(OR(F53="",G53=""),"",ROUND(G53*(1+F53/30),1))</f>
        <v/>
      </c>
      <c r="K53" s="26" t="inlineStr"/>
    </row>
    <row r="54" ht="18" customHeight="1">
      <c r="A54" s="35" t="n">
        <v>46149</v>
      </c>
      <c r="B54" s="16">
        <f>IF(A54="","",IFERROR(INT((A54-DATE(2026,4,27))/7)+1,""))</f>
        <v/>
      </c>
      <c r="C54" s="16" t="inlineStr">
        <is>
          <t>Upper B</t>
        </is>
      </c>
      <c r="D54" s="17" t="inlineStr">
        <is>
          <t>Lat Pulldown</t>
        </is>
      </c>
      <c r="E54" s="16" t="n">
        <v>3</v>
      </c>
      <c r="F54" s="16" t="n">
        <v>10</v>
      </c>
      <c r="G54" s="36" t="n">
        <v>40</v>
      </c>
      <c r="H54" s="16" t="n">
        <v>8</v>
      </c>
      <c r="I54" s="19">
        <f>IF(OR(F54="",G54=""),"",F54*G54)</f>
        <v/>
      </c>
      <c r="J54" s="36">
        <f>IF(OR(F54="",G54=""),"",ROUND(G54*(1+F54/30),1))</f>
        <v/>
      </c>
      <c r="K54" s="20" t="inlineStr"/>
    </row>
    <row r="55" ht="18" customHeight="1">
      <c r="A55" s="37" t="n">
        <v>46149</v>
      </c>
      <c r="B55" s="22">
        <f>IF(A55="","",IFERROR(INT((A55-DATE(2026,4,27))/7)+1,""))</f>
        <v/>
      </c>
      <c r="C55" s="22" t="inlineStr">
        <is>
          <t>Upper B</t>
        </is>
      </c>
      <c r="D55" s="23" t="inlineStr">
        <is>
          <t>Lat Pulldown</t>
        </is>
      </c>
      <c r="E55" s="22" t="n">
        <v>4</v>
      </c>
      <c r="F55" s="22" t="n">
        <v>10</v>
      </c>
      <c r="G55" s="38" t="n">
        <v>40</v>
      </c>
      <c r="H55" s="22" t="n">
        <v>9</v>
      </c>
      <c r="I55" s="25">
        <f>IF(OR(F55="",G55=""),"",F55*G55)</f>
        <v/>
      </c>
      <c r="J55" s="38">
        <f>IF(OR(F55="",G55=""),"",ROUND(G55*(1+F55/30),1))</f>
        <v/>
      </c>
      <c r="K55" s="26" t="inlineStr">
        <is>
          <t>bump 42.5 next, +1 set Wk 3</t>
        </is>
      </c>
    </row>
    <row r="56" ht="18" customHeight="1">
      <c r="A56" s="35" t="n">
        <v>46149</v>
      </c>
      <c r="B56" s="16">
        <f>IF(A56="","",IFERROR(INT((A56-DATE(2026,4,27))/7)+1,""))</f>
        <v/>
      </c>
      <c r="C56" s="16" t="inlineStr">
        <is>
          <t>Upper B</t>
        </is>
      </c>
      <c r="D56" s="17" t="inlineStr">
        <is>
          <t>Incline DB Press</t>
        </is>
      </c>
      <c r="E56" s="16" t="n">
        <v>1</v>
      </c>
      <c r="F56" s="16" t="n">
        <v>10</v>
      </c>
      <c r="G56" s="36" t="n">
        <v>10</v>
      </c>
      <c r="H56" s="16" t="n">
        <v>8</v>
      </c>
      <c r="I56" s="19">
        <f>IF(OR(F56="",G56=""),"",F56*G56)</f>
        <v/>
      </c>
      <c r="J56" s="36">
        <f>IF(OR(F56="",G56=""),"",ROUND(G56*(1+F56/30),1))</f>
        <v/>
      </c>
      <c r="K56" s="20" t="inlineStr"/>
    </row>
    <row r="57" ht="18" customHeight="1">
      <c r="A57" s="37" t="n">
        <v>46149</v>
      </c>
      <c r="B57" s="22">
        <f>IF(A57="","",IFERROR(INT((A57-DATE(2026,4,27))/7)+1,""))</f>
        <v/>
      </c>
      <c r="C57" s="22" t="inlineStr">
        <is>
          <t>Upper B</t>
        </is>
      </c>
      <c r="D57" s="23" t="inlineStr">
        <is>
          <t>Incline DB Press</t>
        </is>
      </c>
      <c r="E57" s="22" t="n">
        <v>2</v>
      </c>
      <c r="F57" s="22" t="n">
        <v>10</v>
      </c>
      <c r="G57" s="38" t="n">
        <v>10</v>
      </c>
      <c r="H57" s="22" t="n">
        <v>8</v>
      </c>
      <c r="I57" s="25">
        <f>IF(OR(F57="",G57=""),"",F57*G57)</f>
        <v/>
      </c>
      <c r="J57" s="38">
        <f>IF(OR(F57="",G57=""),"",ROUND(G57*(1+F57/30),1))</f>
        <v/>
      </c>
      <c r="K57" s="26" t="inlineStr"/>
    </row>
    <row r="58" ht="18" customHeight="1">
      <c r="A58" s="35" t="n">
        <v>46149</v>
      </c>
      <c r="B58" s="16">
        <f>IF(A58="","",IFERROR(INT((A58-DATE(2026,4,27))/7)+1,""))</f>
        <v/>
      </c>
      <c r="C58" s="16" t="inlineStr">
        <is>
          <t>Upper B</t>
        </is>
      </c>
      <c r="D58" s="17" t="inlineStr">
        <is>
          <t>Incline DB Press</t>
        </is>
      </c>
      <c r="E58" s="16" t="n">
        <v>3</v>
      </c>
      <c r="F58" s="16" t="n">
        <v>10</v>
      </c>
      <c r="G58" s="36" t="n">
        <v>10</v>
      </c>
      <c r="H58" s="16" t="n">
        <v>8</v>
      </c>
      <c r="I58" s="19">
        <f>IF(OR(F58="",G58=""),"",F58*G58)</f>
        <v/>
      </c>
      <c r="J58" s="36">
        <f>IF(OR(F58="",G58=""),"",ROUND(G58*(1+F58/30),1))</f>
        <v/>
      </c>
      <c r="K58" s="20" t="inlineStr">
        <is>
          <t>bump 12 next</t>
        </is>
      </c>
    </row>
    <row r="59" ht="18" customHeight="1">
      <c r="A59" s="37" t="n">
        <v>46149</v>
      </c>
      <c r="B59" s="22">
        <f>IF(A59="","",IFERROR(INT((A59-DATE(2026,4,27))/7)+1,""))</f>
        <v/>
      </c>
      <c r="C59" s="22" t="inlineStr">
        <is>
          <t>Upper B</t>
        </is>
      </c>
      <c r="D59" s="23" t="inlineStr">
        <is>
          <t>Cable Row</t>
        </is>
      </c>
      <c r="E59" s="22" t="n">
        <v>1</v>
      </c>
      <c r="F59" s="22" t="n">
        <v>12</v>
      </c>
      <c r="G59" s="38" t="n">
        <v>25</v>
      </c>
      <c r="H59" s="22" t="n">
        <v>5</v>
      </c>
      <c r="I59" s="25">
        <f>IF(OR(F59="",G59=""),"",F59*G59)</f>
        <v/>
      </c>
      <c r="J59" s="38">
        <f>IF(OR(F59="",G59=""),"",ROUND(G59*(1+F59/30),1))</f>
        <v/>
      </c>
      <c r="K59" s="26" t="inlineStr">
        <is>
          <t>way under-loaded</t>
        </is>
      </c>
    </row>
    <row r="60" ht="18" customHeight="1">
      <c r="A60" s="35" t="n">
        <v>46149</v>
      </c>
      <c r="B60" s="16">
        <f>IF(A60="","",IFERROR(INT((A60-DATE(2026,4,27))/7)+1,""))</f>
        <v/>
      </c>
      <c r="C60" s="16" t="inlineStr">
        <is>
          <t>Upper B</t>
        </is>
      </c>
      <c r="D60" s="17" t="inlineStr">
        <is>
          <t>Cable Row</t>
        </is>
      </c>
      <c r="E60" s="16" t="n">
        <v>2</v>
      </c>
      <c r="F60" s="16" t="n">
        <v>12</v>
      </c>
      <c r="G60" s="36" t="n">
        <v>35</v>
      </c>
      <c r="H60" s="16" t="n">
        <v>7</v>
      </c>
      <c r="I60" s="19">
        <f>IF(OR(F60="",G60=""),"",F60*G60)</f>
        <v/>
      </c>
      <c r="J60" s="36">
        <f>IF(OR(F60="",G60=""),"",ROUND(G60*(1+F60/30),1))</f>
        <v/>
      </c>
      <c r="K60" s="20" t="inlineStr"/>
    </row>
    <row r="61" ht="18" customHeight="1">
      <c r="A61" s="37" t="n">
        <v>46149</v>
      </c>
      <c r="B61" s="22">
        <f>IF(A61="","",IFERROR(INT((A61-DATE(2026,4,27))/7)+1,""))</f>
        <v/>
      </c>
      <c r="C61" s="22" t="inlineStr">
        <is>
          <t>Upper B</t>
        </is>
      </c>
      <c r="D61" s="23" t="inlineStr">
        <is>
          <t>Cable Row</t>
        </is>
      </c>
      <c r="E61" s="22" t="n">
        <v>3</v>
      </c>
      <c r="F61" s="22" t="n">
        <v>12</v>
      </c>
      <c r="G61" s="38" t="n">
        <v>40</v>
      </c>
      <c r="H61" s="22" t="n">
        <v>10</v>
      </c>
      <c r="I61" s="25">
        <f>IF(OR(F61="",G61=""),"",F61*G61)</f>
        <v/>
      </c>
      <c r="J61" s="38">
        <f>IF(OR(F61="",G61=""),"",ROUND(G61*(1+F61/30),1))</f>
        <v/>
      </c>
      <c r="K61" s="26" t="inlineStr">
        <is>
          <t>settle 32.5 next</t>
        </is>
      </c>
    </row>
    <row r="62" ht="18" customHeight="1">
      <c r="A62" s="35" t="n">
        <v>46149</v>
      </c>
      <c r="B62" s="16">
        <f>IF(A62="","",IFERROR(INT((A62-DATE(2026,4,27))/7)+1,""))</f>
        <v/>
      </c>
      <c r="C62" s="16" t="inlineStr">
        <is>
          <t>Upper B</t>
        </is>
      </c>
      <c r="D62" s="17" t="inlineStr">
        <is>
          <t>DB Lateral Raise</t>
        </is>
      </c>
      <c r="E62" s="16" t="n">
        <v>1</v>
      </c>
      <c r="F62" s="16" t="n">
        <v>13</v>
      </c>
      <c r="G62" s="36" t="n">
        <v>4</v>
      </c>
      <c r="H62" s="16" t="n">
        <v>8</v>
      </c>
      <c r="I62" s="19">
        <f>IF(OR(F62="",G62=""),"",F62*G62)</f>
        <v/>
      </c>
      <c r="J62" s="36">
        <f>IF(OR(F62="",G62=""),"",ROUND(G62*(1+F62/30),1))</f>
        <v/>
      </c>
      <c r="K62" s="20" t="inlineStr"/>
    </row>
    <row r="63" ht="18" customHeight="1">
      <c r="A63" s="37" t="n">
        <v>46149</v>
      </c>
      <c r="B63" s="22">
        <f>IF(A63="","",IFERROR(INT((A63-DATE(2026,4,27))/7)+1,""))</f>
        <v/>
      </c>
      <c r="C63" s="22" t="inlineStr">
        <is>
          <t>Upper B</t>
        </is>
      </c>
      <c r="D63" s="23" t="inlineStr">
        <is>
          <t>DB Lateral Raise</t>
        </is>
      </c>
      <c r="E63" s="22" t="n">
        <v>2</v>
      </c>
      <c r="F63" s="22" t="n">
        <v>14</v>
      </c>
      <c r="G63" s="38" t="n">
        <v>4</v>
      </c>
      <c r="H63" s="22" t="n">
        <v>8</v>
      </c>
      <c r="I63" s="25">
        <f>IF(OR(F63="",G63=""),"",F63*G63)</f>
        <v/>
      </c>
      <c r="J63" s="38">
        <f>IF(OR(F63="",G63=""),"",ROUND(G63*(1+F63/30),1))</f>
        <v/>
      </c>
      <c r="K63" s="26" t="inlineStr"/>
    </row>
    <row r="64" ht="18" customHeight="1">
      <c r="A64" s="35" t="n">
        <v>46149</v>
      </c>
      <c r="B64" s="16">
        <f>IF(A64="","",IFERROR(INT((A64-DATE(2026,4,27))/7)+1,""))</f>
        <v/>
      </c>
      <c r="C64" s="16" t="inlineStr">
        <is>
          <t>Upper B</t>
        </is>
      </c>
      <c r="D64" s="17" t="inlineStr">
        <is>
          <t>DB Lateral Raise</t>
        </is>
      </c>
      <c r="E64" s="16" t="n">
        <v>3</v>
      </c>
      <c r="F64" s="16" t="n">
        <v>13</v>
      </c>
      <c r="G64" s="36" t="n">
        <v>4</v>
      </c>
      <c r="H64" s="16" t="n">
        <v>9</v>
      </c>
      <c r="I64" s="19">
        <f>IF(OR(F64="",G64=""),"",F64*G64)</f>
        <v/>
      </c>
      <c r="J64" s="36">
        <f>IF(OR(F64="",G64=""),"",ROUND(G64*(1+F64/30),1))</f>
        <v/>
      </c>
      <c r="K64" s="20" t="inlineStr"/>
    </row>
    <row r="65" ht="18" customHeight="1">
      <c r="A65" s="37" t="n">
        <v>46149</v>
      </c>
      <c r="B65" s="22">
        <f>IF(A65="","",IFERROR(INT((A65-DATE(2026,4,27))/7)+1,""))</f>
        <v/>
      </c>
      <c r="C65" s="22" t="inlineStr">
        <is>
          <t>Upper B</t>
        </is>
      </c>
      <c r="D65" s="23" t="inlineStr">
        <is>
          <t>DB Lateral Raise</t>
        </is>
      </c>
      <c r="E65" s="22" t="n">
        <v>4</v>
      </c>
      <c r="F65" s="22" t="n">
        <v>14</v>
      </c>
      <c r="G65" s="38" t="n">
        <v>4</v>
      </c>
      <c r="H65" s="22" t="n">
        <v>10</v>
      </c>
      <c r="I65" s="25">
        <f>IF(OR(F65="",G65=""),"",F65*G65)</f>
        <v/>
      </c>
      <c r="J65" s="38">
        <f>IF(OR(F65="",G65=""),"",ROUND(G65*(1+F65/30),1))</f>
        <v/>
      </c>
      <c r="K65" s="26" t="inlineStr">
        <is>
          <t>bump 5 next</t>
        </is>
      </c>
    </row>
    <row r="66" ht="18" customHeight="1">
      <c r="A66" s="35" t="n">
        <v>46149</v>
      </c>
      <c r="B66" s="16">
        <f>IF(A66="","",IFERROR(INT((A66-DATE(2026,4,27))/7)+1,""))</f>
        <v/>
      </c>
      <c r="C66" s="16" t="inlineStr">
        <is>
          <t>Upper B</t>
        </is>
      </c>
      <c r="D66" s="17" t="inlineStr">
        <is>
          <t>Face Pull</t>
        </is>
      </c>
      <c r="E66" s="16" t="n">
        <v>1</v>
      </c>
      <c r="F66" s="16" t="n">
        <v>20</v>
      </c>
      <c r="G66" s="36" t="n">
        <v>10</v>
      </c>
      <c r="H66" s="16" t="n">
        <v>7</v>
      </c>
      <c r="I66" s="19">
        <f>IF(OR(F66="",G66=""),"",F66*G66)</f>
        <v/>
      </c>
      <c r="J66" s="36">
        <f>IF(OR(F66="",G66=""),"",ROUND(G66*(1+F66/30),1))</f>
        <v/>
      </c>
      <c r="K66" s="20" t="inlineStr"/>
    </row>
    <row r="67" ht="18" customHeight="1">
      <c r="A67" s="37" t="n">
        <v>46149</v>
      </c>
      <c r="B67" s="22">
        <f>IF(A67="","",IFERROR(INT((A67-DATE(2026,4,27))/7)+1,""))</f>
        <v/>
      </c>
      <c r="C67" s="22" t="inlineStr">
        <is>
          <t>Upper B</t>
        </is>
      </c>
      <c r="D67" s="23" t="inlineStr">
        <is>
          <t>Face Pull</t>
        </is>
      </c>
      <c r="E67" s="22" t="n">
        <v>2</v>
      </c>
      <c r="F67" s="22" t="n">
        <v>20</v>
      </c>
      <c r="G67" s="38" t="n">
        <v>10</v>
      </c>
      <c r="H67" s="22" t="n">
        <v>8</v>
      </c>
      <c r="I67" s="25">
        <f>IF(OR(F67="",G67=""),"",F67*G67)</f>
        <v/>
      </c>
      <c r="J67" s="38">
        <f>IF(OR(F67="",G67=""),"",ROUND(G67*(1+F67/30),1))</f>
        <v/>
      </c>
      <c r="K67" s="26" t="inlineStr"/>
    </row>
    <row r="68" ht="18" customHeight="1">
      <c r="A68" s="35" t="n">
        <v>46149</v>
      </c>
      <c r="B68" s="16">
        <f>IF(A68="","",IFERROR(INT((A68-DATE(2026,4,27))/7)+1,""))</f>
        <v/>
      </c>
      <c r="C68" s="16" t="inlineStr">
        <is>
          <t>Upper B</t>
        </is>
      </c>
      <c r="D68" s="17" t="inlineStr">
        <is>
          <t>Face Pull</t>
        </is>
      </c>
      <c r="E68" s="16" t="n">
        <v>3</v>
      </c>
      <c r="F68" s="16" t="n">
        <v>20</v>
      </c>
      <c r="G68" s="36" t="n">
        <v>10</v>
      </c>
      <c r="H68" s="16" t="n">
        <v>9</v>
      </c>
      <c r="I68" s="19">
        <f>IF(OR(F68="",G68=""),"",F68*G68)</f>
        <v/>
      </c>
      <c r="J68" s="36">
        <f>IF(OR(F68="",G68=""),"",ROUND(G68*(1+F68/30),1))</f>
        <v/>
      </c>
      <c r="K68" s="20" t="inlineStr">
        <is>
          <t>bump 12 next</t>
        </is>
      </c>
    </row>
    <row r="69" ht="18" customHeight="1">
      <c r="A69" s="37" t="n">
        <v>46149</v>
      </c>
      <c r="B69" s="22">
        <f>IF(A69="","",IFERROR(INT((A69-DATE(2026,4,27))/7)+1,""))</f>
        <v/>
      </c>
      <c r="C69" s="22" t="inlineStr">
        <is>
          <t>Upper B</t>
        </is>
      </c>
      <c r="D69" s="23" t="inlineStr">
        <is>
          <t>DB Curl</t>
        </is>
      </c>
      <c r="E69" s="22" t="n">
        <v>1</v>
      </c>
      <c r="F69" s="22" t="n">
        <v>10</v>
      </c>
      <c r="G69" s="38" t="n">
        <v>6</v>
      </c>
      <c r="H69" s="22" t="n">
        <v>7</v>
      </c>
      <c r="I69" s="25">
        <f>IF(OR(F69="",G69=""),"",F69*G69)</f>
        <v/>
      </c>
      <c r="J69" s="38">
        <f>IF(OR(F69="",G69=""),"",ROUND(G69*(1+F69/30),1))</f>
        <v/>
      </c>
      <c r="K69" s="26" t="inlineStr"/>
    </row>
    <row r="70" ht="18" customHeight="1">
      <c r="A70" s="35" t="n">
        <v>46149</v>
      </c>
      <c r="B70" s="16">
        <f>IF(A70="","",IFERROR(INT((A70-DATE(2026,4,27))/7)+1,""))</f>
        <v/>
      </c>
      <c r="C70" s="16" t="inlineStr">
        <is>
          <t>Upper B</t>
        </is>
      </c>
      <c r="D70" s="17" t="inlineStr">
        <is>
          <t>DB Curl</t>
        </is>
      </c>
      <c r="E70" s="16" t="n">
        <v>2</v>
      </c>
      <c r="F70" s="16" t="n">
        <v>10</v>
      </c>
      <c r="G70" s="36" t="n">
        <v>7</v>
      </c>
      <c r="H70" s="16" t="n">
        <v>8</v>
      </c>
      <c r="I70" s="19">
        <f>IF(OR(F70="",G70=""),"",F70*G70)</f>
        <v/>
      </c>
      <c r="J70" s="36">
        <f>IF(OR(F70="",G70=""),"",ROUND(G70*(1+F70/30),1))</f>
        <v/>
      </c>
      <c r="K70" s="20" t="inlineStr"/>
    </row>
    <row r="71" ht="18" customHeight="1">
      <c r="A71" s="37" t="n">
        <v>46149</v>
      </c>
      <c r="B71" s="22">
        <f>IF(A71="","",IFERROR(INT((A71-DATE(2026,4,27))/7)+1,""))</f>
        <v/>
      </c>
      <c r="C71" s="22" t="inlineStr">
        <is>
          <t>Upper B</t>
        </is>
      </c>
      <c r="D71" s="23" t="inlineStr">
        <is>
          <t>DB Curl</t>
        </is>
      </c>
      <c r="E71" s="22" t="n">
        <v>3</v>
      </c>
      <c r="F71" s="22" t="n">
        <v>10</v>
      </c>
      <c r="G71" s="38" t="n">
        <v>7</v>
      </c>
      <c r="H71" s="22" t="n">
        <v>9</v>
      </c>
      <c r="I71" s="25">
        <f>IF(OR(F71="",G71=""),"",F71*G71)</f>
        <v/>
      </c>
      <c r="J71" s="38">
        <f>IF(OR(F71="",G71=""),"",ROUND(G71*(1+F71/30),1))</f>
        <v/>
      </c>
      <c r="K71" s="26" t="inlineStr">
        <is>
          <t>bump 8 next, climb 10/10/10</t>
        </is>
      </c>
    </row>
    <row r="72" ht="18" customHeight="1">
      <c r="A72" s="35" t="n">
        <v>46149</v>
      </c>
      <c r="B72" s="16">
        <f>IF(A72="","",IFERROR(INT((A72-DATE(2026,4,27))/7)+1,""))</f>
        <v/>
      </c>
      <c r="C72" s="16" t="inlineStr">
        <is>
          <t>Upper B</t>
        </is>
      </c>
      <c r="D72" s="17" t="inlineStr">
        <is>
          <t>Skull Crusher</t>
        </is>
      </c>
      <c r="E72" s="16" t="n">
        <v>1</v>
      </c>
      <c r="F72" s="16" t="n">
        <v>10</v>
      </c>
      <c r="G72" s="36" t="n">
        <v>13.6</v>
      </c>
      <c r="H72" s="16" t="n">
        <v>7</v>
      </c>
      <c r="I72" s="19">
        <f>IF(OR(F72="",G72=""),"",F72*G72)</f>
        <v/>
      </c>
      <c r="J72" s="36">
        <f>IF(OR(F72="",G72=""),"",ROUND(G72*(1+F72/30),1))</f>
        <v/>
      </c>
      <c r="K72" s="20" t="inlineStr"/>
    </row>
    <row r="73" ht="18" customHeight="1">
      <c r="A73" s="37" t="n">
        <v>46149</v>
      </c>
      <c r="B73" s="22">
        <f>IF(A73="","",IFERROR(INT((A73-DATE(2026,4,27))/7)+1,""))</f>
        <v/>
      </c>
      <c r="C73" s="22" t="inlineStr">
        <is>
          <t>Upper B</t>
        </is>
      </c>
      <c r="D73" s="23" t="inlineStr">
        <is>
          <t>Skull Crusher</t>
        </is>
      </c>
      <c r="E73" s="22" t="n">
        <v>2</v>
      </c>
      <c r="F73" s="22" t="n">
        <v>8</v>
      </c>
      <c r="G73" s="38" t="n">
        <v>13.6</v>
      </c>
      <c r="H73" s="22" t="n">
        <v>9</v>
      </c>
      <c r="I73" s="25">
        <f>IF(OR(F73="",G73=""),"",F73*G73)</f>
        <v/>
      </c>
      <c r="J73" s="38">
        <f>IF(OR(F73="",G73=""),"",ROUND(G73*(1+F73/30),1))</f>
        <v/>
      </c>
      <c r="K73" s="26" t="inlineStr"/>
    </row>
    <row r="74" ht="18" customHeight="1">
      <c r="A74" s="35" t="n">
        <v>46149</v>
      </c>
      <c r="B74" s="16">
        <f>IF(A74="","",IFERROR(INT((A74-DATE(2026,4,27))/7)+1,""))</f>
        <v/>
      </c>
      <c r="C74" s="16" t="inlineStr">
        <is>
          <t>Upper B</t>
        </is>
      </c>
      <c r="D74" s="17" t="inlineStr">
        <is>
          <t>Skull Crusher</t>
        </is>
      </c>
      <c r="E74" s="16" t="n">
        <v>3</v>
      </c>
      <c r="F74" s="16" t="n">
        <v>8</v>
      </c>
      <c r="G74" s="36" t="n">
        <v>13.6</v>
      </c>
      <c r="H74" s="16" t="n">
        <v>10</v>
      </c>
      <c r="I74" s="19">
        <f>IF(OR(F74="",G74=""),"",F74*G74)</f>
        <v/>
      </c>
      <c r="J74" s="36">
        <f>IF(OR(F74="",G74=""),"",ROUND(G74*(1+F74/30),1))</f>
        <v/>
      </c>
      <c r="K74" s="20" t="inlineStr">
        <is>
          <t>hold 13.6, climb 10/10/10</t>
        </is>
      </c>
    </row>
    <row r="75" ht="18" customHeight="1">
      <c r="A75" s="37" t="n">
        <v>46152</v>
      </c>
      <c r="B75" s="22">
        <f>IF(A75="","",IFERROR(INT((A75-DATE(2026,4,27))/7)+1,""))</f>
        <v/>
      </c>
      <c r="C75" s="22" t="inlineStr">
        <is>
          <t>Lower B</t>
        </is>
      </c>
      <c r="D75" s="23" t="inlineStr">
        <is>
          <t>Trap Bar Deadlift</t>
        </is>
      </c>
      <c r="E75" s="22" t="n">
        <v>1</v>
      </c>
      <c r="F75" s="22" t="n">
        <v>6</v>
      </c>
      <c r="G75" s="38" t="n">
        <v>40</v>
      </c>
      <c r="H75" s="22" t="n">
        <v>6</v>
      </c>
      <c r="I75" s="25">
        <f>IF(OR(F75="",G75=""),"",F75*G75)</f>
        <v/>
      </c>
      <c r="J75" s="38">
        <f>IF(OR(F75="",G75=""),"",ROUND(G75*(1+F75/30),1))</f>
        <v/>
      </c>
      <c r="K75" s="26" t="inlineStr">
        <is>
          <t>under-loaded</t>
        </is>
      </c>
    </row>
    <row r="76" ht="18" customHeight="1">
      <c r="A76" s="35" t="n">
        <v>46152</v>
      </c>
      <c r="B76" s="16">
        <f>IF(A76="","",IFERROR(INT((A76-DATE(2026,4,27))/7)+1,""))</f>
        <v/>
      </c>
      <c r="C76" s="16" t="inlineStr">
        <is>
          <t>Lower B</t>
        </is>
      </c>
      <c r="D76" s="17" t="inlineStr">
        <is>
          <t>Trap Bar Deadlift</t>
        </is>
      </c>
      <c r="E76" s="16" t="n">
        <v>2</v>
      </c>
      <c r="F76" s="16" t="n">
        <v>6</v>
      </c>
      <c r="G76" s="36" t="n">
        <v>40</v>
      </c>
      <c r="H76" s="16" t="n">
        <v>6</v>
      </c>
      <c r="I76" s="19">
        <f>IF(OR(F76="",G76=""),"",F76*G76)</f>
        <v/>
      </c>
      <c r="J76" s="36">
        <f>IF(OR(F76="",G76=""),"",ROUND(G76*(1+F76/30),1))</f>
        <v/>
      </c>
      <c r="K76" s="20" t="inlineStr">
        <is>
          <t>bump 45 next</t>
        </is>
      </c>
    </row>
    <row r="77" ht="18" customHeight="1">
      <c r="A77" s="37" t="n">
        <v>46152</v>
      </c>
      <c r="B77" s="22">
        <f>IF(A77="","",IFERROR(INT((A77-DATE(2026,4,27))/7)+1,""))</f>
        <v/>
      </c>
      <c r="C77" s="22" t="inlineStr">
        <is>
          <t>Lower B</t>
        </is>
      </c>
      <c r="D77" s="23" t="inlineStr">
        <is>
          <t>Bulgarian Split Squat</t>
        </is>
      </c>
      <c r="E77" s="22" t="n">
        <v>1</v>
      </c>
      <c r="F77" s="22" t="n">
        <v>16</v>
      </c>
      <c r="G77" s="38" t="n">
        <v>0</v>
      </c>
      <c r="H77" s="22" t="n">
        <v>5</v>
      </c>
      <c r="I77" s="25">
        <f>IF(OR(F77="",G77=""),"",F77*G77)</f>
        <v/>
      </c>
      <c r="J77" s="38">
        <f>IF(OR(F77="",G77=""),"",ROUND(G77*(1+F77/30),1))</f>
        <v/>
      </c>
      <c r="K77" s="26" t="inlineStr">
        <is>
          <t>BW; 8L+8R; pattern</t>
        </is>
      </c>
    </row>
    <row r="78" ht="18" customHeight="1">
      <c r="A78" s="35" t="n">
        <v>46152</v>
      </c>
      <c r="B78" s="16">
        <f>IF(A78="","",IFERROR(INT((A78-DATE(2026,4,27))/7)+1,""))</f>
        <v/>
      </c>
      <c r="C78" s="16" t="inlineStr">
        <is>
          <t>Lower B</t>
        </is>
      </c>
      <c r="D78" s="17" t="inlineStr">
        <is>
          <t>Bulgarian Split Squat</t>
        </is>
      </c>
      <c r="E78" s="16" t="n">
        <v>2</v>
      </c>
      <c r="F78" s="16" t="n">
        <v>24</v>
      </c>
      <c r="G78" s="36" t="n">
        <v>0</v>
      </c>
      <c r="H78" s="16" t="n">
        <v>6</v>
      </c>
      <c r="I78" s="19">
        <f>IF(OR(F78="",G78=""),"",F78*G78)</f>
        <v/>
      </c>
      <c r="J78" s="36">
        <f>IF(OR(F78="",G78=""),"",ROUND(G78*(1+F78/30),1))</f>
        <v/>
      </c>
      <c r="K78" s="20" t="inlineStr">
        <is>
          <t>BW; 12L+12R; S2 overshot; 5/DB next</t>
        </is>
      </c>
    </row>
    <row r="79" ht="18" customHeight="1">
      <c r="A79" s="37" t="n">
        <v>46152</v>
      </c>
      <c r="B79" s="22">
        <f>IF(A79="","",IFERROR(INT((A79-DATE(2026,4,27))/7)+1,""))</f>
        <v/>
      </c>
      <c r="C79" s="22" t="inlineStr">
        <is>
          <t>Lower B</t>
        </is>
      </c>
      <c r="D79" s="23" t="inlineStr">
        <is>
          <t>Hip Thrust</t>
        </is>
      </c>
      <c r="E79" s="22" t="n">
        <v>1</v>
      </c>
      <c r="F79" s="22" t="n">
        <v>8</v>
      </c>
      <c r="G79" s="38" t="n">
        <v>10</v>
      </c>
      <c r="H79" s="22" t="n">
        <v>8</v>
      </c>
      <c r="I79" s="25">
        <f>IF(OR(F79="",G79=""),"",F79*G79)</f>
        <v/>
      </c>
      <c r="J79" s="38">
        <f>IF(OR(F79="",G79=""),"",ROUND(G79*(1+F79/30),1))</f>
        <v/>
      </c>
      <c r="K79" s="26" t="inlineStr">
        <is>
          <t>logged 10 vs prescribed 40 — plate check</t>
        </is>
      </c>
    </row>
    <row r="80" ht="18" customHeight="1">
      <c r="A80" s="35" t="n">
        <v>46152</v>
      </c>
      <c r="B80" s="16">
        <f>IF(A80="","",IFERROR(INT((A80-DATE(2026,4,27))/7)+1,""))</f>
        <v/>
      </c>
      <c r="C80" s="16" t="inlineStr">
        <is>
          <t>Lower B</t>
        </is>
      </c>
      <c r="D80" s="17" t="inlineStr">
        <is>
          <t>Hip Thrust</t>
        </is>
      </c>
      <c r="E80" s="16" t="n">
        <v>2</v>
      </c>
      <c r="F80" s="16" t="n">
        <v>8</v>
      </c>
      <c r="G80" s="36" t="n">
        <v>10</v>
      </c>
      <c r="H80" s="16" t="n">
        <v>9</v>
      </c>
      <c r="I80" s="19">
        <f>IF(OR(F80="",G80=""),"",F80*G80)</f>
        <v/>
      </c>
      <c r="J80" s="36">
        <f>IF(OR(F80="",G80=""),"",ROUND(G80*(1+F80/30),1))</f>
        <v/>
      </c>
      <c r="K80" s="20" t="inlineStr">
        <is>
          <t>bump 12.5 next (verify plates)</t>
        </is>
      </c>
    </row>
    <row r="81" ht="18" customHeight="1">
      <c r="A81" s="37" t="n">
        <v>46152</v>
      </c>
      <c r="B81" s="22">
        <f>IF(A81="","",IFERROR(INT((A81-DATE(2026,4,27))/7)+1,""))</f>
        <v/>
      </c>
      <c r="C81" s="22" t="inlineStr">
        <is>
          <t>Lower B</t>
        </is>
      </c>
      <c r="D81" s="23" t="inlineStr">
        <is>
          <t>Walking Lunge</t>
        </is>
      </c>
      <c r="E81" s="22" t="n">
        <v>1</v>
      </c>
      <c r="F81" s="22" t="n">
        <v>20</v>
      </c>
      <c r="G81" s="38" t="n">
        <v>10</v>
      </c>
      <c r="H81" s="22" t="n">
        <v>8</v>
      </c>
      <c r="I81" s="25">
        <f>IF(OR(F81="",G81=""),"",F81*G81)</f>
        <v/>
      </c>
      <c r="J81" s="38">
        <f>IF(OR(F81="",G81=""),"",ROUND(G81*(1+F81/30),1))</f>
        <v/>
      </c>
      <c r="K81" s="26" t="inlineStr">
        <is>
          <t>5/DB=10kg total; 10L+10R</t>
        </is>
      </c>
    </row>
    <row r="82" ht="18" customHeight="1">
      <c r="A82" s="35" t="n">
        <v>46152</v>
      </c>
      <c r="B82" s="16">
        <f>IF(A82="","",IFERROR(INT((A82-DATE(2026,4,27))/7)+1,""))</f>
        <v/>
      </c>
      <c r="C82" s="16" t="inlineStr">
        <is>
          <t>Lower B</t>
        </is>
      </c>
      <c r="D82" s="17" t="inlineStr">
        <is>
          <t>Walking Lunge</t>
        </is>
      </c>
      <c r="E82" s="16" t="n">
        <v>2</v>
      </c>
      <c r="F82" s="16" t="n">
        <v>20</v>
      </c>
      <c r="G82" s="36" t="n">
        <v>10</v>
      </c>
      <c r="H82" s="16" t="n">
        <v>7</v>
      </c>
      <c r="I82" s="19">
        <f>IF(OR(F82="",G82=""),"",F82*G82)</f>
        <v/>
      </c>
      <c r="J82" s="36">
        <f>IF(OR(F82="",G82=""),"",ROUND(G82*(1+F82/30),1))</f>
        <v/>
      </c>
      <c r="K82" s="20" t="inlineStr">
        <is>
          <t>bump 7.5/DB next</t>
        </is>
      </c>
    </row>
    <row r="83" ht="18" customHeight="1">
      <c r="A83" s="37" t="n">
        <v>46152</v>
      </c>
      <c r="B83" s="22">
        <f>IF(A83="","",IFERROR(INT((A83-DATE(2026,4,27))/7)+1,""))</f>
        <v/>
      </c>
      <c r="C83" s="22" t="inlineStr">
        <is>
          <t>Lower B</t>
        </is>
      </c>
      <c r="D83" s="23" t="inlineStr">
        <is>
          <t>Seated Calf Raise</t>
        </is>
      </c>
      <c r="E83" s="22" t="n">
        <v>1</v>
      </c>
      <c r="F83" s="22" t="n">
        <v>12</v>
      </c>
      <c r="G83" s="38" t="n">
        <v>9</v>
      </c>
      <c r="H83" s="22" t="n">
        <v>8</v>
      </c>
      <c r="I83" s="25">
        <f>IF(OR(F83="",G83=""),"",F83*G83)</f>
        <v/>
      </c>
      <c r="J83" s="38">
        <f>IF(OR(F83="",G83=""),"",ROUND(G83*(1+F83/30),1))</f>
        <v/>
      </c>
      <c r="K83" s="26" t="inlineStr">
        <is>
          <t>soleus bias</t>
        </is>
      </c>
    </row>
    <row r="84" ht="18" customHeight="1">
      <c r="A84" s="35" t="n">
        <v>46152</v>
      </c>
      <c r="B84" s="16">
        <f>IF(A84="","",IFERROR(INT((A84-DATE(2026,4,27))/7)+1,""))</f>
        <v/>
      </c>
      <c r="C84" s="16" t="inlineStr">
        <is>
          <t>Lower B</t>
        </is>
      </c>
      <c r="D84" s="17" t="inlineStr">
        <is>
          <t>Seated Calf Raise</t>
        </is>
      </c>
      <c r="E84" s="16" t="n">
        <v>2</v>
      </c>
      <c r="F84" s="16" t="n">
        <v>12</v>
      </c>
      <c r="G84" s="36" t="n">
        <v>9</v>
      </c>
      <c r="H84" s="16" t="n">
        <v>9</v>
      </c>
      <c r="I84" s="19">
        <f>IF(OR(F84="",G84=""),"",F84*G84)</f>
        <v/>
      </c>
      <c r="J84" s="36">
        <f>IF(OR(F84="",G84=""),"",ROUND(G84*(1+F84/30),1))</f>
        <v/>
      </c>
      <c r="K84" s="20" t="inlineStr">
        <is>
          <t>RPE overshoot; bump 11 next</t>
        </is>
      </c>
    </row>
    <row r="85" ht="18" customHeight="1">
      <c r="A85" s="37" t="n">
        <v>46152</v>
      </c>
      <c r="B85" s="22">
        <f>IF(A85="","",IFERROR(INT((A85-DATE(2026,4,27))/7)+1,""))</f>
        <v/>
      </c>
      <c r="C85" s="22" t="inlineStr">
        <is>
          <t>Lower B</t>
        </is>
      </c>
      <c r="D85" s="23" t="inlineStr">
        <is>
          <t>Ab Roller</t>
        </is>
      </c>
      <c r="E85" s="22" t="n">
        <v>1</v>
      </c>
      <c r="F85" s="22" t="n">
        <v>8</v>
      </c>
      <c r="G85" s="38" t="n">
        <v>0</v>
      </c>
      <c r="H85" s="22" t="n">
        <v>8</v>
      </c>
      <c r="I85" s="25">
        <f>IF(OR(F85="",G85=""),"",F85*G85)</f>
        <v/>
      </c>
      <c r="J85" s="38">
        <f>IF(OR(F85="",G85=""),"",ROUND(G85*(1+F85/30),1))</f>
        <v/>
      </c>
      <c r="K85" s="26" t="inlineStr">
        <is>
          <t>BW knee rollout</t>
        </is>
      </c>
    </row>
    <row r="86" ht="18" customHeight="1">
      <c r="A86" s="35" t="n">
        <v>46152</v>
      </c>
      <c r="B86" s="16">
        <f>IF(A86="","",IFERROR(INT((A86-DATE(2026,4,27))/7)+1,""))</f>
        <v/>
      </c>
      <c r="C86" s="16" t="inlineStr">
        <is>
          <t>Lower B</t>
        </is>
      </c>
      <c r="D86" s="17" t="inlineStr">
        <is>
          <t>Ab Roller</t>
        </is>
      </c>
      <c r="E86" s="16" t="n">
        <v>2</v>
      </c>
      <c r="F86" s="16" t="n">
        <v>8</v>
      </c>
      <c r="G86" s="36" t="n">
        <v>0</v>
      </c>
      <c r="H86" s="16" t="n">
        <v>8</v>
      </c>
      <c r="I86" s="19">
        <f>IF(OR(F86="",G86=""),"",F86*G86)</f>
        <v/>
      </c>
      <c r="J86" s="36">
        <f>IF(OR(F86="",G86=""),"",ROUND(G86*(1+F86/30),1))</f>
        <v/>
      </c>
      <c r="K86" s="20" t="inlineStr">
        <is>
          <t>BW; progress reps before load</t>
        </is>
      </c>
    </row>
    <row r="87" ht="18" customHeight="1">
      <c r="A87" s="37" t="n">
        <v>46153</v>
      </c>
      <c r="B87" s="22">
        <f>IF(A87="","",IFERROR(INT((A87-DATE(2026,4,27))/7)+1,""))</f>
        <v/>
      </c>
      <c r="C87" s="22" t="inlineStr">
        <is>
          <t>Upper A</t>
        </is>
      </c>
      <c r="D87" s="23" t="inlineStr">
        <is>
          <t>Bench Press</t>
        </is>
      </c>
      <c r="E87" s="22" t="n">
        <v>1</v>
      </c>
      <c r="F87" s="22" t="n">
        <v>8</v>
      </c>
      <c r="G87" s="38" t="n">
        <v>35</v>
      </c>
      <c r="H87" s="22" t="n">
        <v>8</v>
      </c>
      <c r="I87" s="25">
        <f>IF(OR(F87="",G87=""),"",F87*G87)</f>
        <v/>
      </c>
      <c r="J87" s="38">
        <f>IF(OR(F87="",G87=""),"",ROUND(G87*(1+F87/30),1))</f>
        <v/>
      </c>
      <c r="K87" s="26" t="inlineStr"/>
    </row>
    <row r="88" ht="18" customHeight="1">
      <c r="A88" s="35" t="n">
        <v>46153</v>
      </c>
      <c r="B88" s="16">
        <f>IF(A88="","",IFERROR(INT((A88-DATE(2026,4,27))/7)+1,""))</f>
        <v/>
      </c>
      <c r="C88" s="16" t="inlineStr">
        <is>
          <t>Upper A</t>
        </is>
      </c>
      <c r="D88" s="17" t="inlineStr">
        <is>
          <t>Bench Press</t>
        </is>
      </c>
      <c r="E88" s="16" t="n">
        <v>2</v>
      </c>
      <c r="F88" s="16" t="n">
        <v>8</v>
      </c>
      <c r="G88" s="36" t="n">
        <v>35</v>
      </c>
      <c r="H88" s="16" t="n">
        <v>8</v>
      </c>
      <c r="I88" s="19">
        <f>IF(OR(F88="",G88=""),"",F88*G88)</f>
        <v/>
      </c>
      <c r="J88" s="36">
        <f>IF(OR(F88="",G88=""),"",ROUND(G88*(1+F88/30),1))</f>
        <v/>
      </c>
      <c r="K88" s="20" t="inlineStr"/>
    </row>
    <row r="89" ht="18" customHeight="1">
      <c r="A89" s="37" t="n">
        <v>46153</v>
      </c>
      <c r="B89" s="22">
        <f>IF(A89="","",IFERROR(INT((A89-DATE(2026,4,27))/7)+1,""))</f>
        <v/>
      </c>
      <c r="C89" s="22" t="inlineStr">
        <is>
          <t>Upper A</t>
        </is>
      </c>
      <c r="D89" s="23" t="inlineStr">
        <is>
          <t>Bench Press</t>
        </is>
      </c>
      <c r="E89" s="22" t="n">
        <v>3</v>
      </c>
      <c r="F89" s="22" t="n">
        <v>8</v>
      </c>
      <c r="G89" s="38" t="n">
        <v>35</v>
      </c>
      <c r="H89" s="22" t="n">
        <v>9</v>
      </c>
      <c r="I89" s="25">
        <f>IF(OR(F89="",G89=""),"",F89*G89)</f>
        <v/>
      </c>
      <c r="J89" s="38">
        <f>IF(OR(F89="",G89=""),"",ROUND(G89*(1+F89/30),1))</f>
        <v/>
      </c>
      <c r="K89" s="26" t="inlineStr"/>
    </row>
    <row r="90" ht="18" customHeight="1">
      <c r="A90" s="35" t="n">
        <v>46153</v>
      </c>
      <c r="B90" s="16">
        <f>IF(A90="","",IFERROR(INT((A90-DATE(2026,4,27))/7)+1,""))</f>
        <v/>
      </c>
      <c r="C90" s="16" t="inlineStr">
        <is>
          <t>Upper A</t>
        </is>
      </c>
      <c r="D90" s="17" t="inlineStr">
        <is>
          <t>Bench Press</t>
        </is>
      </c>
      <c r="E90" s="16" t="n">
        <v>4</v>
      </c>
      <c r="F90" s="16" t="n">
        <v>8</v>
      </c>
      <c r="G90" s="36" t="n">
        <v>35</v>
      </c>
      <c r="H90" s="16" t="n">
        <v>9</v>
      </c>
      <c r="I90" s="19">
        <f>IF(OR(F90="",G90=""),"",F90*G90)</f>
        <v/>
      </c>
      <c r="J90" s="36">
        <f>IF(OR(F90="",G90=""),"",ROUND(G90*(1+F90/30),1))</f>
        <v/>
      </c>
      <c r="K90" s="20" t="inlineStr"/>
    </row>
    <row r="91" ht="18" customHeight="1">
      <c r="A91" s="37" t="n">
        <v>46153</v>
      </c>
      <c r="B91" s="22">
        <f>IF(A91="","",IFERROR(INT((A91-DATE(2026,4,27))/7)+1,""))</f>
        <v/>
      </c>
      <c r="C91" s="22" t="inlineStr">
        <is>
          <t>Upper A</t>
        </is>
      </c>
      <c r="D91" s="23" t="inlineStr">
        <is>
          <t>Bench Press</t>
        </is>
      </c>
      <c r="E91" s="22" t="n">
        <v>5</v>
      </c>
      <c r="F91" s="22" t="n">
        <v>8</v>
      </c>
      <c r="G91" s="38" t="n">
        <v>35</v>
      </c>
      <c r="H91" s="22" t="n">
        <v>9</v>
      </c>
      <c r="I91" s="25">
        <f>IF(OR(F91="",G91=""),"",F91*G91)</f>
        <v/>
      </c>
      <c r="J91" s="38">
        <f>IF(OR(F91="",G91=""),"",ROUND(G91*(1+F91/30),1))</f>
        <v/>
      </c>
      <c r="K91" s="26" t="inlineStr">
        <is>
          <t>top×5, bump 37.5 next</t>
        </is>
      </c>
    </row>
    <row r="92" ht="18" customHeight="1">
      <c r="A92" s="35" t="n">
        <v>46153</v>
      </c>
      <c r="B92" s="16">
        <f>IF(A92="","",IFERROR(INT((A92-DATE(2026,4,27))/7)+1,""))</f>
        <v/>
      </c>
      <c r="C92" s="16" t="inlineStr">
        <is>
          <t>Upper A</t>
        </is>
      </c>
      <c r="D92" s="17" t="inlineStr">
        <is>
          <t>Barbell Row</t>
        </is>
      </c>
      <c r="E92" s="16" t="n">
        <v>1</v>
      </c>
      <c r="F92" s="16" t="n">
        <v>8</v>
      </c>
      <c r="G92" s="36" t="n">
        <v>35</v>
      </c>
      <c r="H92" s="16" t="n">
        <v>8</v>
      </c>
      <c r="I92" s="19">
        <f>IF(OR(F92="",G92=""),"",F92*G92)</f>
        <v/>
      </c>
      <c r="J92" s="36">
        <f>IF(OR(F92="",G92=""),"",ROUND(G92*(1+F92/30),1))</f>
        <v/>
      </c>
      <c r="K92" s="20" t="inlineStr"/>
    </row>
    <row r="93" ht="18" customHeight="1">
      <c r="A93" s="37" t="n">
        <v>46153</v>
      </c>
      <c r="B93" s="22">
        <f>IF(A93="","",IFERROR(INT((A93-DATE(2026,4,27))/7)+1,""))</f>
        <v/>
      </c>
      <c r="C93" s="22" t="inlineStr">
        <is>
          <t>Upper A</t>
        </is>
      </c>
      <c r="D93" s="23" t="inlineStr">
        <is>
          <t>Barbell Row</t>
        </is>
      </c>
      <c r="E93" s="22" t="n">
        <v>2</v>
      </c>
      <c r="F93" s="22" t="n">
        <v>8</v>
      </c>
      <c r="G93" s="38" t="n">
        <v>35</v>
      </c>
      <c r="H93" s="22" t="n">
        <v>8</v>
      </c>
      <c r="I93" s="25">
        <f>IF(OR(F93="",G93=""),"",F93*G93)</f>
        <v/>
      </c>
      <c r="J93" s="38">
        <f>IF(OR(F93="",G93=""),"",ROUND(G93*(1+F93/30),1))</f>
        <v/>
      </c>
      <c r="K93" s="26" t="inlineStr"/>
    </row>
    <row r="94" ht="18" customHeight="1">
      <c r="A94" s="35" t="n">
        <v>46153</v>
      </c>
      <c r="B94" s="16">
        <f>IF(A94="","",IFERROR(INT((A94-DATE(2026,4,27))/7)+1,""))</f>
        <v/>
      </c>
      <c r="C94" s="16" t="inlineStr">
        <is>
          <t>Upper A</t>
        </is>
      </c>
      <c r="D94" s="17" t="inlineStr">
        <is>
          <t>Barbell Row</t>
        </is>
      </c>
      <c r="E94" s="16" t="n">
        <v>3</v>
      </c>
      <c r="F94" s="16" t="n">
        <v>8</v>
      </c>
      <c r="G94" s="36" t="n">
        <v>35</v>
      </c>
      <c r="H94" s="16" t="n">
        <v>8</v>
      </c>
      <c r="I94" s="19">
        <f>IF(OR(F94="",G94=""),"",F94*G94)</f>
        <v/>
      </c>
      <c r="J94" s="36">
        <f>IF(OR(F94="",G94=""),"",ROUND(G94*(1+F94/30),1))</f>
        <v/>
      </c>
      <c r="K94" s="20" t="inlineStr"/>
    </row>
    <row r="95" ht="18" customHeight="1">
      <c r="A95" s="37" t="n">
        <v>46153</v>
      </c>
      <c r="B95" s="22">
        <f>IF(A95="","",IFERROR(INT((A95-DATE(2026,4,27))/7)+1,""))</f>
        <v/>
      </c>
      <c r="C95" s="22" t="inlineStr">
        <is>
          <t>Upper A</t>
        </is>
      </c>
      <c r="D95" s="23" t="inlineStr">
        <is>
          <t>Barbell Row</t>
        </is>
      </c>
      <c r="E95" s="22" t="n">
        <v>4</v>
      </c>
      <c r="F95" s="22" t="n">
        <v>8</v>
      </c>
      <c r="G95" s="38" t="n">
        <v>35</v>
      </c>
      <c r="H95" s="22" t="n">
        <v>8</v>
      </c>
      <c r="I95" s="25">
        <f>IF(OR(F95="",G95=""),"",F95*G95)</f>
        <v/>
      </c>
      <c r="J95" s="38">
        <f>IF(OR(F95="",G95=""),"",ROUND(G95*(1+F95/30),1))</f>
        <v/>
      </c>
      <c r="K95" s="26" t="inlineStr"/>
    </row>
    <row r="96" ht="18" customHeight="1">
      <c r="A96" s="35" t="n">
        <v>46153</v>
      </c>
      <c r="B96" s="16">
        <f>IF(A96="","",IFERROR(INT((A96-DATE(2026,4,27))/7)+1,""))</f>
        <v/>
      </c>
      <c r="C96" s="16" t="inlineStr">
        <is>
          <t>Upper A</t>
        </is>
      </c>
      <c r="D96" s="17" t="inlineStr">
        <is>
          <t>Barbell Row</t>
        </is>
      </c>
      <c r="E96" s="16" t="n">
        <v>5</v>
      </c>
      <c r="F96" s="16" t="n">
        <v>8</v>
      </c>
      <c r="G96" s="36" t="n">
        <v>35</v>
      </c>
      <c r="H96" s="16" t="n">
        <v>9</v>
      </c>
      <c r="I96" s="19">
        <f>IF(OR(F96="",G96=""),"",F96*G96)</f>
        <v/>
      </c>
      <c r="J96" s="36">
        <f>IF(OR(F96="",G96=""),"",ROUND(G96*(1+F96/30),1))</f>
        <v/>
      </c>
      <c r="K96" s="20" t="inlineStr">
        <is>
          <t>top×5, bump 37.5 next</t>
        </is>
      </c>
    </row>
    <row r="97" ht="18" customHeight="1">
      <c r="A97" s="37" t="n">
        <v>46153</v>
      </c>
      <c r="B97" s="22">
        <f>IF(A97="","",IFERROR(INT((A97-DATE(2026,4,27))/7)+1,""))</f>
        <v/>
      </c>
      <c r="C97" s="22" t="inlineStr">
        <is>
          <t>Upper A</t>
        </is>
      </c>
      <c r="D97" s="23" t="inlineStr">
        <is>
          <t>Incline DB Press</t>
        </is>
      </c>
      <c r="E97" s="22" t="n">
        <v>1</v>
      </c>
      <c r="F97" s="22" t="n">
        <v>10</v>
      </c>
      <c r="G97" s="38" t="n">
        <v>12</v>
      </c>
      <c r="H97" s="22" t="n">
        <v>8</v>
      </c>
      <c r="I97" s="25">
        <f>IF(OR(F97="",G97=""),"",F97*G97)</f>
        <v/>
      </c>
      <c r="J97" s="38">
        <f>IF(OR(F97="",G97=""),"",ROUND(G97*(1+F97/30),1))</f>
        <v/>
      </c>
      <c r="K97" s="26" t="inlineStr"/>
    </row>
    <row r="98" ht="18" customHeight="1">
      <c r="A98" s="35" t="n">
        <v>46153</v>
      </c>
      <c r="B98" s="16">
        <f>IF(A98="","",IFERROR(INT((A98-DATE(2026,4,27))/7)+1,""))</f>
        <v/>
      </c>
      <c r="C98" s="16" t="inlineStr">
        <is>
          <t>Upper A</t>
        </is>
      </c>
      <c r="D98" s="17" t="inlineStr">
        <is>
          <t>Incline DB Press</t>
        </is>
      </c>
      <c r="E98" s="16" t="n">
        <v>2</v>
      </c>
      <c r="F98" s="16" t="n">
        <v>10</v>
      </c>
      <c r="G98" s="36" t="n">
        <v>12</v>
      </c>
      <c r="H98" s="16" t="n">
        <v>8</v>
      </c>
      <c r="I98" s="19">
        <f>IF(OR(F98="",G98=""),"",F98*G98)</f>
        <v/>
      </c>
      <c r="J98" s="36">
        <f>IF(OR(F98="",G98=""),"",ROUND(G98*(1+F98/30),1))</f>
        <v/>
      </c>
      <c r="K98" s="20" t="inlineStr"/>
    </row>
    <row r="99" ht="18" customHeight="1">
      <c r="A99" s="37" t="n">
        <v>46153</v>
      </c>
      <c r="B99" s="22">
        <f>IF(A99="","",IFERROR(INT((A99-DATE(2026,4,27))/7)+1,""))</f>
        <v/>
      </c>
      <c r="C99" s="22" t="inlineStr">
        <is>
          <t>Upper A</t>
        </is>
      </c>
      <c r="D99" s="23" t="inlineStr">
        <is>
          <t>Incline DB Press</t>
        </is>
      </c>
      <c r="E99" s="22" t="n">
        <v>3</v>
      </c>
      <c r="F99" s="22" t="n">
        <v>10</v>
      </c>
      <c r="G99" s="38" t="n">
        <v>12</v>
      </c>
      <c r="H99" s="22" t="n">
        <v>8</v>
      </c>
      <c r="I99" s="25">
        <f>IF(OR(F99="",G99=""),"",F99*G99)</f>
        <v/>
      </c>
      <c r="J99" s="38">
        <f>IF(OR(F99="",G99=""),"",ROUND(G99*(1+F99/30),1))</f>
        <v/>
      </c>
      <c r="K99" s="26" t="inlineStr">
        <is>
          <t>climb hit, bump 14 next</t>
        </is>
      </c>
    </row>
    <row r="100" ht="18" customHeight="1">
      <c r="A100" s="35" t="n">
        <v>46153</v>
      </c>
      <c r="B100" s="16">
        <f>IF(A100="","",IFERROR(INT((A100-DATE(2026,4,27))/7)+1,""))</f>
        <v/>
      </c>
      <c r="C100" s="16" t="inlineStr">
        <is>
          <t>Upper A</t>
        </is>
      </c>
      <c r="D100" s="17" t="inlineStr">
        <is>
          <t>Lat Pulldown</t>
        </is>
      </c>
      <c r="E100" s="16" t="n">
        <v>1</v>
      </c>
      <c r="F100" s="16" t="n">
        <v>8</v>
      </c>
      <c r="G100" s="36" t="n">
        <v>37.5</v>
      </c>
      <c r="H100" s="16" t="n">
        <v>7</v>
      </c>
      <c r="I100" s="19">
        <f>IF(OR(F100="",G100=""),"",F100*G100)</f>
        <v/>
      </c>
      <c r="J100" s="36">
        <f>IF(OR(F100="",G100=""),"",ROUND(G100*(1+F100/30),1))</f>
        <v/>
      </c>
      <c r="K100" s="20" t="inlineStr">
        <is>
          <t>S1 RPE7 → mid bump</t>
        </is>
      </c>
    </row>
    <row r="101" ht="18" customHeight="1">
      <c r="A101" s="37" t="n">
        <v>46153</v>
      </c>
      <c r="B101" s="22">
        <f>IF(A101="","",IFERROR(INT((A101-DATE(2026,4,27))/7)+1,""))</f>
        <v/>
      </c>
      <c r="C101" s="22" t="inlineStr">
        <is>
          <t>Upper A</t>
        </is>
      </c>
      <c r="D101" s="23" t="inlineStr">
        <is>
          <t>Lat Pulldown</t>
        </is>
      </c>
      <c r="E101" s="22" t="n">
        <v>2</v>
      </c>
      <c r="F101" s="22" t="n">
        <v>8</v>
      </c>
      <c r="G101" s="38" t="n">
        <v>40</v>
      </c>
      <c r="H101" s="22" t="n">
        <v>8</v>
      </c>
      <c r="I101" s="25">
        <f>IF(OR(F101="",G101=""),"",F101*G101)</f>
        <v/>
      </c>
      <c r="J101" s="38">
        <f>IF(OR(F101="",G101=""),"",ROUND(G101*(1+F101/30),1))</f>
        <v/>
      </c>
      <c r="K101" s="26" t="inlineStr"/>
    </row>
    <row r="102" ht="18" customHeight="1">
      <c r="A102" s="35" t="n">
        <v>46153</v>
      </c>
      <c r="B102" s="16">
        <f>IF(A102="","",IFERROR(INT((A102-DATE(2026,4,27))/7)+1,""))</f>
        <v/>
      </c>
      <c r="C102" s="16" t="inlineStr">
        <is>
          <t>Upper A</t>
        </is>
      </c>
      <c r="D102" s="17" t="inlineStr">
        <is>
          <t>Lat Pulldown</t>
        </is>
      </c>
      <c r="E102" s="16" t="n">
        <v>3</v>
      </c>
      <c r="F102" s="16" t="n">
        <v>8</v>
      </c>
      <c r="G102" s="36" t="n">
        <v>40</v>
      </c>
      <c r="H102" s="16" t="n">
        <v>8</v>
      </c>
      <c r="I102" s="19">
        <f>IF(OR(F102="",G102=""),"",F102*G102)</f>
        <v/>
      </c>
      <c r="J102" s="36">
        <f>IF(OR(F102="",G102=""),"",ROUND(G102*(1+F102/30),1))</f>
        <v/>
      </c>
      <c r="K102" s="20" t="inlineStr"/>
    </row>
    <row r="103" ht="18" customHeight="1">
      <c r="A103" s="37" t="n">
        <v>46153</v>
      </c>
      <c r="B103" s="22">
        <f>IF(A103="","",IFERROR(INT((A103-DATE(2026,4,27))/7)+1,""))</f>
        <v/>
      </c>
      <c r="C103" s="22" t="inlineStr">
        <is>
          <t>Upper A</t>
        </is>
      </c>
      <c r="D103" s="23" t="inlineStr">
        <is>
          <t>Lat Pulldown</t>
        </is>
      </c>
      <c r="E103" s="22" t="n">
        <v>4</v>
      </c>
      <c r="F103" s="22" t="n">
        <v>8</v>
      </c>
      <c r="G103" s="38" t="n">
        <v>40</v>
      </c>
      <c r="H103" s="22" t="n">
        <v>8</v>
      </c>
      <c r="I103" s="25">
        <f>IF(OR(F103="",G103=""),"",F103*G103)</f>
        <v/>
      </c>
      <c r="J103" s="38">
        <f>IF(OR(F103="",G103=""),"",ROUND(G103*(1+F103/30),1))</f>
        <v/>
      </c>
      <c r="K103" s="26" t="inlineStr">
        <is>
          <t>bump 42.5 next</t>
        </is>
      </c>
    </row>
    <row r="104" ht="18" customHeight="1">
      <c r="A104" s="35" t="n">
        <v>46153</v>
      </c>
      <c r="B104" s="16">
        <f>IF(A104="","",IFERROR(INT((A104-DATE(2026,4,27))/7)+1,""))</f>
        <v/>
      </c>
      <c r="C104" s="16" t="inlineStr">
        <is>
          <t>Upper A</t>
        </is>
      </c>
      <c r="D104" s="17" t="inlineStr">
        <is>
          <t>Pec Deck</t>
        </is>
      </c>
      <c r="E104" s="16" t="n">
        <v>1</v>
      </c>
      <c r="F104" s="16" t="n">
        <v>12</v>
      </c>
      <c r="G104" s="36" t="n">
        <v>7.5</v>
      </c>
      <c r="H104" s="16" t="n">
        <v>9</v>
      </c>
      <c r="I104" s="19">
        <f>IF(OR(F104="",G104=""),"",F104*G104)</f>
        <v/>
      </c>
      <c r="J104" s="36">
        <f>IF(OR(F104="",G104=""),"",ROUND(G104*(1+F104/30),1))</f>
        <v/>
      </c>
      <c r="K104" s="20" t="inlineStr"/>
    </row>
    <row r="105" ht="18" customHeight="1">
      <c r="A105" s="37" t="n">
        <v>46153</v>
      </c>
      <c r="B105" s="22">
        <f>IF(A105="","",IFERROR(INT((A105-DATE(2026,4,27))/7)+1,""))</f>
        <v/>
      </c>
      <c r="C105" s="22" t="inlineStr">
        <is>
          <t>Upper A</t>
        </is>
      </c>
      <c r="D105" s="23" t="inlineStr">
        <is>
          <t>Pec Deck</t>
        </is>
      </c>
      <c r="E105" s="22" t="n">
        <v>2</v>
      </c>
      <c r="F105" s="22" t="n">
        <v>9</v>
      </c>
      <c r="G105" s="38" t="n">
        <v>7.5</v>
      </c>
      <c r="H105" s="22" t="n">
        <v>10</v>
      </c>
      <c r="I105" s="25">
        <f>IF(OR(F105="",G105=""),"",F105*G105)</f>
        <v/>
      </c>
      <c r="J105" s="38">
        <f>IF(OR(F105="",G105=""),"",ROUND(G105*(1+F105/30),1))</f>
        <v/>
      </c>
      <c r="K105" s="26" t="inlineStr"/>
    </row>
    <row r="106" ht="18" customHeight="1">
      <c r="A106" s="35" t="n">
        <v>46153</v>
      </c>
      <c r="B106" s="16">
        <f>IF(A106="","",IFERROR(INT((A106-DATE(2026,4,27))/7)+1,""))</f>
        <v/>
      </c>
      <c r="C106" s="16" t="inlineStr">
        <is>
          <t>Upper A</t>
        </is>
      </c>
      <c r="D106" s="17" t="inlineStr">
        <is>
          <t>Pec Deck</t>
        </is>
      </c>
      <c r="E106" s="16" t="n">
        <v>3</v>
      </c>
      <c r="F106" s="16" t="n">
        <v>10</v>
      </c>
      <c r="G106" s="36" t="n">
        <v>7.5</v>
      </c>
      <c r="H106" s="16" t="n">
        <v>10</v>
      </c>
      <c r="I106" s="19">
        <f>IF(OR(F106="",G106=""),"",F106*G106)</f>
        <v/>
      </c>
      <c r="J106" s="36">
        <f>IF(OR(F106="",G106=""),"",ROUND(G106*(1+F106/30),1))</f>
        <v/>
      </c>
      <c r="K106" s="20" t="inlineStr">
        <is>
          <t>muscular failure; hold 7.5 climb</t>
        </is>
      </c>
    </row>
    <row r="107" ht="18" customHeight="1">
      <c r="A107" s="37" t="n">
        <v>46153</v>
      </c>
      <c r="B107" s="22">
        <f>IF(A107="","",IFERROR(INT((A107-DATE(2026,4,27))/7)+1,""))</f>
        <v/>
      </c>
      <c r="C107" s="22" t="inlineStr">
        <is>
          <t>Upper A</t>
        </is>
      </c>
      <c r="D107" s="23" t="inlineStr">
        <is>
          <t>Face Pull</t>
        </is>
      </c>
      <c r="E107" s="22" t="n">
        <v>1</v>
      </c>
      <c r="F107" s="22" t="n">
        <v>15</v>
      </c>
      <c r="G107" s="38" t="n">
        <v>12.5</v>
      </c>
      <c r="H107" s="22" t="n">
        <v>8</v>
      </c>
      <c r="I107" s="25">
        <f>IF(OR(F107="",G107=""),"",F107*G107)</f>
        <v/>
      </c>
      <c r="J107" s="38">
        <f>IF(OR(F107="",G107=""),"",ROUND(G107*(1+F107/30),1))</f>
        <v/>
      </c>
      <c r="K107" s="26" t="inlineStr"/>
    </row>
    <row r="108" ht="18" customHeight="1">
      <c r="A108" s="35" t="n">
        <v>46153</v>
      </c>
      <c r="B108" s="16">
        <f>IF(A108="","",IFERROR(INT((A108-DATE(2026,4,27))/7)+1,""))</f>
        <v/>
      </c>
      <c r="C108" s="16" t="inlineStr">
        <is>
          <t>Upper A</t>
        </is>
      </c>
      <c r="D108" s="17" t="inlineStr">
        <is>
          <t>Face Pull</t>
        </is>
      </c>
      <c r="E108" s="16" t="n">
        <v>2</v>
      </c>
      <c r="F108" s="16" t="n">
        <v>15</v>
      </c>
      <c r="G108" s="36" t="n">
        <v>12.5</v>
      </c>
      <c r="H108" s="16" t="n">
        <v>8</v>
      </c>
      <c r="I108" s="19">
        <f>IF(OR(F108="",G108=""),"",F108*G108)</f>
        <v/>
      </c>
      <c r="J108" s="36">
        <f>IF(OR(F108="",G108=""),"",ROUND(G108*(1+F108/30),1))</f>
        <v/>
      </c>
      <c r="K108" s="20" t="inlineStr"/>
    </row>
    <row r="109" ht="18" customHeight="1">
      <c r="A109" s="37" t="n">
        <v>46153</v>
      </c>
      <c r="B109" s="22">
        <f>IF(A109="","",IFERROR(INT((A109-DATE(2026,4,27))/7)+1,""))</f>
        <v/>
      </c>
      <c r="C109" s="22" t="inlineStr">
        <is>
          <t>Upper A</t>
        </is>
      </c>
      <c r="D109" s="23" t="inlineStr">
        <is>
          <t>Face Pull</t>
        </is>
      </c>
      <c r="E109" s="22" t="n">
        <v>3</v>
      </c>
      <c r="F109" s="22" t="n">
        <v>15</v>
      </c>
      <c r="G109" s="38" t="n">
        <v>12.5</v>
      </c>
      <c r="H109" s="22" t="n">
        <v>9</v>
      </c>
      <c r="I109" s="25">
        <f>IF(OR(F109="",G109=""),"",F109*G109)</f>
        <v/>
      </c>
      <c r="J109" s="38">
        <f>IF(OR(F109="",G109=""),"",ROUND(G109*(1+F109/30),1))</f>
        <v/>
      </c>
      <c r="K109" s="26" t="inlineStr">
        <is>
          <t>top×3, bump 14 next</t>
        </is>
      </c>
    </row>
    <row r="110" ht="18" customHeight="1">
      <c r="A110" s="35" t="n">
        <v>46153</v>
      </c>
      <c r="B110" s="16">
        <f>IF(A110="","",IFERROR(INT((A110-DATE(2026,4,27))/7)+1,""))</f>
        <v/>
      </c>
      <c r="C110" s="16" t="inlineStr">
        <is>
          <t>Upper A</t>
        </is>
      </c>
      <c r="D110" s="17" t="inlineStr">
        <is>
          <t>Triceps Pushdown</t>
        </is>
      </c>
      <c r="E110" s="16" t="n">
        <v>1</v>
      </c>
      <c r="F110" s="16" t="n">
        <v>12</v>
      </c>
      <c r="G110" s="36" t="n">
        <v>12.5</v>
      </c>
      <c r="H110" s="16" t="n">
        <v>6</v>
      </c>
      <c r="I110" s="19">
        <f>IF(OR(F110="",G110=""),"",F110*G110)</f>
        <v/>
      </c>
      <c r="J110" s="36">
        <f>IF(OR(F110="",G110=""),"",ROUND(G110*(1+F110/30),1))</f>
        <v/>
      </c>
      <c r="K110" s="20" t="inlineStr"/>
    </row>
    <row r="111" ht="18" customHeight="1">
      <c r="A111" s="37" t="n">
        <v>46153</v>
      </c>
      <c r="B111" s="22">
        <f>IF(A111="","",IFERROR(INT((A111-DATE(2026,4,27))/7)+1,""))</f>
        <v/>
      </c>
      <c r="C111" s="22" t="inlineStr">
        <is>
          <t>Upper A</t>
        </is>
      </c>
      <c r="D111" s="23" t="inlineStr">
        <is>
          <t>Triceps Pushdown</t>
        </is>
      </c>
      <c r="E111" s="22" t="n">
        <v>2</v>
      </c>
      <c r="F111" s="22" t="n">
        <v>12</v>
      </c>
      <c r="G111" s="38" t="n">
        <v>15</v>
      </c>
      <c r="H111" s="22" t="n">
        <v>7</v>
      </c>
      <c r="I111" s="25">
        <f>IF(OR(F111="",G111=""),"",F111*G111)</f>
        <v/>
      </c>
      <c r="J111" s="38">
        <f>IF(OR(F111="",G111=""),"",ROUND(G111*(1+F111/30),1))</f>
        <v/>
      </c>
      <c r="K111" s="26" t="inlineStr"/>
    </row>
    <row r="112" ht="18" customHeight="1">
      <c r="A112" s="35" t="n">
        <v>46153</v>
      </c>
      <c r="B112" s="16">
        <f>IF(A112="","",IFERROR(INT((A112-DATE(2026,4,27))/7)+1,""))</f>
        <v/>
      </c>
      <c r="C112" s="16" t="inlineStr">
        <is>
          <t>Upper A</t>
        </is>
      </c>
      <c r="D112" s="17" t="inlineStr">
        <is>
          <t>Triceps Pushdown</t>
        </is>
      </c>
      <c r="E112" s="16" t="n">
        <v>3</v>
      </c>
      <c r="F112" s="16" t="n">
        <v>12</v>
      </c>
      <c r="G112" s="36" t="n">
        <v>17.5</v>
      </c>
      <c r="H112" s="16" t="n">
        <v>10</v>
      </c>
      <c r="I112" s="19">
        <f>IF(OR(F112="",G112=""),"",F112*G112)</f>
        <v/>
      </c>
      <c r="J112" s="36">
        <f>IF(OR(F112="",G112=""),"",ROUND(G112*(1+F112/30),1))</f>
        <v/>
      </c>
      <c r="K112" s="20" t="inlineStr">
        <is>
          <t>messy ramp; start 15 next</t>
        </is>
      </c>
    </row>
    <row r="113" ht="18" customHeight="1">
      <c r="A113" s="37" t="n">
        <v>46153</v>
      </c>
      <c r="B113" s="22">
        <f>IF(A113="","",IFERROR(INT((A113-DATE(2026,4,27))/7)+1,""))</f>
        <v/>
      </c>
      <c r="C113" s="22" t="inlineStr">
        <is>
          <t>Upper A</t>
        </is>
      </c>
      <c r="D113" s="23" t="inlineStr">
        <is>
          <t>DB Curl</t>
        </is>
      </c>
      <c r="E113" s="22" t="n">
        <v>1</v>
      </c>
      <c r="F113" s="22" t="n">
        <v>12</v>
      </c>
      <c r="G113" s="38" t="n">
        <v>8</v>
      </c>
      <c r="H113" s="22" t="n">
        <v>8</v>
      </c>
      <c r="I113" s="25">
        <f>IF(OR(F113="",G113=""),"",F113*G113)</f>
        <v/>
      </c>
      <c r="J113" s="38">
        <f>IF(OR(F113="",G113=""),"",ROUND(G113*(1+F113/30),1))</f>
        <v/>
      </c>
      <c r="K113" s="26" t="inlineStr"/>
    </row>
    <row r="114" ht="18" customHeight="1">
      <c r="A114" s="35" t="n">
        <v>46153</v>
      </c>
      <c r="B114" s="16">
        <f>IF(A114="","",IFERROR(INT((A114-DATE(2026,4,27))/7)+1,""))</f>
        <v/>
      </c>
      <c r="C114" s="16" t="inlineStr">
        <is>
          <t>Upper A</t>
        </is>
      </c>
      <c r="D114" s="17" t="inlineStr">
        <is>
          <t>DB Curl</t>
        </is>
      </c>
      <c r="E114" s="16" t="n">
        <v>2</v>
      </c>
      <c r="F114" s="16" t="n">
        <v>12</v>
      </c>
      <c r="G114" s="36" t="n">
        <v>8</v>
      </c>
      <c r="H114" s="16" t="n">
        <v>9</v>
      </c>
      <c r="I114" s="19">
        <f>IF(OR(F114="",G114=""),"",F114*G114)</f>
        <v/>
      </c>
      <c r="J114" s="36">
        <f>IF(OR(F114="",G114=""),"",ROUND(G114*(1+F114/30),1))</f>
        <v/>
      </c>
      <c r="K114" s="20" t="inlineStr"/>
    </row>
    <row r="115" ht="18" customHeight="1">
      <c r="A115" s="37" t="n">
        <v>46153</v>
      </c>
      <c r="B115" s="22">
        <f>IF(A115="","",IFERROR(INT((A115-DATE(2026,4,27))/7)+1,""))</f>
        <v/>
      </c>
      <c r="C115" s="22" t="inlineStr">
        <is>
          <t>Upper A</t>
        </is>
      </c>
      <c r="D115" s="23" t="inlineStr">
        <is>
          <t>DB Curl</t>
        </is>
      </c>
      <c r="E115" s="22" t="n">
        <v>3</v>
      </c>
      <c r="F115" s="22" t="n">
        <v>11</v>
      </c>
      <c r="G115" s="38" t="n">
        <v>8</v>
      </c>
      <c r="H115" s="22" t="n">
        <v>10</v>
      </c>
      <c r="I115" s="25">
        <f>IF(OR(F115="",G115=""),"",F115*G115)</f>
        <v/>
      </c>
      <c r="J115" s="38">
        <f>IF(OR(F115="",G115=""),"",ROUND(G115*(1+F115/30),1))</f>
        <v/>
      </c>
      <c r="K115" s="26" t="inlineStr">
        <is>
          <t>muscular failure; hold 8 climb</t>
        </is>
      </c>
    </row>
    <row r="116" ht="18" customHeight="1">
      <c r="A116" s="35" t="n">
        <v>46155</v>
      </c>
      <c r="B116" s="16">
        <f>IF(A116="","",IFERROR(INT((A116-DATE(2026,4,27))/7)+1,""))</f>
        <v/>
      </c>
      <c r="C116" s="16" t="inlineStr">
        <is>
          <t>Lower A</t>
        </is>
      </c>
      <c r="D116" s="17" t="inlineStr">
        <is>
          <t>Back Squat</t>
        </is>
      </c>
      <c r="E116" s="16" t="n">
        <v>1</v>
      </c>
      <c r="F116" s="16" t="n">
        <v>8</v>
      </c>
      <c r="G116" s="36" t="n">
        <v>35</v>
      </c>
      <c r="H116" s="16" t="n">
        <v>7</v>
      </c>
      <c r="I116" s="19">
        <f>IF(OR(F116="",G116=""),"",F116*G116)</f>
        <v/>
      </c>
      <c r="J116" s="36">
        <f>IF(OR(F116="",G116=""),"",ROUND(G116*(1+F116/30),1))</f>
        <v/>
      </c>
      <c r="K116" s="20" t="inlineStr"/>
    </row>
    <row r="117" ht="18" customHeight="1">
      <c r="A117" s="37" t="n">
        <v>46155</v>
      </c>
      <c r="B117" s="22">
        <f>IF(A117="","",IFERROR(INT((A117-DATE(2026,4,27))/7)+1,""))</f>
        <v/>
      </c>
      <c r="C117" s="22" t="inlineStr">
        <is>
          <t>Lower A</t>
        </is>
      </c>
      <c r="D117" s="23" t="inlineStr">
        <is>
          <t>Back Squat</t>
        </is>
      </c>
      <c r="E117" s="22" t="n">
        <v>2</v>
      </c>
      <c r="F117" s="22" t="n">
        <v>8</v>
      </c>
      <c r="G117" s="38" t="n">
        <v>35</v>
      </c>
      <c r="H117" s="22" t="n">
        <v>7.5</v>
      </c>
      <c r="I117" s="25">
        <f>IF(OR(F117="",G117=""),"",F117*G117)</f>
        <v/>
      </c>
      <c r="J117" s="38">
        <f>IF(OR(F117="",G117=""),"",ROUND(G117*(1+F117/30),1))</f>
        <v/>
      </c>
      <c r="K117" s="26" t="inlineStr"/>
    </row>
    <row r="118" ht="18" customHeight="1">
      <c r="A118" s="35" t="n">
        <v>46155</v>
      </c>
      <c r="B118" s="16">
        <f>IF(A118="","",IFERROR(INT((A118-DATE(2026,4,27))/7)+1,""))</f>
        <v/>
      </c>
      <c r="C118" s="16" t="inlineStr">
        <is>
          <t>Lower A</t>
        </is>
      </c>
      <c r="D118" s="17" t="inlineStr">
        <is>
          <t>Back Squat</t>
        </is>
      </c>
      <c r="E118" s="16" t="n">
        <v>3</v>
      </c>
      <c r="F118" s="16" t="n">
        <v>8</v>
      </c>
      <c r="G118" s="36" t="n">
        <v>35</v>
      </c>
      <c r="H118" s="16" t="n">
        <v>8</v>
      </c>
      <c r="I118" s="19">
        <f>IF(OR(F118="",G118=""),"",F118*G118)</f>
        <v/>
      </c>
      <c r="J118" s="36">
        <f>IF(OR(F118="",G118=""),"",ROUND(G118*(1+F118/30),1))</f>
        <v/>
      </c>
      <c r="K118" s="20" t="inlineStr"/>
    </row>
    <row r="119" ht="18" customHeight="1">
      <c r="A119" s="37" t="n">
        <v>46155</v>
      </c>
      <c r="B119" s="22">
        <f>IF(A119="","",IFERROR(INT((A119-DATE(2026,4,27))/7)+1,""))</f>
        <v/>
      </c>
      <c r="C119" s="22" t="inlineStr">
        <is>
          <t>Lower A</t>
        </is>
      </c>
      <c r="D119" s="23" t="inlineStr">
        <is>
          <t>Back Squat</t>
        </is>
      </c>
      <c r="E119" s="22" t="n">
        <v>4</v>
      </c>
      <c r="F119" s="22" t="n">
        <v>8</v>
      </c>
      <c r="G119" s="38" t="n">
        <v>35</v>
      </c>
      <c r="H119" s="22" t="n">
        <v>8</v>
      </c>
      <c r="I119" s="25">
        <f>IF(OR(F119="",G119=""),"",F119*G119)</f>
        <v/>
      </c>
      <c r="J119" s="38">
        <f>IF(OR(F119="",G119=""),"",ROUND(G119*(1+F119/30),1))</f>
        <v/>
      </c>
      <c r="K119" s="26" t="inlineStr"/>
    </row>
    <row r="120" ht="18" customHeight="1">
      <c r="A120" s="35" t="n">
        <v>46155</v>
      </c>
      <c r="B120" s="16">
        <f>IF(A120="","",IFERROR(INT((A120-DATE(2026,4,27))/7)+1,""))</f>
        <v/>
      </c>
      <c r="C120" s="16" t="inlineStr">
        <is>
          <t>Lower A</t>
        </is>
      </c>
      <c r="D120" s="17" t="inlineStr">
        <is>
          <t>Back Squat</t>
        </is>
      </c>
      <c r="E120" s="16" t="n">
        <v>5</v>
      </c>
      <c r="F120" s="16" t="n">
        <v>8</v>
      </c>
      <c r="G120" s="36" t="n">
        <v>35</v>
      </c>
      <c r="H120" s="16" t="n">
        <v>8</v>
      </c>
      <c r="I120" s="19">
        <f>IF(OR(F120="",G120=""),"",F120*G120)</f>
        <v/>
      </c>
      <c r="J120" s="36">
        <f>IF(OR(F120="",G120=""),"",ROUND(G120*(1+F120/30),1))</f>
        <v/>
      </c>
      <c r="K120" s="20" t="inlineStr">
        <is>
          <t>top×5, bump 37.5 next</t>
        </is>
      </c>
    </row>
    <row r="121" ht="18" customHeight="1">
      <c r="A121" s="37" t="n">
        <v>46155</v>
      </c>
      <c r="B121" s="22">
        <f>IF(A121="","",IFERROR(INT((A121-DATE(2026,4,27))/7)+1,""))</f>
        <v/>
      </c>
      <c r="C121" s="22" t="inlineStr">
        <is>
          <t>Lower A</t>
        </is>
      </c>
      <c r="D121" s="23" t="inlineStr">
        <is>
          <t>Romanian Deadlift</t>
        </is>
      </c>
      <c r="E121" s="22" t="n">
        <v>1</v>
      </c>
      <c r="F121" s="22" t="n">
        <v>10</v>
      </c>
      <c r="G121" s="38" t="n">
        <v>30</v>
      </c>
      <c r="H121" s="22" t="n">
        <v>7</v>
      </c>
      <c r="I121" s="25">
        <f>IF(OR(F121="",G121=""),"",F121*G121)</f>
        <v/>
      </c>
      <c r="J121" s="38">
        <f>IF(OR(F121="",G121=""),"",ROUND(G121*(1+F121/30),1))</f>
        <v/>
      </c>
      <c r="K121" s="26" t="inlineStr"/>
    </row>
    <row r="122" ht="18" customHeight="1">
      <c r="A122" s="35" t="n">
        <v>46155</v>
      </c>
      <c r="B122" s="16">
        <f>IF(A122="","",IFERROR(INT((A122-DATE(2026,4,27))/7)+1,""))</f>
        <v/>
      </c>
      <c r="C122" s="16" t="inlineStr">
        <is>
          <t>Lower A</t>
        </is>
      </c>
      <c r="D122" s="17" t="inlineStr">
        <is>
          <t>Romanian Deadlift</t>
        </is>
      </c>
      <c r="E122" s="16" t="n">
        <v>2</v>
      </c>
      <c r="F122" s="16" t="n">
        <v>10</v>
      </c>
      <c r="G122" s="36" t="n">
        <v>30</v>
      </c>
      <c r="H122" s="16" t="n">
        <v>7</v>
      </c>
      <c r="I122" s="19">
        <f>IF(OR(F122="",G122=""),"",F122*G122)</f>
        <v/>
      </c>
      <c r="J122" s="36">
        <f>IF(OR(F122="",G122=""),"",ROUND(G122*(1+F122/30),1))</f>
        <v/>
      </c>
      <c r="K122" s="20" t="inlineStr"/>
    </row>
    <row r="123" ht="18" customHeight="1">
      <c r="A123" s="37" t="n">
        <v>46155</v>
      </c>
      <c r="B123" s="22">
        <f>IF(A123="","",IFERROR(INT((A123-DATE(2026,4,27))/7)+1,""))</f>
        <v/>
      </c>
      <c r="C123" s="22" t="inlineStr">
        <is>
          <t>Lower A</t>
        </is>
      </c>
      <c r="D123" s="23" t="inlineStr">
        <is>
          <t>Romanian Deadlift</t>
        </is>
      </c>
      <c r="E123" s="22" t="n">
        <v>3</v>
      </c>
      <c r="F123" s="22" t="n">
        <v>10</v>
      </c>
      <c r="G123" s="38" t="n">
        <v>32.5</v>
      </c>
      <c r="H123" s="22" t="n">
        <v>8</v>
      </c>
      <c r="I123" s="25">
        <f>IF(OR(F123="",G123=""),"",F123*G123)</f>
        <v/>
      </c>
      <c r="J123" s="38">
        <f>IF(OR(F123="",G123=""),"",ROUND(G123*(1+F123/30),1))</f>
        <v/>
      </c>
      <c r="K123" s="26" t="inlineStr">
        <is>
          <t>S3 self-bump; 32.5 working next</t>
        </is>
      </c>
    </row>
    <row r="124" ht="18" customHeight="1">
      <c r="A124" s="35" t="n">
        <v>46155</v>
      </c>
      <c r="B124" s="16">
        <f>IF(A124="","",IFERROR(INT((A124-DATE(2026,4,27))/7)+1,""))</f>
        <v/>
      </c>
      <c r="C124" s="16" t="inlineStr">
        <is>
          <t>Lower A</t>
        </is>
      </c>
      <c r="D124" s="17" t="inlineStr">
        <is>
          <t>Leg Press</t>
        </is>
      </c>
      <c r="E124" s="16" t="n">
        <v>1</v>
      </c>
      <c r="F124" s="16" t="n">
        <v>12</v>
      </c>
      <c r="G124" s="36" t="n">
        <v>25</v>
      </c>
      <c r="H124" s="16" t="n">
        <v>7</v>
      </c>
      <c r="I124" s="19">
        <f>IF(OR(F124="",G124=""),"",F124*G124)</f>
        <v/>
      </c>
      <c r="J124" s="36">
        <f>IF(OR(F124="",G124=""),"",ROUND(G124*(1+F124/30),1))</f>
        <v/>
      </c>
      <c r="K124" s="20" t="inlineStr"/>
    </row>
    <row r="125" ht="18" customHeight="1">
      <c r="A125" s="37" t="n">
        <v>46155</v>
      </c>
      <c r="B125" s="22">
        <f>IF(A125="","",IFERROR(INT((A125-DATE(2026,4,27))/7)+1,""))</f>
        <v/>
      </c>
      <c r="C125" s="22" t="inlineStr">
        <is>
          <t>Lower A</t>
        </is>
      </c>
      <c r="D125" s="23" t="inlineStr">
        <is>
          <t>Leg Press</t>
        </is>
      </c>
      <c r="E125" s="22" t="n">
        <v>2</v>
      </c>
      <c r="F125" s="22" t="n">
        <v>12</v>
      </c>
      <c r="G125" s="38" t="n">
        <v>25</v>
      </c>
      <c r="H125" s="22" t="n">
        <v>7</v>
      </c>
      <c r="I125" s="25">
        <f>IF(OR(F125="",G125=""),"",F125*G125)</f>
        <v/>
      </c>
      <c r="J125" s="38">
        <f>IF(OR(F125="",G125=""),"",ROUND(G125*(1+F125/30),1))</f>
        <v/>
      </c>
      <c r="K125" s="26" t="inlineStr"/>
    </row>
    <row r="126" ht="18" customHeight="1">
      <c r="A126" s="35" t="n">
        <v>46155</v>
      </c>
      <c r="B126" s="16">
        <f>IF(A126="","",IFERROR(INT((A126-DATE(2026,4,27))/7)+1,""))</f>
        <v/>
      </c>
      <c r="C126" s="16" t="inlineStr">
        <is>
          <t>Lower A</t>
        </is>
      </c>
      <c r="D126" s="17" t="inlineStr">
        <is>
          <t>Leg Press</t>
        </is>
      </c>
      <c r="E126" s="16" t="n">
        <v>3</v>
      </c>
      <c r="F126" s="16" t="n">
        <v>12</v>
      </c>
      <c r="G126" s="36" t="n">
        <v>30</v>
      </c>
      <c r="H126" s="16" t="n">
        <v>7</v>
      </c>
      <c r="I126" s="19">
        <f>IF(OR(F126="",G126=""),"",F126*G126)</f>
        <v/>
      </c>
      <c r="J126" s="36">
        <f>IF(OR(F126="",G126=""),"",ROUND(G126*(1+F126/30),1))</f>
        <v/>
      </c>
      <c r="K126" s="20" t="inlineStr">
        <is>
          <t>under-loaded; bump 30 next</t>
        </is>
      </c>
    </row>
    <row r="127" ht="18" customHeight="1">
      <c r="A127" s="37" t="n">
        <v>46155</v>
      </c>
      <c r="B127" s="22">
        <f>IF(A127="","",IFERROR(INT((A127-DATE(2026,4,27))/7)+1,""))</f>
        <v/>
      </c>
      <c r="C127" s="22" t="inlineStr">
        <is>
          <t>Lower A</t>
        </is>
      </c>
      <c r="D127" s="23" t="inlineStr">
        <is>
          <t>Lying Leg Curl</t>
        </is>
      </c>
      <c r="E127" s="22" t="n">
        <v>1</v>
      </c>
      <c r="F127" s="22" t="n">
        <v>12</v>
      </c>
      <c r="G127" s="38" t="n">
        <v>20</v>
      </c>
      <c r="H127" s="22" t="n">
        <v>7</v>
      </c>
      <c r="I127" s="25">
        <f>IF(OR(F127="",G127=""),"",F127*G127)</f>
        <v/>
      </c>
      <c r="J127" s="38">
        <f>IF(OR(F127="",G127=""),"",ROUND(G127*(1+F127/30),1))</f>
        <v/>
      </c>
      <c r="K127" s="26" t="inlineStr"/>
    </row>
    <row r="128" ht="18" customHeight="1">
      <c r="A128" s="35" t="n">
        <v>46155</v>
      </c>
      <c r="B128" s="16">
        <f>IF(A128="","",IFERROR(INT((A128-DATE(2026,4,27))/7)+1,""))</f>
        <v/>
      </c>
      <c r="C128" s="16" t="inlineStr">
        <is>
          <t>Lower A</t>
        </is>
      </c>
      <c r="D128" s="17" t="inlineStr">
        <is>
          <t>Lying Leg Curl</t>
        </is>
      </c>
      <c r="E128" s="16" t="n">
        <v>2</v>
      </c>
      <c r="F128" s="16" t="n">
        <v>12</v>
      </c>
      <c r="G128" s="36" t="n">
        <v>20</v>
      </c>
      <c r="H128" s="16" t="n">
        <v>7</v>
      </c>
      <c r="I128" s="19">
        <f>IF(OR(F128="",G128=""),"",F128*G128)</f>
        <v/>
      </c>
      <c r="J128" s="36">
        <f>IF(OR(F128="",G128=""),"",ROUND(G128*(1+F128/30),1))</f>
        <v/>
      </c>
      <c r="K128" s="20" t="inlineStr"/>
    </row>
    <row r="129" ht="18" customHeight="1">
      <c r="A129" s="37" t="n">
        <v>46155</v>
      </c>
      <c r="B129" s="22">
        <f>IF(A129="","",IFERROR(INT((A129-DATE(2026,4,27))/7)+1,""))</f>
        <v/>
      </c>
      <c r="C129" s="22" t="inlineStr">
        <is>
          <t>Lower A</t>
        </is>
      </c>
      <c r="D129" s="23" t="inlineStr">
        <is>
          <t>Lying Leg Curl</t>
        </is>
      </c>
      <c r="E129" s="22" t="n">
        <v>3</v>
      </c>
      <c r="F129" s="22" t="n">
        <v>12</v>
      </c>
      <c r="G129" s="38" t="n">
        <v>22.5</v>
      </c>
      <c r="H129" s="22" t="n">
        <v>9</v>
      </c>
      <c r="I129" s="25">
        <f>IF(OR(F129="",G129=""),"",F129*G129)</f>
        <v/>
      </c>
      <c r="J129" s="38">
        <f>IF(OR(F129="",G129=""),"",ROUND(G129*(1+F129/30),1))</f>
        <v/>
      </c>
      <c r="K129" s="26" t="inlineStr">
        <is>
          <t>bump 22.5 next</t>
        </is>
      </c>
    </row>
    <row r="130" ht="18" customHeight="1">
      <c r="A130" s="35" t="n">
        <v>46155</v>
      </c>
      <c r="B130" s="16">
        <f>IF(A130="","",IFERROR(INT((A130-DATE(2026,4,27))/7)+1,""))</f>
        <v/>
      </c>
      <c r="C130" s="16" t="inlineStr">
        <is>
          <t>Lower A</t>
        </is>
      </c>
      <c r="D130" s="17" t="inlineStr">
        <is>
          <t>Standing Calf Raise</t>
        </is>
      </c>
      <c r="E130" s="16" t="n">
        <v>1</v>
      </c>
      <c r="F130" s="16" t="n">
        <v>15</v>
      </c>
      <c r="G130" s="36" t="n">
        <v>30</v>
      </c>
      <c r="H130" s="16" t="n">
        <v>8</v>
      </c>
      <c r="I130" s="19">
        <f>IF(OR(F130="",G130=""),"",F130*G130)</f>
        <v/>
      </c>
      <c r="J130" s="36">
        <f>IF(OR(F130="",G130=""),"",ROUND(G130*(1+F130/30),1))</f>
        <v/>
      </c>
      <c r="K130" s="20" t="inlineStr"/>
    </row>
    <row r="131" ht="18" customHeight="1">
      <c r="A131" s="37" t="n">
        <v>46155</v>
      </c>
      <c r="B131" s="22">
        <f>IF(A131="","",IFERROR(INT((A131-DATE(2026,4,27))/7)+1,""))</f>
        <v/>
      </c>
      <c r="C131" s="22" t="inlineStr">
        <is>
          <t>Lower A</t>
        </is>
      </c>
      <c r="D131" s="23" t="inlineStr">
        <is>
          <t>Standing Calf Raise</t>
        </is>
      </c>
      <c r="E131" s="22" t="n">
        <v>2</v>
      </c>
      <c r="F131" s="22" t="n">
        <v>15</v>
      </c>
      <c r="G131" s="38" t="n">
        <v>30</v>
      </c>
      <c r="H131" s="22" t="n">
        <v>9</v>
      </c>
      <c r="I131" s="25">
        <f>IF(OR(F131="",G131=""),"",F131*G131)</f>
        <v/>
      </c>
      <c r="J131" s="38">
        <f>IF(OR(F131="",G131=""),"",ROUND(G131*(1+F131/30),1))</f>
        <v/>
      </c>
      <c r="K131" s="26" t="inlineStr"/>
    </row>
    <row r="132" ht="18" customHeight="1">
      <c r="A132" s="35" t="n">
        <v>46155</v>
      </c>
      <c r="B132" s="16">
        <f>IF(A132="","",IFERROR(INT((A132-DATE(2026,4,27))/7)+1,""))</f>
        <v/>
      </c>
      <c r="C132" s="16" t="inlineStr">
        <is>
          <t>Lower A</t>
        </is>
      </c>
      <c r="D132" s="17" t="inlineStr">
        <is>
          <t>Standing Calf Raise</t>
        </is>
      </c>
      <c r="E132" s="16" t="n">
        <v>3</v>
      </c>
      <c r="F132" s="16" t="n">
        <v>15</v>
      </c>
      <c r="G132" s="36" t="n">
        <v>30</v>
      </c>
      <c r="H132" s="16" t="n">
        <v>10</v>
      </c>
      <c r="I132" s="19">
        <f>IF(OR(F132="",G132=""),"",F132*G132)</f>
        <v/>
      </c>
      <c r="J132" s="36">
        <f>IF(OR(F132="",G132=""),"",ROUND(G132*(1+F132/30),1))</f>
        <v/>
      </c>
      <c r="K132" s="20" t="inlineStr"/>
    </row>
    <row r="133" ht="18" customHeight="1">
      <c r="A133" s="37" t="n">
        <v>46155</v>
      </c>
      <c r="B133" s="22">
        <f>IF(A133="","",IFERROR(INT((A133-DATE(2026,4,27))/7)+1,""))</f>
        <v/>
      </c>
      <c r="C133" s="22" t="inlineStr">
        <is>
          <t>Lower A</t>
        </is>
      </c>
      <c r="D133" s="23" t="inlineStr">
        <is>
          <t>Standing Calf Raise</t>
        </is>
      </c>
      <c r="E133" s="22" t="n">
        <v>4</v>
      </c>
      <c r="F133" s="22" t="n">
        <v>12</v>
      </c>
      <c r="G133" s="38" t="n">
        <v>30</v>
      </c>
      <c r="H133" s="22" t="n">
        <v>10</v>
      </c>
      <c r="I133" s="25">
        <f>IF(OR(F133="",G133=""),"",F133*G133)</f>
        <v/>
      </c>
      <c r="J133" s="38">
        <f>IF(OR(F133="",G133=""),"",ROUND(G133*(1+F133/30),1))</f>
        <v/>
      </c>
      <c r="K133" s="26" t="inlineStr">
        <is>
          <t>missed S4 reps; hold 30</t>
        </is>
      </c>
    </row>
    <row r="134" ht="18" customHeight="1">
      <c r="A134" s="35" t="n">
        <v>46155</v>
      </c>
      <c r="B134" s="16">
        <f>IF(A134="","",IFERROR(INT((A134-DATE(2026,4,27))/7)+1,""))</f>
        <v/>
      </c>
      <c r="C134" s="16" t="inlineStr">
        <is>
          <t>Lower A</t>
        </is>
      </c>
      <c r="D134" s="17" t="inlineStr">
        <is>
          <t>Hanging Knee Raise</t>
        </is>
      </c>
      <c r="E134" s="16" t="n">
        <v>1</v>
      </c>
      <c r="F134" s="16" t="n">
        <v>8</v>
      </c>
      <c r="G134" s="36" t="n">
        <v>0</v>
      </c>
      <c r="H134" s="16" t="n">
        <v>8</v>
      </c>
      <c r="I134" s="19">
        <f>IF(OR(F134="",G134=""),"",F134*G134)</f>
        <v/>
      </c>
      <c r="J134" s="36">
        <f>IF(OR(F134="",G134=""),"",ROUND(G134*(1+F134/30),1))</f>
        <v/>
      </c>
      <c r="K134" s="20" t="inlineStr">
        <is>
          <t>BW; ab DOMS limiter</t>
        </is>
      </c>
    </row>
    <row r="135" ht="18" customHeight="1">
      <c r="A135" s="37" t="n">
        <v>46155</v>
      </c>
      <c r="B135" s="22">
        <f>IF(A135="","",IFERROR(INT((A135-DATE(2026,4,27))/7)+1,""))</f>
        <v/>
      </c>
      <c r="C135" s="22" t="inlineStr">
        <is>
          <t>Lower A</t>
        </is>
      </c>
      <c r="D135" s="23" t="inlineStr">
        <is>
          <t>Hanging Knee Raise</t>
        </is>
      </c>
      <c r="E135" s="22" t="n">
        <v>2</v>
      </c>
      <c r="F135" s="22" t="n">
        <v>8</v>
      </c>
      <c r="G135" s="38" t="n">
        <v>0</v>
      </c>
      <c r="H135" s="22" t="n">
        <v>9</v>
      </c>
      <c r="I135" s="25">
        <f>IF(OR(F135="",G135=""),"",F135*G135)</f>
        <v/>
      </c>
      <c r="J135" s="38">
        <f>IF(OR(F135="",G135=""),"",ROUND(G135*(1+F135/30),1))</f>
        <v/>
      </c>
      <c r="K135" s="26" t="inlineStr">
        <is>
          <t>BW</t>
        </is>
      </c>
    </row>
    <row r="136" ht="18" customHeight="1">
      <c r="A136" s="35" t="n">
        <v>46155</v>
      </c>
      <c r="B136" s="16">
        <f>IF(A136="","",IFERROR(INT((A136-DATE(2026,4,27))/7)+1,""))</f>
        <v/>
      </c>
      <c r="C136" s="16" t="inlineStr">
        <is>
          <t>Lower A</t>
        </is>
      </c>
      <c r="D136" s="17" t="inlineStr">
        <is>
          <t>Hanging Knee Raise</t>
        </is>
      </c>
      <c r="E136" s="16" t="n">
        <v>3</v>
      </c>
      <c r="F136" s="16" t="n">
        <v>8</v>
      </c>
      <c r="G136" s="36" t="n">
        <v>0</v>
      </c>
      <c r="H136" s="16" t="n">
        <v>9</v>
      </c>
      <c r="I136" s="19">
        <f>IF(OR(F136="",G136=""),"",F136*G136)</f>
        <v/>
      </c>
      <c r="J136" s="36">
        <f>IF(OR(F136="",G136=""),"",ROUND(G136*(1+F136/30),1))</f>
        <v/>
      </c>
      <c r="K136" s="20" t="inlineStr">
        <is>
          <t>BW; hold, target 10/10/10</t>
        </is>
      </c>
    </row>
    <row r="137" ht="18" customHeight="1">
      <c r="A137" s="37" t="n">
        <v>46158</v>
      </c>
      <c r="B137" s="22">
        <f>IF(A137="","",IFERROR(INT((A137-DATE(2026,4,27))/7)+1,""))</f>
        <v/>
      </c>
      <c r="C137" s="22" t="inlineStr">
        <is>
          <t>Upper B</t>
        </is>
      </c>
      <c r="D137" s="23" t="inlineStr">
        <is>
          <t>Overhead Press</t>
        </is>
      </c>
      <c r="E137" s="22" t="n">
        <v>1</v>
      </c>
      <c r="F137" s="22" t="n">
        <v>8</v>
      </c>
      <c r="G137" s="38" t="n">
        <v>25</v>
      </c>
      <c r="H137" s="22" t="n">
        <v>9</v>
      </c>
      <c r="I137" s="25">
        <f>IF(OR(F137="",G137=""),"",F137*G137)</f>
        <v/>
      </c>
      <c r="J137" s="38">
        <f>IF(OR(F137="",G137=""),"",ROUND(G137*(1+F137/30),1))</f>
        <v/>
      </c>
      <c r="K137" s="26" t="inlineStr"/>
    </row>
    <row r="138" ht="18" customHeight="1">
      <c r="A138" s="35" t="n">
        <v>46158</v>
      </c>
      <c r="B138" s="16">
        <f>IF(A138="","",IFERROR(INT((A138-DATE(2026,4,27))/7)+1,""))</f>
        <v/>
      </c>
      <c r="C138" s="16" t="inlineStr">
        <is>
          <t>Upper B</t>
        </is>
      </c>
      <c r="D138" s="17" t="inlineStr">
        <is>
          <t>Overhead Press</t>
        </is>
      </c>
      <c r="E138" s="16" t="n">
        <v>2</v>
      </c>
      <c r="F138" s="16" t="n">
        <v>8</v>
      </c>
      <c r="G138" s="36" t="n">
        <v>25</v>
      </c>
      <c r="H138" s="16" t="n">
        <v>9</v>
      </c>
      <c r="I138" s="19">
        <f>IF(OR(F138="",G138=""),"",F138*G138)</f>
        <v/>
      </c>
      <c r="J138" s="36">
        <f>IF(OR(F138="",G138=""),"",ROUND(G138*(1+F138/30),1))</f>
        <v/>
      </c>
      <c r="K138" s="20" t="inlineStr"/>
    </row>
    <row r="139" ht="18" customHeight="1">
      <c r="A139" s="37" t="n">
        <v>46158</v>
      </c>
      <c r="B139" s="22">
        <f>IF(A139="","",IFERROR(INT((A139-DATE(2026,4,27))/7)+1,""))</f>
        <v/>
      </c>
      <c r="C139" s="22" t="inlineStr">
        <is>
          <t>Upper B</t>
        </is>
      </c>
      <c r="D139" s="23" t="inlineStr">
        <is>
          <t>Overhead Press</t>
        </is>
      </c>
      <c r="E139" s="22" t="n">
        <v>3</v>
      </c>
      <c r="F139" s="22" t="n">
        <v>8</v>
      </c>
      <c r="G139" s="38" t="n">
        <v>25</v>
      </c>
      <c r="H139" s="22" t="n">
        <v>10</v>
      </c>
      <c r="I139" s="25">
        <f>IF(OR(F139="",G139=""),"",F139*G139)</f>
        <v/>
      </c>
      <c r="J139" s="38">
        <f>IF(OR(F139="",G139=""),"",ROUND(G139*(1+F139/30),1))</f>
        <v/>
      </c>
      <c r="K139" s="26" t="inlineStr"/>
    </row>
    <row r="140" ht="18" customHeight="1">
      <c r="A140" s="35" t="n">
        <v>46158</v>
      </c>
      <c r="B140" s="16">
        <f>IF(A140="","",IFERROR(INT((A140-DATE(2026,4,27))/7)+1,""))</f>
        <v/>
      </c>
      <c r="C140" s="16" t="inlineStr">
        <is>
          <t>Upper B</t>
        </is>
      </c>
      <c r="D140" s="17" t="inlineStr">
        <is>
          <t>Overhead Press</t>
        </is>
      </c>
      <c r="E140" s="16" t="n">
        <v>4</v>
      </c>
      <c r="F140" s="16" t="n">
        <v>7</v>
      </c>
      <c r="G140" s="36" t="n">
        <v>25</v>
      </c>
      <c r="H140" s="16" t="n">
        <v>9</v>
      </c>
      <c r="I140" s="19">
        <f>IF(OR(F140="",G140=""),"",F140*G140)</f>
        <v/>
      </c>
      <c r="J140" s="36">
        <f>IF(OR(F140="",G140=""),"",ROUND(G140*(1+F140/30),1))</f>
        <v/>
      </c>
      <c r="K140" s="20" t="inlineStr"/>
    </row>
    <row r="141" ht="18" customHeight="1">
      <c r="A141" s="37" t="n">
        <v>46158</v>
      </c>
      <c r="B141" s="22">
        <f>IF(A141="","",IFERROR(INT((A141-DATE(2026,4,27))/7)+1,""))</f>
        <v/>
      </c>
      <c r="C141" s="22" t="inlineStr">
        <is>
          <t>Upper B</t>
        </is>
      </c>
      <c r="D141" s="23" t="inlineStr">
        <is>
          <t>Overhead Press</t>
        </is>
      </c>
      <c r="E141" s="22" t="n">
        <v>5</v>
      </c>
      <c r="F141" s="22" t="n">
        <v>7</v>
      </c>
      <c r="G141" s="38" t="n">
        <v>25</v>
      </c>
      <c r="H141" s="22" t="n">
        <v>10</v>
      </c>
      <c r="I141" s="25">
        <f>IF(OR(F141="",G141=""),"",F141*G141)</f>
        <v/>
      </c>
      <c r="J141" s="38">
        <f>IF(OR(F141="",G141=""),"",ROUND(G141*(1+F141/30),1))</f>
        <v/>
      </c>
      <c r="K141" s="26" t="inlineStr">
        <is>
          <t>hold 25, bank 8×5</t>
        </is>
      </c>
    </row>
    <row r="142" ht="18" customHeight="1">
      <c r="A142" s="35" t="n">
        <v>46158</v>
      </c>
      <c r="B142" s="16">
        <f>IF(A142="","",IFERROR(INT((A142-DATE(2026,4,27))/7)+1,""))</f>
        <v/>
      </c>
      <c r="C142" s="16" t="inlineStr">
        <is>
          <t>Upper B</t>
        </is>
      </c>
      <c r="D142" s="17" t="inlineStr">
        <is>
          <t>Lat Pulldown</t>
        </is>
      </c>
      <c r="E142" s="16" t="n">
        <v>1</v>
      </c>
      <c r="F142" s="16" t="n">
        <v>8</v>
      </c>
      <c r="G142" s="36" t="n">
        <v>42.5</v>
      </c>
      <c r="H142" s="16" t="n">
        <v>7</v>
      </c>
      <c r="I142" s="19">
        <f>IF(OR(F142="",G142=""),"",F142*G142)</f>
        <v/>
      </c>
      <c r="J142" s="36">
        <f>IF(OR(F142="",G142=""),"",ROUND(G142*(1+F142/30),1))</f>
        <v/>
      </c>
      <c r="K142" s="20" t="inlineStr"/>
    </row>
    <row r="143" ht="18" customHeight="1">
      <c r="A143" s="37" t="n">
        <v>46158</v>
      </c>
      <c r="B143" s="22">
        <f>IF(A143="","",IFERROR(INT((A143-DATE(2026,4,27))/7)+1,""))</f>
        <v/>
      </c>
      <c r="C143" s="22" t="inlineStr">
        <is>
          <t>Upper B</t>
        </is>
      </c>
      <c r="D143" s="23" t="inlineStr">
        <is>
          <t>Lat Pulldown</t>
        </is>
      </c>
      <c r="E143" s="22" t="n">
        <v>2</v>
      </c>
      <c r="F143" s="22" t="n">
        <v>8</v>
      </c>
      <c r="G143" s="38" t="n">
        <v>42.5</v>
      </c>
      <c r="H143" s="22" t="n">
        <v>8</v>
      </c>
      <c r="I143" s="25">
        <f>IF(OR(F143="",G143=""),"",F143*G143)</f>
        <v/>
      </c>
      <c r="J143" s="38">
        <f>IF(OR(F143="",G143=""),"",ROUND(G143*(1+F143/30),1))</f>
        <v/>
      </c>
      <c r="K143" s="26" t="inlineStr"/>
    </row>
    <row r="144" ht="18" customHeight="1">
      <c r="A144" s="35" t="n">
        <v>46158</v>
      </c>
      <c r="B144" s="16">
        <f>IF(A144="","",IFERROR(INT((A144-DATE(2026,4,27))/7)+1,""))</f>
        <v/>
      </c>
      <c r="C144" s="16" t="inlineStr">
        <is>
          <t>Upper B</t>
        </is>
      </c>
      <c r="D144" s="17" t="inlineStr">
        <is>
          <t>Lat Pulldown</t>
        </is>
      </c>
      <c r="E144" s="16" t="n">
        <v>3</v>
      </c>
      <c r="F144" s="16" t="n">
        <v>8</v>
      </c>
      <c r="G144" s="36" t="n">
        <v>42.5</v>
      </c>
      <c r="H144" s="16" t="n">
        <v>8</v>
      </c>
      <c r="I144" s="19">
        <f>IF(OR(F144="",G144=""),"",F144*G144)</f>
        <v/>
      </c>
      <c r="J144" s="36">
        <f>IF(OR(F144="",G144=""),"",ROUND(G144*(1+F144/30),1))</f>
        <v/>
      </c>
      <c r="K144" s="20" t="inlineStr"/>
    </row>
    <row r="145" ht="18" customHeight="1">
      <c r="A145" s="37" t="n">
        <v>46158</v>
      </c>
      <c r="B145" s="22">
        <f>IF(A145="","",IFERROR(INT((A145-DATE(2026,4,27))/7)+1,""))</f>
        <v/>
      </c>
      <c r="C145" s="22" t="inlineStr">
        <is>
          <t>Upper B</t>
        </is>
      </c>
      <c r="D145" s="23" t="inlineStr">
        <is>
          <t>Lat Pulldown</t>
        </is>
      </c>
      <c r="E145" s="22" t="n">
        <v>4</v>
      </c>
      <c r="F145" s="22" t="n">
        <v>8</v>
      </c>
      <c r="G145" s="38" t="n">
        <v>42.5</v>
      </c>
      <c r="H145" s="22" t="n">
        <v>9</v>
      </c>
      <c r="I145" s="25">
        <f>IF(OR(F145="",G145=""),"",F145*G145)</f>
        <v/>
      </c>
      <c r="J145" s="38">
        <f>IF(OR(F145="",G145=""),"",ROUND(G145*(1+F145/30),1))</f>
        <v/>
      </c>
      <c r="K145" s="26" t="inlineStr"/>
    </row>
    <row r="146" ht="18" customHeight="1">
      <c r="A146" s="35" t="n">
        <v>46158</v>
      </c>
      <c r="B146" s="16">
        <f>IF(A146="","",IFERROR(INT((A146-DATE(2026,4,27))/7)+1,""))</f>
        <v/>
      </c>
      <c r="C146" s="16" t="inlineStr">
        <is>
          <t>Upper B</t>
        </is>
      </c>
      <c r="D146" s="17" t="inlineStr">
        <is>
          <t>Lat Pulldown</t>
        </is>
      </c>
      <c r="E146" s="16" t="n">
        <v>5</v>
      </c>
      <c r="F146" s="16" t="n">
        <v>7</v>
      </c>
      <c r="G146" s="36" t="n">
        <v>42.5</v>
      </c>
      <c r="H146" s="16" t="n">
        <v>10</v>
      </c>
      <c r="I146" s="19">
        <f>IF(OR(F146="",G146=""),"",F146*G146)</f>
        <v/>
      </c>
      <c r="J146" s="36">
        <f>IF(OR(F146="",G146=""),"",ROUND(G146*(1+F146/30),1))</f>
        <v/>
      </c>
      <c r="K146" s="20" t="inlineStr">
        <is>
          <t>hold 42.5, close S5</t>
        </is>
      </c>
    </row>
    <row r="147" ht="18" customHeight="1">
      <c r="A147" s="37" t="n">
        <v>46158</v>
      </c>
      <c r="B147" s="22">
        <f>IF(A147="","",IFERROR(INT((A147-DATE(2026,4,27))/7)+1,""))</f>
        <v/>
      </c>
      <c r="C147" s="22" t="inlineStr">
        <is>
          <t>Upper B</t>
        </is>
      </c>
      <c r="D147" s="23" t="inlineStr">
        <is>
          <t>Incline DB Press</t>
        </is>
      </c>
      <c r="E147" s="22" t="n">
        <v>1</v>
      </c>
      <c r="F147" s="22" t="n">
        <v>10</v>
      </c>
      <c r="G147" s="38" t="n">
        <v>12</v>
      </c>
      <c r="H147" s="22" t="n">
        <v>7</v>
      </c>
      <c r="I147" s="25">
        <f>IF(OR(F147="",G147=""),"",F147*G147)</f>
        <v/>
      </c>
      <c r="J147" s="38">
        <f>IF(OR(F147="",G147=""),"",ROUND(G147*(1+F147/30),1))</f>
        <v/>
      </c>
      <c r="K147" s="26" t="inlineStr"/>
    </row>
    <row r="148" ht="18" customHeight="1">
      <c r="A148" s="35" t="n">
        <v>46158</v>
      </c>
      <c r="B148" s="16">
        <f>IF(A148="","",IFERROR(INT((A148-DATE(2026,4,27))/7)+1,""))</f>
        <v/>
      </c>
      <c r="C148" s="16" t="inlineStr">
        <is>
          <t>Upper B</t>
        </is>
      </c>
      <c r="D148" s="17" t="inlineStr">
        <is>
          <t>Incline DB Press</t>
        </is>
      </c>
      <c r="E148" s="16" t="n">
        <v>2</v>
      </c>
      <c r="F148" s="16" t="n">
        <v>10</v>
      </c>
      <c r="G148" s="36" t="n">
        <v>12</v>
      </c>
      <c r="H148" s="16" t="n">
        <v>7</v>
      </c>
      <c r="I148" s="19">
        <f>IF(OR(F148="",G148=""),"",F148*G148)</f>
        <v/>
      </c>
      <c r="J148" s="36">
        <f>IF(OR(F148="",G148=""),"",ROUND(G148*(1+F148/30),1))</f>
        <v/>
      </c>
      <c r="K148" s="20" t="inlineStr"/>
    </row>
    <row r="149" ht="18" customHeight="1">
      <c r="A149" s="37" t="n">
        <v>46158</v>
      </c>
      <c r="B149" s="22">
        <f>IF(A149="","",IFERROR(INT((A149-DATE(2026,4,27))/7)+1,""))</f>
        <v/>
      </c>
      <c r="C149" s="22" t="inlineStr">
        <is>
          <t>Upper B</t>
        </is>
      </c>
      <c r="D149" s="23" t="inlineStr">
        <is>
          <t>Incline DB Press</t>
        </is>
      </c>
      <c r="E149" s="22" t="n">
        <v>3</v>
      </c>
      <c r="F149" s="22" t="n">
        <v>10</v>
      </c>
      <c r="G149" s="38" t="n">
        <v>12</v>
      </c>
      <c r="H149" s="22" t="n">
        <v>9</v>
      </c>
      <c r="I149" s="25">
        <f>IF(OR(F149="",G149=""),"",F149*G149)</f>
        <v/>
      </c>
      <c r="J149" s="38">
        <f>IF(OR(F149="",G149=""),"",ROUND(G149*(1+F149/30),1))</f>
        <v/>
      </c>
      <c r="K149" s="26" t="inlineStr">
        <is>
          <t>top×3, bump 14 next</t>
        </is>
      </c>
    </row>
    <row r="150" ht="18" customHeight="1">
      <c r="A150" s="35" t="n">
        <v>46158</v>
      </c>
      <c r="B150" s="16">
        <f>IF(A150="","",IFERROR(INT((A150-DATE(2026,4,27))/7)+1,""))</f>
        <v/>
      </c>
      <c r="C150" s="16" t="inlineStr">
        <is>
          <t>Upper B</t>
        </is>
      </c>
      <c r="D150" s="17" t="inlineStr">
        <is>
          <t>Cable Row</t>
        </is>
      </c>
      <c r="E150" s="16" t="n">
        <v>1</v>
      </c>
      <c r="F150" s="16" t="n">
        <v>12</v>
      </c>
      <c r="G150" s="36" t="n">
        <v>30</v>
      </c>
      <c r="H150" s="16" t="n">
        <v>7</v>
      </c>
      <c r="I150" s="19">
        <f>IF(OR(F150="",G150=""),"",F150*G150)</f>
        <v/>
      </c>
      <c r="J150" s="36">
        <f>IF(OR(F150="",G150=""),"",ROUND(G150*(1+F150/30),1))</f>
        <v/>
      </c>
      <c r="K150" s="20" t="inlineStr">
        <is>
          <t>ran 30 vs prescribed 32.5</t>
        </is>
      </c>
    </row>
    <row r="151" ht="18" customHeight="1">
      <c r="A151" s="37" t="n">
        <v>46158</v>
      </c>
      <c r="B151" s="22">
        <f>IF(A151="","",IFERROR(INT((A151-DATE(2026,4,27))/7)+1,""))</f>
        <v/>
      </c>
      <c r="C151" s="22" t="inlineStr">
        <is>
          <t>Upper B</t>
        </is>
      </c>
      <c r="D151" s="23" t="inlineStr">
        <is>
          <t>Cable Row</t>
        </is>
      </c>
      <c r="E151" s="22" t="n">
        <v>2</v>
      </c>
      <c r="F151" s="22" t="n">
        <v>12</v>
      </c>
      <c r="G151" s="38" t="n">
        <v>30</v>
      </c>
      <c r="H151" s="22" t="n">
        <v>8</v>
      </c>
      <c r="I151" s="25">
        <f>IF(OR(F151="",G151=""),"",F151*G151)</f>
        <v/>
      </c>
      <c r="J151" s="38">
        <f>IF(OR(F151="",G151=""),"",ROUND(G151*(1+F151/30),1))</f>
        <v/>
      </c>
      <c r="K151" s="26" t="inlineStr"/>
    </row>
    <row r="152" ht="18" customHeight="1">
      <c r="A152" s="35" t="n">
        <v>46158</v>
      </c>
      <c r="B152" s="16">
        <f>IF(A152="","",IFERROR(INT((A152-DATE(2026,4,27))/7)+1,""))</f>
        <v/>
      </c>
      <c r="C152" s="16" t="inlineStr">
        <is>
          <t>Upper B</t>
        </is>
      </c>
      <c r="D152" s="17" t="inlineStr">
        <is>
          <t>Cable Row</t>
        </is>
      </c>
      <c r="E152" s="16" t="n">
        <v>3</v>
      </c>
      <c r="F152" s="16" t="n">
        <v>12</v>
      </c>
      <c r="G152" s="36" t="n">
        <v>30</v>
      </c>
      <c r="H152" s="16" t="n">
        <v>10</v>
      </c>
      <c r="I152" s="19">
        <f>IF(OR(F152="",G152=""),"",F152*G152)</f>
        <v/>
      </c>
      <c r="J152" s="36">
        <f>IF(OR(F152="",G152=""),"",ROUND(G152*(1+F152/30),1))</f>
        <v/>
      </c>
      <c r="K152" s="20" t="inlineStr">
        <is>
          <t>bump 32.5 next</t>
        </is>
      </c>
    </row>
    <row r="153" ht="18" customHeight="1">
      <c r="A153" s="37" t="n">
        <v>46158</v>
      </c>
      <c r="B153" s="22">
        <f>IF(A153="","",IFERROR(INT((A153-DATE(2026,4,27))/7)+1,""))</f>
        <v/>
      </c>
      <c r="C153" s="22" t="inlineStr">
        <is>
          <t>Upper B</t>
        </is>
      </c>
      <c r="D153" s="23" t="inlineStr">
        <is>
          <t>DB Lateral Raise</t>
        </is>
      </c>
      <c r="E153" s="22" t="n">
        <v>1</v>
      </c>
      <c r="F153" s="22" t="n">
        <v>15</v>
      </c>
      <c r="G153" s="38" t="n">
        <v>5</v>
      </c>
      <c r="H153" s="22" t="n">
        <v>7</v>
      </c>
      <c r="I153" s="25">
        <f>IF(OR(F153="",G153=""),"",F153*G153)</f>
        <v/>
      </c>
      <c r="J153" s="38">
        <f>IF(OR(F153="",G153=""),"",ROUND(G153*(1+F153/30),1))</f>
        <v/>
      </c>
      <c r="K153" s="26" t="inlineStr"/>
    </row>
    <row r="154" ht="18" customHeight="1">
      <c r="A154" s="35" t="n">
        <v>46158</v>
      </c>
      <c r="B154" s="16">
        <f>IF(A154="","",IFERROR(INT((A154-DATE(2026,4,27))/7)+1,""))</f>
        <v/>
      </c>
      <c r="C154" s="16" t="inlineStr">
        <is>
          <t>Upper B</t>
        </is>
      </c>
      <c r="D154" s="17" t="inlineStr">
        <is>
          <t>DB Lateral Raise</t>
        </is>
      </c>
      <c r="E154" s="16" t="n">
        <v>2</v>
      </c>
      <c r="F154" s="16" t="n">
        <v>14</v>
      </c>
      <c r="G154" s="36" t="n">
        <v>5</v>
      </c>
      <c r="H154" s="16" t="n">
        <v>9</v>
      </c>
      <c r="I154" s="19">
        <f>IF(OR(F154="",G154=""),"",F154*G154)</f>
        <v/>
      </c>
      <c r="J154" s="36">
        <f>IF(OR(F154="",G154=""),"",ROUND(G154*(1+F154/30),1))</f>
        <v/>
      </c>
      <c r="K154" s="20" t="inlineStr"/>
    </row>
    <row r="155" ht="18" customHeight="1">
      <c r="A155" s="37" t="n">
        <v>46158</v>
      </c>
      <c r="B155" s="22">
        <f>IF(A155="","",IFERROR(INT((A155-DATE(2026,4,27))/7)+1,""))</f>
        <v/>
      </c>
      <c r="C155" s="22" t="inlineStr">
        <is>
          <t>Upper B</t>
        </is>
      </c>
      <c r="D155" s="23" t="inlineStr">
        <is>
          <t>DB Lateral Raise</t>
        </is>
      </c>
      <c r="E155" s="22" t="n">
        <v>3</v>
      </c>
      <c r="F155" s="22" t="n">
        <v>13</v>
      </c>
      <c r="G155" s="38" t="n">
        <v>5</v>
      </c>
      <c r="H155" s="22" t="n">
        <v>9</v>
      </c>
      <c r="I155" s="25">
        <f>IF(OR(F155="",G155=""),"",F155*G155)</f>
        <v/>
      </c>
      <c r="J155" s="38">
        <f>IF(OR(F155="",G155=""),"",ROUND(G155*(1+F155/30),1))</f>
        <v/>
      </c>
      <c r="K155" s="26" t="inlineStr"/>
    </row>
    <row r="156" ht="18" customHeight="1">
      <c r="A156" s="35" t="n">
        <v>46158</v>
      </c>
      <c r="B156" s="16">
        <f>IF(A156="","",IFERROR(INT((A156-DATE(2026,4,27))/7)+1,""))</f>
        <v/>
      </c>
      <c r="C156" s="16" t="inlineStr">
        <is>
          <t>Upper B</t>
        </is>
      </c>
      <c r="D156" s="17" t="inlineStr">
        <is>
          <t>DB Lateral Raise</t>
        </is>
      </c>
      <c r="E156" s="16" t="n">
        <v>4</v>
      </c>
      <c r="F156" s="16" t="n">
        <v>8</v>
      </c>
      <c r="G156" s="36" t="n">
        <v>5</v>
      </c>
      <c r="H156" s="16" t="n">
        <v>10</v>
      </c>
      <c r="I156" s="19">
        <f>IF(OR(F156="",G156=""),"",F156*G156)</f>
        <v/>
      </c>
      <c r="J156" s="36">
        <f>IF(OR(F156="",G156=""),"",ROUND(G156*(1+F156/30),1))</f>
        <v/>
      </c>
      <c r="K156" s="20" t="inlineStr">
        <is>
          <t>S4 failure; hold 5</t>
        </is>
      </c>
    </row>
    <row r="157" ht="18" customHeight="1">
      <c r="A157" s="37" t="n">
        <v>46158</v>
      </c>
      <c r="B157" s="22">
        <f>IF(A157="","",IFERROR(INT((A157-DATE(2026,4,27))/7)+1,""))</f>
        <v/>
      </c>
      <c r="C157" s="22" t="inlineStr">
        <is>
          <t>Upper B</t>
        </is>
      </c>
      <c r="D157" s="23" t="inlineStr">
        <is>
          <t>Face Pull</t>
        </is>
      </c>
      <c r="E157" s="22" t="n">
        <v>1</v>
      </c>
      <c r="F157" s="22" t="n">
        <v>15</v>
      </c>
      <c r="G157" s="38" t="n">
        <v>12.5</v>
      </c>
      <c r="H157" s="22" t="n">
        <v>8</v>
      </c>
      <c r="I157" s="25">
        <f>IF(OR(F157="",G157=""),"",F157*G157)</f>
        <v/>
      </c>
      <c r="J157" s="38">
        <f>IF(OR(F157="",G157=""),"",ROUND(G157*(1+F157/30),1))</f>
        <v/>
      </c>
      <c r="K157" s="26" t="inlineStr"/>
    </row>
    <row r="158" ht="18" customHeight="1">
      <c r="A158" s="35" t="n">
        <v>46158</v>
      </c>
      <c r="B158" s="16">
        <f>IF(A158="","",IFERROR(INT((A158-DATE(2026,4,27))/7)+1,""))</f>
        <v/>
      </c>
      <c r="C158" s="16" t="inlineStr">
        <is>
          <t>Upper B</t>
        </is>
      </c>
      <c r="D158" s="17" t="inlineStr">
        <is>
          <t>Face Pull</t>
        </is>
      </c>
      <c r="E158" s="16" t="n">
        <v>2</v>
      </c>
      <c r="F158" s="16" t="n">
        <v>15</v>
      </c>
      <c r="G158" s="36" t="n">
        <v>12.5</v>
      </c>
      <c r="H158" s="16" t="n">
        <v>10</v>
      </c>
      <c r="I158" s="19">
        <f>IF(OR(F158="",G158=""),"",F158*G158)</f>
        <v/>
      </c>
      <c r="J158" s="36">
        <f>IF(OR(F158="",G158=""),"",ROUND(G158*(1+F158/30),1))</f>
        <v/>
      </c>
      <c r="K158" s="20" t="inlineStr"/>
    </row>
    <row r="159" ht="18" customHeight="1">
      <c r="A159" s="37" t="n">
        <v>46158</v>
      </c>
      <c r="B159" s="22">
        <f>IF(A159="","",IFERROR(INT((A159-DATE(2026,4,27))/7)+1,""))</f>
        <v/>
      </c>
      <c r="C159" s="22" t="inlineStr">
        <is>
          <t>Upper B</t>
        </is>
      </c>
      <c r="D159" s="23" t="inlineStr">
        <is>
          <t>Face Pull</t>
        </is>
      </c>
      <c r="E159" s="22" t="n">
        <v>3</v>
      </c>
      <c r="F159" s="22" t="n">
        <v>15</v>
      </c>
      <c r="G159" s="38" t="n">
        <v>12.5</v>
      </c>
      <c r="H159" s="22" t="n">
        <v>10</v>
      </c>
      <c r="I159" s="25">
        <f>IF(OR(F159="",G159=""),"",F159*G159)</f>
        <v/>
      </c>
      <c r="J159" s="38">
        <f>IF(OR(F159="",G159=""),"",ROUND(G159*(1+F159/30),1))</f>
        <v/>
      </c>
      <c r="K159" s="26" t="inlineStr">
        <is>
          <t>hold 12.5, climb reps→20</t>
        </is>
      </c>
    </row>
    <row r="160" ht="18" customHeight="1">
      <c r="A160" s="35" t="n">
        <v>46158</v>
      </c>
      <c r="B160" s="16">
        <f>IF(A160="","",IFERROR(INT((A160-DATE(2026,4,27))/7)+1,""))</f>
        <v/>
      </c>
      <c r="C160" s="16" t="inlineStr">
        <is>
          <t>Upper B</t>
        </is>
      </c>
      <c r="D160" s="17" t="inlineStr">
        <is>
          <t>DB Curl</t>
        </is>
      </c>
      <c r="E160" s="16" t="n">
        <v>1</v>
      </c>
      <c r="F160" s="16" t="n">
        <v>10</v>
      </c>
      <c r="G160" s="36" t="n">
        <v>8</v>
      </c>
      <c r="H160" s="16" t="n">
        <v>9</v>
      </c>
      <c r="I160" s="19">
        <f>IF(OR(F160="",G160=""),"",F160*G160)</f>
        <v/>
      </c>
      <c r="J160" s="36">
        <f>IF(OR(F160="",G160=""),"",ROUND(G160*(1+F160/30),1))</f>
        <v/>
      </c>
      <c r="K160" s="20" t="inlineStr"/>
    </row>
    <row r="161" ht="18" customHeight="1">
      <c r="A161" s="37" t="n">
        <v>46158</v>
      </c>
      <c r="B161" s="22">
        <f>IF(A161="","",IFERROR(INT((A161-DATE(2026,4,27))/7)+1,""))</f>
        <v/>
      </c>
      <c r="C161" s="22" t="inlineStr">
        <is>
          <t>Upper B</t>
        </is>
      </c>
      <c r="D161" s="23" t="inlineStr">
        <is>
          <t>DB Curl</t>
        </is>
      </c>
      <c r="E161" s="22" t="n">
        <v>2</v>
      </c>
      <c r="F161" s="22" t="n">
        <v>10</v>
      </c>
      <c r="G161" s="38" t="n">
        <v>8</v>
      </c>
      <c r="H161" s="22" t="n">
        <v>8</v>
      </c>
      <c r="I161" s="25">
        <f>IF(OR(F161="",G161=""),"",F161*G161)</f>
        <v/>
      </c>
      <c r="J161" s="38">
        <f>IF(OR(F161="",G161=""),"",ROUND(G161*(1+F161/30),1))</f>
        <v/>
      </c>
      <c r="K161" s="26" t="inlineStr"/>
    </row>
    <row r="162" ht="18" customHeight="1">
      <c r="A162" s="35" t="n">
        <v>46158</v>
      </c>
      <c r="B162" s="16">
        <f>IF(A162="","",IFERROR(INT((A162-DATE(2026,4,27))/7)+1,""))</f>
        <v/>
      </c>
      <c r="C162" s="16" t="inlineStr">
        <is>
          <t>Upper B</t>
        </is>
      </c>
      <c r="D162" s="17" t="inlineStr">
        <is>
          <t>DB Curl</t>
        </is>
      </c>
      <c r="E162" s="16" t="n">
        <v>3</v>
      </c>
      <c r="F162" s="16" t="n">
        <v>10</v>
      </c>
      <c r="G162" s="36" t="n">
        <v>8</v>
      </c>
      <c r="H162" s="16" t="n">
        <v>8</v>
      </c>
      <c r="I162" s="19">
        <f>IF(OR(F162="",G162=""),"",F162*G162)</f>
        <v/>
      </c>
      <c r="J162" s="36">
        <f>IF(OR(F162="",G162=""),"",ROUND(G162*(1+F162/30),1))</f>
        <v/>
      </c>
      <c r="K162" s="20" t="inlineStr">
        <is>
          <t>top×3, bump 10 next</t>
        </is>
      </c>
    </row>
    <row r="163" ht="18" customHeight="1">
      <c r="A163" s="37" t="n">
        <v>46158</v>
      </c>
      <c r="B163" s="22">
        <f>IF(A163="","",IFERROR(INT((A163-DATE(2026,4,27))/7)+1,""))</f>
        <v/>
      </c>
      <c r="C163" s="22" t="inlineStr">
        <is>
          <t>Upper B</t>
        </is>
      </c>
      <c r="D163" s="23" t="inlineStr">
        <is>
          <t>Skull Crusher</t>
        </is>
      </c>
      <c r="E163" s="22" t="n">
        <v>1</v>
      </c>
      <c r="F163" s="22" t="n">
        <v>10</v>
      </c>
      <c r="G163" s="38" t="n">
        <v>13.6</v>
      </c>
      <c r="H163" s="22" t="n">
        <v>7</v>
      </c>
      <c r="I163" s="25">
        <f>IF(OR(F163="",G163=""),"",F163*G163)</f>
        <v/>
      </c>
      <c r="J163" s="38">
        <f>IF(OR(F163="",G163=""),"",ROUND(G163*(1+F163/30),1))</f>
        <v/>
      </c>
      <c r="K163" s="26" t="inlineStr"/>
    </row>
    <row r="164" ht="18" customHeight="1">
      <c r="A164" s="35" t="n">
        <v>46158</v>
      </c>
      <c r="B164" s="16">
        <f>IF(A164="","",IFERROR(INT((A164-DATE(2026,4,27))/7)+1,""))</f>
        <v/>
      </c>
      <c r="C164" s="16" t="inlineStr">
        <is>
          <t>Upper B</t>
        </is>
      </c>
      <c r="D164" s="17" t="inlineStr">
        <is>
          <t>Skull Crusher</t>
        </is>
      </c>
      <c r="E164" s="16" t="n">
        <v>2</v>
      </c>
      <c r="F164" s="16" t="n">
        <v>10</v>
      </c>
      <c r="G164" s="36" t="n">
        <v>13.6</v>
      </c>
      <c r="H164" s="16" t="n">
        <v>8</v>
      </c>
      <c r="I164" s="19">
        <f>IF(OR(F164="",G164=""),"",F164*G164)</f>
        <v/>
      </c>
      <c r="J164" s="36">
        <f>IF(OR(F164="",G164=""),"",ROUND(G164*(1+F164/30),1))</f>
        <v/>
      </c>
      <c r="K164" s="20" t="inlineStr"/>
    </row>
    <row r="165" ht="18" customHeight="1">
      <c r="A165" s="37" t="n">
        <v>46158</v>
      </c>
      <c r="B165" s="22">
        <f>IF(A165="","",IFERROR(INT((A165-DATE(2026,4,27))/7)+1,""))</f>
        <v/>
      </c>
      <c r="C165" s="22" t="inlineStr">
        <is>
          <t>Upper B</t>
        </is>
      </c>
      <c r="D165" s="23" t="inlineStr">
        <is>
          <t>Skull Crusher</t>
        </is>
      </c>
      <c r="E165" s="22" t="n">
        <v>3</v>
      </c>
      <c r="F165" s="22" t="n">
        <v>10</v>
      </c>
      <c r="G165" s="38" t="n">
        <v>13.6</v>
      </c>
      <c r="H165" s="22" t="n">
        <v>9</v>
      </c>
      <c r="I165" s="25">
        <f>IF(OR(F165="",G165=""),"",F165*G165)</f>
        <v/>
      </c>
      <c r="J165" s="38">
        <f>IF(OR(F165="",G165=""),"",ROUND(G165*(1+F165/30),1))</f>
        <v/>
      </c>
      <c r="K165" s="26" t="inlineStr">
        <is>
          <t>climb hit, bump 15.9 next</t>
        </is>
      </c>
    </row>
    <row r="166" ht="18" customHeight="1">
      <c r="A166" s="35" t="n">
        <v>46159</v>
      </c>
      <c r="B166" s="16">
        <f>IF(A166="","",IFERROR(INT((A166-DATE(2026,4,27))/7)+1,""))</f>
        <v/>
      </c>
      <c r="C166" s="16" t="inlineStr">
        <is>
          <t>Lower B</t>
        </is>
      </c>
      <c r="D166" s="17" t="inlineStr">
        <is>
          <t>Trap Bar Deadlift</t>
        </is>
      </c>
      <c r="E166" s="16" t="n">
        <v>1</v>
      </c>
      <c r="F166" s="16" t="n">
        <v>6</v>
      </c>
      <c r="G166" s="36" t="n">
        <v>45</v>
      </c>
      <c r="H166" s="16" t="n">
        <v>8</v>
      </c>
      <c r="I166" s="19">
        <f>IF(OR(F166="",G166=""),"",F166*G166)</f>
        <v/>
      </c>
      <c r="J166" s="36">
        <f>IF(OR(F166="",G166=""),"",ROUND(G166*(1+F166/30),1))</f>
        <v/>
      </c>
      <c r="K166" s="20" t="inlineStr">
        <is>
          <t>RIR2; under-loaded</t>
        </is>
      </c>
    </row>
    <row r="167" ht="18" customHeight="1">
      <c r="A167" s="37" t="n">
        <v>46159</v>
      </c>
      <c r="B167" s="22">
        <f>IF(A167="","",IFERROR(INT((A167-DATE(2026,4,27))/7)+1,""))</f>
        <v/>
      </c>
      <c r="C167" s="22" t="inlineStr">
        <is>
          <t>Lower B</t>
        </is>
      </c>
      <c r="D167" s="23" t="inlineStr">
        <is>
          <t>Trap Bar Deadlift</t>
        </is>
      </c>
      <c r="E167" s="22" t="n">
        <v>2</v>
      </c>
      <c r="F167" s="22" t="n">
        <v>6</v>
      </c>
      <c r="G167" s="38" t="n">
        <v>45</v>
      </c>
      <c r="H167" s="22" t="n">
        <v>7</v>
      </c>
      <c r="I167" s="25">
        <f>IF(OR(F167="",G167=""),"",F167*G167)</f>
        <v/>
      </c>
      <c r="J167" s="38">
        <f>IF(OR(F167="",G167=""),"",ROUND(G167*(1+F167/30),1))</f>
        <v/>
      </c>
      <c r="K167" s="26" t="inlineStr">
        <is>
          <t>RIR3; bump 50 next; e1RM 54.0</t>
        </is>
      </c>
    </row>
    <row r="168" ht="18" customHeight="1">
      <c r="A168" s="35" t="n">
        <v>46159</v>
      </c>
      <c r="B168" s="16">
        <f>IF(A168="","",IFERROR(INT((A168-DATE(2026,4,27))/7)+1,""))</f>
        <v/>
      </c>
      <c r="C168" s="16" t="inlineStr">
        <is>
          <t>Lower B</t>
        </is>
      </c>
      <c r="D168" s="17" t="inlineStr">
        <is>
          <t>Bulgarian Split Squat</t>
        </is>
      </c>
      <c r="E168" s="16" t="n">
        <v>1</v>
      </c>
      <c r="F168" s="16" t="n">
        <v>20</v>
      </c>
      <c r="G168" s="36" t="n">
        <v>10</v>
      </c>
      <c r="H168" s="16" t="n">
        <v>8</v>
      </c>
      <c r="I168" s="19">
        <f>IF(OR(F168="",G168=""),"",F168*G168)</f>
        <v/>
      </c>
      <c r="J168" s="36">
        <f>IF(OR(F168="",G168=""),"",ROUND(G168*(1+F168/30),1))</f>
        <v/>
      </c>
      <c r="K168" s="20" t="inlineStr">
        <is>
          <t>5/DB=10kg total; 10L+10R; RIR2</t>
        </is>
      </c>
    </row>
    <row r="169" ht="18" customHeight="1">
      <c r="A169" s="37" t="n">
        <v>46159</v>
      </c>
      <c r="B169" s="22">
        <f>IF(A169="","",IFERROR(INT((A169-DATE(2026,4,27))/7)+1,""))</f>
        <v/>
      </c>
      <c r="C169" s="22" t="inlineStr">
        <is>
          <t>Lower B</t>
        </is>
      </c>
      <c r="D169" s="23" t="inlineStr">
        <is>
          <t>Bulgarian Split Squat</t>
        </is>
      </c>
      <c r="E169" s="22" t="n">
        <v>2</v>
      </c>
      <c r="F169" s="22" t="n">
        <v>20</v>
      </c>
      <c r="G169" s="38" t="n">
        <v>10</v>
      </c>
      <c r="H169" s="22" t="n">
        <v>8</v>
      </c>
      <c r="I169" s="25">
        <f>IF(OR(F169="",G169=""),"",F169*G169)</f>
        <v/>
      </c>
      <c r="J169" s="38">
        <f>IF(OR(F169="",G169=""),"",ROUND(G169*(1+F169/30),1))</f>
        <v/>
      </c>
      <c r="K169" s="26" t="inlineStr">
        <is>
          <t>10L+10R; top×all; bump 7.5/DB next</t>
        </is>
      </c>
    </row>
    <row r="170" ht="18" customHeight="1">
      <c r="A170" s="35" t="n">
        <v>46159</v>
      </c>
      <c r="B170" s="16">
        <f>IF(A170="","",IFERROR(INT((A170-DATE(2026,4,27))/7)+1,""))</f>
        <v/>
      </c>
      <c r="C170" s="16" t="inlineStr">
        <is>
          <t>Lower B</t>
        </is>
      </c>
      <c r="D170" s="17" t="inlineStr">
        <is>
          <t>Hip Thrust</t>
        </is>
      </c>
      <c r="E170" s="16" t="n">
        <v>1</v>
      </c>
      <c r="F170" s="16" t="n">
        <v>8</v>
      </c>
      <c r="G170" s="36" t="n">
        <v>12.5</v>
      </c>
      <c r="H170" s="16" t="n">
        <v>10</v>
      </c>
      <c r="I170" s="19">
        <f>IF(OR(F170="",G170=""),"",F170*G170)</f>
        <v/>
      </c>
      <c r="J170" s="36">
        <f>IF(OR(F170="",G170=""),"",ROUND(G170*(1+F170/30),1))</f>
        <v/>
      </c>
      <c r="K170" s="20" t="inlineStr">
        <is>
          <t>MACHINE load scale; RIR0</t>
        </is>
      </c>
    </row>
    <row r="171" ht="18" customHeight="1">
      <c r="A171" s="37" t="n">
        <v>46159</v>
      </c>
      <c r="B171" s="22">
        <f>IF(A171="","",IFERROR(INT((A171-DATE(2026,4,27))/7)+1,""))</f>
        <v/>
      </c>
      <c r="C171" s="22" t="inlineStr">
        <is>
          <t>Lower B</t>
        </is>
      </c>
      <c r="D171" s="23" t="inlineStr">
        <is>
          <t>Hip Thrust</t>
        </is>
      </c>
      <c r="E171" s="22" t="n">
        <v>2</v>
      </c>
      <c r="F171" s="22" t="n">
        <v>8</v>
      </c>
      <c r="G171" s="38" t="n">
        <v>12.5</v>
      </c>
      <c r="H171" s="22" t="n">
        <v>10</v>
      </c>
      <c r="I171" s="25">
        <f>IF(OR(F171="",G171=""),"",F171*G171)</f>
        <v/>
      </c>
      <c r="J171" s="38">
        <f>IF(OR(F171="",G171=""),"",ROUND(G171*(1+F171/30),1))</f>
        <v/>
      </c>
      <c r="K171" s="26" t="inlineStr">
        <is>
          <t>MACHINE; correctly loaded; hold 12.5</t>
        </is>
      </c>
    </row>
    <row r="172" ht="18" customHeight="1">
      <c r="A172" s="35" t="n">
        <v>46159</v>
      </c>
      <c r="B172" s="16">
        <f>IF(A172="","",IFERROR(INT((A172-DATE(2026,4,27))/7)+1,""))</f>
        <v/>
      </c>
      <c r="C172" s="16" t="inlineStr">
        <is>
          <t>Lower B</t>
        </is>
      </c>
      <c r="D172" s="17" t="inlineStr">
        <is>
          <t>Walking Lunge</t>
        </is>
      </c>
      <c r="E172" s="16" t="n">
        <v>1</v>
      </c>
      <c r="F172" s="16" t="n">
        <v>20</v>
      </c>
      <c r="G172" s="36" t="n">
        <v>14</v>
      </c>
      <c r="H172" s="16" t="n">
        <v>7</v>
      </c>
      <c r="I172" s="19">
        <f>IF(OR(F172="",G172=""),"",F172*G172)</f>
        <v/>
      </c>
      <c r="J172" s="36">
        <f>IF(OR(F172="",G172=""),"",ROUND(G172*(1+F172/30),1))</f>
        <v/>
      </c>
      <c r="K172" s="20" t="inlineStr">
        <is>
          <t>7/DB=14kg total; 10L+10R</t>
        </is>
      </c>
    </row>
    <row r="173" ht="18" customHeight="1">
      <c r="A173" s="37" t="n">
        <v>46159</v>
      </c>
      <c r="B173" s="22">
        <f>IF(A173="","",IFERROR(INT((A173-DATE(2026,4,27))/7)+1,""))</f>
        <v/>
      </c>
      <c r="C173" s="22" t="inlineStr">
        <is>
          <t>Lower B</t>
        </is>
      </c>
      <c r="D173" s="23" t="inlineStr">
        <is>
          <t>Walking Lunge</t>
        </is>
      </c>
      <c r="E173" s="22" t="n">
        <v>2</v>
      </c>
      <c r="F173" s="22" t="n">
        <v>20</v>
      </c>
      <c r="G173" s="38" t="n">
        <v>14</v>
      </c>
      <c r="H173" s="22" t="n">
        <v>7</v>
      </c>
      <c r="I173" s="25">
        <f>IF(OR(F173="",G173=""),"",F173*G173)</f>
        <v/>
      </c>
      <c r="J173" s="38">
        <f>IF(OR(F173="",G173=""),"",ROUND(G173*(1+F173/30),1))</f>
        <v/>
      </c>
      <c r="K173" s="26" t="inlineStr">
        <is>
          <t>top×all; bump 9/DB next</t>
        </is>
      </c>
    </row>
    <row r="174" ht="18" customHeight="1">
      <c r="A174" s="35" t="n">
        <v>46159</v>
      </c>
      <c r="B174" s="16">
        <f>IF(A174="","",IFERROR(INT((A174-DATE(2026,4,27))/7)+1,""))</f>
        <v/>
      </c>
      <c r="C174" s="16" t="inlineStr">
        <is>
          <t>Lower B</t>
        </is>
      </c>
      <c r="D174" s="17" t="inlineStr">
        <is>
          <t>Seated Calf Raise</t>
        </is>
      </c>
      <c r="E174" s="16" t="n">
        <v>1</v>
      </c>
      <c r="F174" s="16" t="n">
        <v>12</v>
      </c>
      <c r="G174" s="36" t="n">
        <v>30</v>
      </c>
      <c r="H174" s="16" t="n">
        <v>6</v>
      </c>
      <c r="I174" s="19">
        <f>IF(OR(F174="",G174=""),"",F174*G174)</f>
        <v/>
      </c>
      <c r="J174" s="36">
        <f>IF(OR(F174="",G174=""),"",ROUND(G174*(1+F174/30),1))</f>
        <v/>
      </c>
      <c r="K174" s="20" t="inlineStr">
        <is>
          <t>soleus bias</t>
        </is>
      </c>
    </row>
    <row r="175" ht="18" customHeight="1">
      <c r="A175" s="37" t="n">
        <v>46159</v>
      </c>
      <c r="B175" s="22">
        <f>IF(A175="","",IFERROR(INT((A175-DATE(2026,4,27))/7)+1,""))</f>
        <v/>
      </c>
      <c r="C175" s="22" t="inlineStr">
        <is>
          <t>Lower B</t>
        </is>
      </c>
      <c r="D175" s="23" t="inlineStr">
        <is>
          <t>Seated Calf Raise</t>
        </is>
      </c>
      <c r="E175" s="22" t="n">
        <v>2</v>
      </c>
      <c r="F175" s="22" t="n">
        <v>12</v>
      </c>
      <c r="G175" s="38" t="n">
        <v>30</v>
      </c>
      <c r="H175" s="22" t="n">
        <v>6</v>
      </c>
      <c r="I175" s="25">
        <f>IF(OR(F175="",G175=""),"",F175*G175)</f>
        <v/>
      </c>
      <c r="J175" s="38">
        <f>IF(OR(F175="",G175=""),"",ROUND(G175*(1+F175/30),1))</f>
        <v/>
      </c>
      <c r="K175" s="26" t="inlineStr">
        <is>
          <t>RPE6 under-loaded; bump 35 next</t>
        </is>
      </c>
    </row>
    <row r="176" ht="18" customHeight="1">
      <c r="A176" s="35" t="n">
        <v>46159</v>
      </c>
      <c r="B176" s="16">
        <f>IF(A176="","",IFERROR(INT((A176-DATE(2026,4,27))/7)+1,""))</f>
        <v/>
      </c>
      <c r="C176" s="16" t="inlineStr">
        <is>
          <t>Lower B</t>
        </is>
      </c>
      <c r="D176" s="17" t="inlineStr">
        <is>
          <t>Ab Roller</t>
        </is>
      </c>
      <c r="E176" s="16" t="n">
        <v>1</v>
      </c>
      <c r="F176" s="16" t="n">
        <v>10</v>
      </c>
      <c r="G176" s="36" t="n">
        <v>0</v>
      </c>
      <c r="H176" s="16" t="n">
        <v>10</v>
      </c>
      <c r="I176" s="19">
        <f>IF(OR(F176="",G176=""),"",F176*G176)</f>
        <v/>
      </c>
      <c r="J176" s="36">
        <f>IF(OR(F176="",G176=""),"",ROUND(G176*(1+F176/30),1))</f>
        <v/>
      </c>
      <c r="K176" s="20" t="inlineStr">
        <is>
          <t>BW knee rollout</t>
        </is>
      </c>
    </row>
    <row r="177" ht="18" customHeight="1">
      <c r="A177" s="37" t="n">
        <v>46159</v>
      </c>
      <c r="B177" s="22">
        <f>IF(A177="","",IFERROR(INT((A177-DATE(2026,4,27))/7)+1,""))</f>
        <v/>
      </c>
      <c r="C177" s="22" t="inlineStr">
        <is>
          <t>Lower B</t>
        </is>
      </c>
      <c r="D177" s="23" t="inlineStr">
        <is>
          <t>Ab Roller</t>
        </is>
      </c>
      <c r="E177" s="22" t="n">
        <v>2</v>
      </c>
      <c r="F177" s="22" t="n">
        <v>10</v>
      </c>
      <c r="G177" s="38" t="n">
        <v>0</v>
      </c>
      <c r="H177" s="22" t="n">
        <v>10</v>
      </c>
      <c r="I177" s="25">
        <f>IF(OR(F177="",G177=""),"",F177*G177)</f>
        <v/>
      </c>
      <c r="J177" s="38">
        <f>IF(OR(F177="",G177=""),"",ROUND(G177*(1+F177/30),1))</f>
        <v/>
      </c>
      <c r="K177" s="26" t="inlineStr">
        <is>
          <t>BW; hold, target 2×12</t>
        </is>
      </c>
    </row>
    <row r="178" ht="18" customHeight="1">
      <c r="A178" s="35" t="n">
        <v>46160</v>
      </c>
      <c r="B178" s="16">
        <f>IF(A178="","",IFERROR(INT((A178-DATE(2026,4,27))/7)+1,""))</f>
        <v/>
      </c>
      <c r="C178" s="16" t="inlineStr">
        <is>
          <t>Upper A</t>
        </is>
      </c>
      <c r="D178" s="17" t="inlineStr">
        <is>
          <t>Bench Press</t>
        </is>
      </c>
      <c r="E178" s="16" t="n">
        <v>1</v>
      </c>
      <c r="F178" s="16" t="n">
        <v>8</v>
      </c>
      <c r="G178" s="36" t="n">
        <v>37.5</v>
      </c>
      <c r="H178" s="16" t="n">
        <v>8</v>
      </c>
      <c r="I178" s="19">
        <f>IF(OR(F178="",G178=""),"",F178*G178)</f>
        <v/>
      </c>
      <c r="J178" s="36">
        <f>IF(OR(F178="",G178=""),"",ROUND(G178*(1+F178/30),1))</f>
        <v/>
      </c>
      <c r="K178" s="20" t="inlineStr"/>
    </row>
    <row r="179" ht="18" customHeight="1">
      <c r="A179" s="37" t="n">
        <v>46160</v>
      </c>
      <c r="B179" s="22">
        <f>IF(A179="","",IFERROR(INT((A179-DATE(2026,4,27))/7)+1,""))</f>
        <v/>
      </c>
      <c r="C179" s="22" t="inlineStr">
        <is>
          <t>Upper A</t>
        </is>
      </c>
      <c r="D179" s="23" t="inlineStr">
        <is>
          <t>Bench Press</t>
        </is>
      </c>
      <c r="E179" s="22" t="n">
        <v>2</v>
      </c>
      <c r="F179" s="22" t="n">
        <v>8</v>
      </c>
      <c r="G179" s="38" t="n">
        <v>37.5</v>
      </c>
      <c r="H179" s="22" t="n">
        <v>8</v>
      </c>
      <c r="I179" s="25">
        <f>IF(OR(F179="",G179=""),"",F179*G179)</f>
        <v/>
      </c>
      <c r="J179" s="38">
        <f>IF(OR(F179="",G179=""),"",ROUND(G179*(1+F179/30),1))</f>
        <v/>
      </c>
      <c r="K179" s="26" t="inlineStr"/>
    </row>
    <row r="180" ht="18" customHeight="1">
      <c r="A180" s="35" t="n">
        <v>46160</v>
      </c>
      <c r="B180" s="16">
        <f>IF(A180="","",IFERROR(INT((A180-DATE(2026,4,27))/7)+1,""))</f>
        <v/>
      </c>
      <c r="C180" s="16" t="inlineStr">
        <is>
          <t>Upper A</t>
        </is>
      </c>
      <c r="D180" s="17" t="inlineStr">
        <is>
          <t>Bench Press</t>
        </is>
      </c>
      <c r="E180" s="16" t="n">
        <v>3</v>
      </c>
      <c r="F180" s="16" t="n">
        <v>8</v>
      </c>
      <c r="G180" s="36" t="n">
        <v>37.5</v>
      </c>
      <c r="H180" s="16" t="n">
        <v>9</v>
      </c>
      <c r="I180" s="19">
        <f>IF(OR(F180="",G180=""),"",F180*G180)</f>
        <v/>
      </c>
      <c r="J180" s="36">
        <f>IF(OR(F180="",G180=""),"",ROUND(G180*(1+F180/30),1))</f>
        <v/>
      </c>
      <c r="K180" s="20" t="inlineStr"/>
    </row>
    <row r="181" ht="18" customHeight="1">
      <c r="A181" s="37" t="n">
        <v>46160</v>
      </c>
      <c r="B181" s="22">
        <f>IF(A181="","",IFERROR(INT((A181-DATE(2026,4,27))/7)+1,""))</f>
        <v/>
      </c>
      <c r="C181" s="22" t="inlineStr">
        <is>
          <t>Upper A</t>
        </is>
      </c>
      <c r="D181" s="23" t="inlineStr">
        <is>
          <t>Bench Press</t>
        </is>
      </c>
      <c r="E181" s="22" t="n">
        <v>4</v>
      </c>
      <c r="F181" s="22" t="n">
        <v>8</v>
      </c>
      <c r="G181" s="38" t="n">
        <v>37.5</v>
      </c>
      <c r="H181" s="22" t="n">
        <v>10</v>
      </c>
      <c r="I181" s="25">
        <f>IF(OR(F181="",G181=""),"",F181*G181)</f>
        <v/>
      </c>
      <c r="J181" s="38">
        <f>IF(OR(F181="",G181=""),"",ROUND(G181*(1+F181/30),1))</f>
        <v/>
      </c>
      <c r="K181" s="26" t="inlineStr">
        <is>
          <t>S4 failure RIR0</t>
        </is>
      </c>
    </row>
    <row r="182" ht="18" customHeight="1">
      <c r="A182" s="35" t="n">
        <v>46160</v>
      </c>
      <c r="B182" s="16">
        <f>IF(A182="","",IFERROR(INT((A182-DATE(2026,4,27))/7)+1,""))</f>
        <v/>
      </c>
      <c r="C182" s="16" t="inlineStr">
        <is>
          <t>Upper A</t>
        </is>
      </c>
      <c r="D182" s="17" t="inlineStr">
        <is>
          <t>Bench Press</t>
        </is>
      </c>
      <c r="E182" s="16" t="n">
        <v>5</v>
      </c>
      <c r="F182" s="16" t="n">
        <v>6</v>
      </c>
      <c r="G182" s="36" t="n">
        <v>37.5</v>
      </c>
      <c r="H182" s="16" t="n">
        <v>9</v>
      </c>
      <c r="I182" s="19">
        <f>IF(OR(F182="",G182=""),"",F182*G182)</f>
        <v/>
      </c>
      <c r="J182" s="36">
        <f>IF(OR(F182="",G182=""),"",ROUND(G182*(1+F182/30),1))</f>
        <v/>
      </c>
      <c r="K182" s="20" t="inlineStr">
        <is>
          <t>fell to 6r; hold 37.5, clean 5×8 next; e1RM 47.5</t>
        </is>
      </c>
    </row>
    <row r="183" ht="18" customHeight="1">
      <c r="A183" s="37" t="n">
        <v>46160</v>
      </c>
      <c r="B183" s="22">
        <f>IF(A183="","",IFERROR(INT((A183-DATE(2026,4,27))/7)+1,""))</f>
        <v/>
      </c>
      <c r="C183" s="22" t="inlineStr">
        <is>
          <t>Upper A</t>
        </is>
      </c>
      <c r="D183" s="23" t="inlineStr">
        <is>
          <t>Barbell Row</t>
        </is>
      </c>
      <c r="E183" s="22" t="n">
        <v>1</v>
      </c>
      <c r="F183" s="22" t="n">
        <v>8</v>
      </c>
      <c r="G183" s="38" t="n">
        <v>37.5</v>
      </c>
      <c r="H183" s="22" t="n">
        <v>8</v>
      </c>
      <c r="I183" s="25">
        <f>IF(OR(F183="",G183=""),"",F183*G183)</f>
        <v/>
      </c>
      <c r="J183" s="38">
        <f>IF(OR(F183="",G183=""),"",ROUND(G183*(1+F183/30),1))</f>
        <v/>
      </c>
      <c r="K183" s="26" t="inlineStr"/>
    </row>
    <row r="184" ht="18" customHeight="1">
      <c r="A184" s="35" t="n">
        <v>46160</v>
      </c>
      <c r="B184" s="16">
        <f>IF(A184="","",IFERROR(INT((A184-DATE(2026,4,27))/7)+1,""))</f>
        <v/>
      </c>
      <c r="C184" s="16" t="inlineStr">
        <is>
          <t>Upper A</t>
        </is>
      </c>
      <c r="D184" s="17" t="inlineStr">
        <is>
          <t>Barbell Row</t>
        </is>
      </c>
      <c r="E184" s="16" t="n">
        <v>2</v>
      </c>
      <c r="F184" s="16" t="n">
        <v>8</v>
      </c>
      <c r="G184" s="36" t="n">
        <v>37.5</v>
      </c>
      <c r="H184" s="16" t="n">
        <v>8</v>
      </c>
      <c r="I184" s="19">
        <f>IF(OR(F184="",G184=""),"",F184*G184)</f>
        <v/>
      </c>
      <c r="J184" s="36">
        <f>IF(OR(F184="",G184=""),"",ROUND(G184*(1+F184/30),1))</f>
        <v/>
      </c>
      <c r="K184" s="20" t="inlineStr"/>
    </row>
    <row r="185" ht="18" customHeight="1">
      <c r="A185" s="37" t="n">
        <v>46160</v>
      </c>
      <c r="B185" s="22">
        <f>IF(A185="","",IFERROR(INT((A185-DATE(2026,4,27))/7)+1,""))</f>
        <v/>
      </c>
      <c r="C185" s="22" t="inlineStr">
        <is>
          <t>Upper A</t>
        </is>
      </c>
      <c r="D185" s="23" t="inlineStr">
        <is>
          <t>Barbell Row</t>
        </is>
      </c>
      <c r="E185" s="22" t="n">
        <v>3</v>
      </c>
      <c r="F185" s="22" t="n">
        <v>8</v>
      </c>
      <c r="G185" s="38" t="n">
        <v>37.5</v>
      </c>
      <c r="H185" s="22" t="n">
        <v>8</v>
      </c>
      <c r="I185" s="25">
        <f>IF(OR(F185="",G185=""),"",F185*G185)</f>
        <v/>
      </c>
      <c r="J185" s="38">
        <f>IF(OR(F185="",G185=""),"",ROUND(G185*(1+F185/30),1))</f>
        <v/>
      </c>
      <c r="K185" s="26" t="inlineStr"/>
    </row>
    <row r="186" ht="18" customHeight="1">
      <c r="A186" s="35" t="n">
        <v>46160</v>
      </c>
      <c r="B186" s="16">
        <f>IF(A186="","",IFERROR(INT((A186-DATE(2026,4,27))/7)+1,""))</f>
        <v/>
      </c>
      <c r="C186" s="16" t="inlineStr">
        <is>
          <t>Upper A</t>
        </is>
      </c>
      <c r="D186" s="17" t="inlineStr">
        <is>
          <t>Barbell Row</t>
        </is>
      </c>
      <c r="E186" s="16" t="n">
        <v>4</v>
      </c>
      <c r="F186" s="16" t="n">
        <v>8</v>
      </c>
      <c r="G186" s="36" t="n">
        <v>37.5</v>
      </c>
      <c r="H186" s="16" t="n">
        <v>9</v>
      </c>
      <c r="I186" s="19">
        <f>IF(OR(F186="",G186=""),"",F186*G186)</f>
        <v/>
      </c>
      <c r="J186" s="36">
        <f>IF(OR(F186="",G186=""),"",ROUND(G186*(1+F186/30),1))</f>
        <v/>
      </c>
      <c r="K186" s="20" t="inlineStr"/>
    </row>
    <row r="187" ht="18" customHeight="1">
      <c r="A187" s="37" t="n">
        <v>46160</v>
      </c>
      <c r="B187" s="22">
        <f>IF(A187="","",IFERROR(INT((A187-DATE(2026,4,27))/7)+1,""))</f>
        <v/>
      </c>
      <c r="C187" s="22" t="inlineStr">
        <is>
          <t>Upper A</t>
        </is>
      </c>
      <c r="D187" s="23" t="inlineStr">
        <is>
          <t>Barbell Row</t>
        </is>
      </c>
      <c r="E187" s="22" t="n">
        <v>5</v>
      </c>
      <c r="F187" s="22" t="n">
        <v>7</v>
      </c>
      <c r="G187" s="38" t="n">
        <v>37.5</v>
      </c>
      <c r="H187" s="22" t="n">
        <v>9</v>
      </c>
      <c r="I187" s="25">
        <f>IF(OR(F187="",G187=""),"",F187*G187)</f>
        <v/>
      </c>
      <c r="J187" s="38">
        <f>IF(OR(F187="",G187=""),"",ROUND(G187*(1+F187/30),1))</f>
        <v/>
      </c>
      <c r="K187" s="26" t="inlineStr">
        <is>
          <t>S5 7r; hold 37.5, clean 5×8 next</t>
        </is>
      </c>
    </row>
    <row r="188" ht="18" customHeight="1">
      <c r="A188" s="35" t="n">
        <v>46160</v>
      </c>
      <c r="B188" s="16">
        <f>IF(A188="","",IFERROR(INT((A188-DATE(2026,4,27))/7)+1,""))</f>
        <v/>
      </c>
      <c r="C188" s="16" t="inlineStr">
        <is>
          <t>Upper A</t>
        </is>
      </c>
      <c r="D188" s="17" t="inlineStr">
        <is>
          <t>Incline DB Press</t>
        </is>
      </c>
      <c r="E188" s="16" t="n">
        <v>1</v>
      </c>
      <c r="F188" s="16" t="n">
        <v>10</v>
      </c>
      <c r="G188" s="36" t="n">
        <v>15</v>
      </c>
      <c r="H188" s="16" t="n">
        <v>8</v>
      </c>
      <c r="I188" s="19">
        <f>IF(OR(F188="",G188=""),"",F188*G188)</f>
        <v/>
      </c>
      <c r="J188" s="36">
        <f>IF(OR(F188="",G188=""),"",ROUND(G188*(1+F188/30),1))</f>
        <v/>
      </c>
      <c r="K188" s="20" t="inlineStr">
        <is>
          <t>ran 15 vs start 14</t>
        </is>
      </c>
    </row>
    <row r="189" ht="18" customHeight="1">
      <c r="A189" s="37" t="n">
        <v>46160</v>
      </c>
      <c r="B189" s="22">
        <f>IF(A189="","",IFERROR(INT((A189-DATE(2026,4,27))/7)+1,""))</f>
        <v/>
      </c>
      <c r="C189" s="22" t="inlineStr">
        <is>
          <t>Upper A</t>
        </is>
      </c>
      <c r="D189" s="23" t="inlineStr">
        <is>
          <t>Incline DB Press</t>
        </is>
      </c>
      <c r="E189" s="22" t="n">
        <v>2</v>
      </c>
      <c r="F189" s="22" t="n">
        <v>10</v>
      </c>
      <c r="G189" s="38" t="n">
        <v>15</v>
      </c>
      <c r="H189" s="22" t="n">
        <v>8</v>
      </c>
      <c r="I189" s="25">
        <f>IF(OR(F189="",G189=""),"",F189*G189)</f>
        <v/>
      </c>
      <c r="J189" s="38">
        <f>IF(OR(F189="",G189=""),"",ROUND(G189*(1+F189/30),1))</f>
        <v/>
      </c>
      <c r="K189" s="26" t="inlineStr"/>
    </row>
    <row r="190" ht="18" customHeight="1">
      <c r="A190" s="35" t="n">
        <v>46160</v>
      </c>
      <c r="B190" s="16">
        <f>IF(A190="","",IFERROR(INT((A190-DATE(2026,4,27))/7)+1,""))</f>
        <v/>
      </c>
      <c r="C190" s="16" t="inlineStr">
        <is>
          <t>Upper A</t>
        </is>
      </c>
      <c r="D190" s="17" t="inlineStr">
        <is>
          <t>Incline DB Press</t>
        </is>
      </c>
      <c r="E190" s="16" t="n">
        <v>3</v>
      </c>
      <c r="F190" s="16" t="n">
        <v>10</v>
      </c>
      <c r="G190" s="36" t="n">
        <v>15</v>
      </c>
      <c r="H190" s="16" t="n">
        <v>9</v>
      </c>
      <c r="I190" s="19">
        <f>IF(OR(F190="",G190=""),"",F190*G190)</f>
        <v/>
      </c>
      <c r="J190" s="36">
        <f>IF(OR(F190="",G190=""),"",ROUND(G190*(1+F190/30),1))</f>
        <v/>
      </c>
      <c r="K190" s="20" t="inlineStr">
        <is>
          <t>top×3, bump 16 next</t>
        </is>
      </c>
    </row>
    <row r="191" ht="18" customHeight="1">
      <c r="A191" s="37" t="n">
        <v>46160</v>
      </c>
      <c r="B191" s="22">
        <f>IF(A191="","",IFERROR(INT((A191-DATE(2026,4,27))/7)+1,""))</f>
        <v/>
      </c>
      <c r="C191" s="22" t="inlineStr">
        <is>
          <t>Upper A</t>
        </is>
      </c>
      <c r="D191" s="23" t="inlineStr">
        <is>
          <t>Lat Pulldown</t>
        </is>
      </c>
      <c r="E191" s="22" t="n">
        <v>1</v>
      </c>
      <c r="F191" s="22" t="n">
        <v>8</v>
      </c>
      <c r="G191" s="38" t="n">
        <v>42.5</v>
      </c>
      <c r="H191" s="22" t="n">
        <v>7</v>
      </c>
      <c r="I191" s="25">
        <f>IF(OR(F191="",G191=""),"",F191*G191)</f>
        <v/>
      </c>
      <c r="J191" s="38">
        <f>IF(OR(F191="",G191=""),"",ROUND(G191*(1+F191/30),1))</f>
        <v/>
      </c>
      <c r="K191" s="26" t="inlineStr">
        <is>
          <t>RIR3 too light</t>
        </is>
      </c>
    </row>
    <row r="192" ht="18" customHeight="1">
      <c r="A192" s="35" t="n">
        <v>46160</v>
      </c>
      <c r="B192" s="16">
        <f>IF(A192="","",IFERROR(INT((A192-DATE(2026,4,27))/7)+1,""))</f>
        <v/>
      </c>
      <c r="C192" s="16" t="inlineStr">
        <is>
          <t>Upper A</t>
        </is>
      </c>
      <c r="D192" s="17" t="inlineStr">
        <is>
          <t>Lat Pulldown</t>
        </is>
      </c>
      <c r="E192" s="16" t="n">
        <v>2</v>
      </c>
      <c r="F192" s="16" t="n">
        <v>8</v>
      </c>
      <c r="G192" s="36" t="n">
        <v>42.5</v>
      </c>
      <c r="H192" s="16" t="n">
        <v>7</v>
      </c>
      <c r="I192" s="19">
        <f>IF(OR(F192="",G192=""),"",F192*G192)</f>
        <v/>
      </c>
      <c r="J192" s="36">
        <f>IF(OR(F192="",G192=""),"",ROUND(G192*(1+F192/30),1))</f>
        <v/>
      </c>
      <c r="K192" s="20" t="inlineStr">
        <is>
          <t>RIR3</t>
        </is>
      </c>
    </row>
    <row r="193" ht="18" customHeight="1">
      <c r="A193" s="37" t="n">
        <v>46160</v>
      </c>
      <c r="B193" s="22">
        <f>IF(A193="","",IFERROR(INT((A193-DATE(2026,4,27))/7)+1,""))</f>
        <v/>
      </c>
      <c r="C193" s="22" t="inlineStr">
        <is>
          <t>Upper A</t>
        </is>
      </c>
      <c r="D193" s="23" t="inlineStr">
        <is>
          <t>Lat Pulldown</t>
        </is>
      </c>
      <c r="E193" s="22" t="n">
        <v>3</v>
      </c>
      <c r="F193" s="22" t="n">
        <v>8</v>
      </c>
      <c r="G193" s="38" t="n">
        <v>42.5</v>
      </c>
      <c r="H193" s="22" t="n">
        <v>7</v>
      </c>
      <c r="I193" s="25">
        <f>IF(OR(F193="",G193=""),"",F193*G193)</f>
        <v/>
      </c>
      <c r="J193" s="38">
        <f>IF(OR(F193="",G193=""),"",ROUND(G193*(1+F193/30),1))</f>
        <v/>
      </c>
      <c r="K193" s="26" t="inlineStr">
        <is>
          <t>RIR3</t>
        </is>
      </c>
    </row>
    <row r="194" ht="18" customHeight="1">
      <c r="A194" s="35" t="n">
        <v>46160</v>
      </c>
      <c r="B194" s="16">
        <f>IF(A194="","",IFERROR(INT((A194-DATE(2026,4,27))/7)+1,""))</f>
        <v/>
      </c>
      <c r="C194" s="16" t="inlineStr">
        <is>
          <t>Upper A</t>
        </is>
      </c>
      <c r="D194" s="17" t="inlineStr">
        <is>
          <t>Lat Pulldown</t>
        </is>
      </c>
      <c r="E194" s="16" t="n">
        <v>4</v>
      </c>
      <c r="F194" s="16" t="n">
        <v>6</v>
      </c>
      <c r="G194" s="36" t="n">
        <v>45</v>
      </c>
      <c r="H194" s="16" t="n">
        <v>10</v>
      </c>
      <c r="I194" s="19">
        <f>IF(OR(F194="",G194=""),"",F194*G194)</f>
        <v/>
      </c>
      <c r="J194" s="36">
        <f>IF(OR(F194="",G194=""),"",ROUND(G194*(1+F194/30),1))</f>
        <v/>
      </c>
      <c r="K194" s="20" t="inlineStr">
        <is>
          <t>self-bump S4; start 45 next</t>
        </is>
      </c>
    </row>
    <row r="195" ht="18" customHeight="1">
      <c r="A195" s="37" t="n">
        <v>46160</v>
      </c>
      <c r="B195" s="22">
        <f>IF(A195="","",IFERROR(INT((A195-DATE(2026,4,27))/7)+1,""))</f>
        <v/>
      </c>
      <c r="C195" s="22" t="inlineStr">
        <is>
          <t>Upper A</t>
        </is>
      </c>
      <c r="D195" s="23" t="inlineStr">
        <is>
          <t>Pec Deck</t>
        </is>
      </c>
      <c r="E195" s="22" t="n">
        <v>1</v>
      </c>
      <c r="F195" s="22" t="n">
        <v>15</v>
      </c>
      <c r="G195" s="38" t="n">
        <v>7.5</v>
      </c>
      <c r="H195" s="22" t="n">
        <v>8</v>
      </c>
      <c r="I195" s="25">
        <f>IF(OR(F195="",G195=""),"",F195*G195)</f>
        <v/>
      </c>
      <c r="J195" s="38">
        <f>IF(OR(F195="",G195=""),"",ROUND(G195*(1+F195/30),1))</f>
        <v/>
      </c>
      <c r="K195" s="26" t="inlineStr"/>
    </row>
    <row r="196" ht="18" customHeight="1">
      <c r="A196" s="35" t="n">
        <v>46160</v>
      </c>
      <c r="B196" s="16">
        <f>IF(A196="","",IFERROR(INT((A196-DATE(2026,4,27))/7)+1,""))</f>
        <v/>
      </c>
      <c r="C196" s="16" t="inlineStr">
        <is>
          <t>Upper A</t>
        </is>
      </c>
      <c r="D196" s="17" t="inlineStr">
        <is>
          <t>Pec Deck</t>
        </is>
      </c>
      <c r="E196" s="16" t="n">
        <v>2</v>
      </c>
      <c r="F196" s="16" t="n">
        <v>12</v>
      </c>
      <c r="G196" s="36" t="n">
        <v>7.5</v>
      </c>
      <c r="H196" s="16" t="n">
        <v>8</v>
      </c>
      <c r="I196" s="19">
        <f>IF(OR(F196="",G196=""),"",F196*G196)</f>
        <v/>
      </c>
      <c r="J196" s="36">
        <f>IF(OR(F196="",G196=""),"",ROUND(G196*(1+F196/30),1))</f>
        <v/>
      </c>
      <c r="K196" s="20" t="inlineStr"/>
    </row>
    <row r="197" ht="18" customHeight="1">
      <c r="A197" s="37" t="n">
        <v>46160</v>
      </c>
      <c r="B197" s="22">
        <f>IF(A197="","",IFERROR(INT((A197-DATE(2026,4,27))/7)+1,""))</f>
        <v/>
      </c>
      <c r="C197" s="22" t="inlineStr">
        <is>
          <t>Upper A</t>
        </is>
      </c>
      <c r="D197" s="23" t="inlineStr">
        <is>
          <t>Pec Deck</t>
        </is>
      </c>
      <c r="E197" s="22" t="n">
        <v>3</v>
      </c>
      <c r="F197" s="22" t="n">
        <v>12</v>
      </c>
      <c r="G197" s="38" t="n">
        <v>7.5</v>
      </c>
      <c r="H197" s="22" t="n">
        <v>10</v>
      </c>
      <c r="I197" s="25">
        <f>IF(OR(F197="",G197=""),"",F197*G197)</f>
        <v/>
      </c>
      <c r="J197" s="38">
        <f>IF(OR(F197="",G197=""),"",ROUND(G197*(1+F197/30),1))</f>
        <v/>
      </c>
      <c r="K197" s="26" t="inlineStr">
        <is>
          <t>muscular failure; hold 7.5 chase 15×3</t>
        </is>
      </c>
    </row>
    <row r="198" ht="18" customHeight="1">
      <c r="A198" s="35" t="n">
        <v>46160</v>
      </c>
      <c r="B198" s="16">
        <f>IF(A198="","",IFERROR(INT((A198-DATE(2026,4,27))/7)+1,""))</f>
        <v/>
      </c>
      <c r="C198" s="16" t="inlineStr">
        <is>
          <t>Upper A</t>
        </is>
      </c>
      <c r="D198" s="17" t="inlineStr">
        <is>
          <t>Face Pull</t>
        </is>
      </c>
      <c r="E198" s="16" t="n">
        <v>1</v>
      </c>
      <c r="F198" s="16" t="n">
        <v>20</v>
      </c>
      <c r="G198" s="36" t="n">
        <v>15</v>
      </c>
      <c r="H198" s="16" t="n">
        <v>8</v>
      </c>
      <c r="I198" s="19">
        <f>IF(OR(F198="",G198=""),"",F198*G198)</f>
        <v/>
      </c>
      <c r="J198" s="36">
        <f>IF(OR(F198="",G198=""),"",ROUND(G198*(1+F198/30),1))</f>
        <v/>
      </c>
      <c r="K198" s="20" t="inlineStr"/>
    </row>
    <row r="199" ht="18" customHeight="1">
      <c r="A199" s="37" t="n">
        <v>46160</v>
      </c>
      <c r="B199" s="22">
        <f>IF(A199="","",IFERROR(INT((A199-DATE(2026,4,27))/7)+1,""))</f>
        <v/>
      </c>
      <c r="C199" s="22" t="inlineStr">
        <is>
          <t>Upper A</t>
        </is>
      </c>
      <c r="D199" s="23" t="inlineStr">
        <is>
          <t>Face Pull</t>
        </is>
      </c>
      <c r="E199" s="22" t="n">
        <v>2</v>
      </c>
      <c r="F199" s="22" t="n">
        <v>20</v>
      </c>
      <c r="G199" s="38" t="n">
        <v>15</v>
      </c>
      <c r="H199" s="22" t="n">
        <v>8</v>
      </c>
      <c r="I199" s="25">
        <f>IF(OR(F199="",G199=""),"",F199*G199)</f>
        <v/>
      </c>
      <c r="J199" s="38">
        <f>IF(OR(F199="",G199=""),"",ROUND(G199*(1+F199/30),1))</f>
        <v/>
      </c>
      <c r="K199" s="26" t="inlineStr"/>
    </row>
    <row r="200" ht="18" customHeight="1">
      <c r="A200" s="35" t="n">
        <v>46160</v>
      </c>
      <c r="B200" s="16">
        <f>IF(A200="","",IFERROR(INT((A200-DATE(2026,4,27))/7)+1,""))</f>
        <v/>
      </c>
      <c r="C200" s="16" t="inlineStr">
        <is>
          <t>Upper A</t>
        </is>
      </c>
      <c r="D200" s="17" t="inlineStr">
        <is>
          <t>Face Pull</t>
        </is>
      </c>
      <c r="E200" s="16" t="n">
        <v>3</v>
      </c>
      <c r="F200" s="16" t="n">
        <v>20</v>
      </c>
      <c r="G200" s="36" t="n">
        <v>15</v>
      </c>
      <c r="H200" s="16" t="n">
        <v>8</v>
      </c>
      <c r="I200" s="19">
        <f>IF(OR(F200="",G200=""),"",F200*G200)</f>
        <v/>
      </c>
      <c r="J200" s="36">
        <f>IF(OR(F200="",G200=""),"",ROUND(G200*(1+F200/30),1))</f>
        <v/>
      </c>
      <c r="K200" s="20" t="inlineStr">
        <is>
          <t>top×3 RPE8, bump 16 next</t>
        </is>
      </c>
    </row>
    <row r="201" ht="18" customHeight="1">
      <c r="A201" s="37" t="n">
        <v>46160</v>
      </c>
      <c r="B201" s="22">
        <f>IF(A201="","",IFERROR(INT((A201-DATE(2026,4,27))/7)+1,""))</f>
        <v/>
      </c>
      <c r="C201" s="22" t="inlineStr">
        <is>
          <t>Upper A</t>
        </is>
      </c>
      <c r="D201" s="23" t="inlineStr">
        <is>
          <t>Triceps Pushdown</t>
        </is>
      </c>
      <c r="E201" s="22" t="n">
        <v>1</v>
      </c>
      <c r="F201" s="22" t="n">
        <v>12</v>
      </c>
      <c r="G201" s="38" t="n">
        <v>15</v>
      </c>
      <c r="H201" s="22" t="n">
        <v>8</v>
      </c>
      <c r="I201" s="25">
        <f>IF(OR(F201="",G201=""),"",F201*G201)</f>
        <v/>
      </c>
      <c r="J201" s="38">
        <f>IF(OR(F201="",G201=""),"",ROUND(G201*(1+F201/30),1))</f>
        <v/>
      </c>
      <c r="K201" s="26" t="inlineStr"/>
    </row>
    <row r="202" ht="18" customHeight="1">
      <c r="A202" s="35" t="n">
        <v>46160</v>
      </c>
      <c r="B202" s="16">
        <f>IF(A202="","",IFERROR(INT((A202-DATE(2026,4,27))/7)+1,""))</f>
        <v/>
      </c>
      <c r="C202" s="16" t="inlineStr">
        <is>
          <t>Upper A</t>
        </is>
      </c>
      <c r="D202" s="17" t="inlineStr">
        <is>
          <t>Triceps Pushdown</t>
        </is>
      </c>
      <c r="E202" s="16" t="n">
        <v>2</v>
      </c>
      <c r="F202" s="16" t="n">
        <v>12</v>
      </c>
      <c r="G202" s="36" t="n">
        <v>15</v>
      </c>
      <c r="H202" s="16" t="n">
        <v>8</v>
      </c>
      <c r="I202" s="19">
        <f>IF(OR(F202="",G202=""),"",F202*G202)</f>
        <v/>
      </c>
      <c r="J202" s="36">
        <f>IF(OR(F202="",G202=""),"",ROUND(G202*(1+F202/30),1))</f>
        <v/>
      </c>
      <c r="K202" s="20" t="inlineStr"/>
    </row>
    <row r="203" ht="18" customHeight="1">
      <c r="A203" s="37" t="n">
        <v>46160</v>
      </c>
      <c r="B203" s="22">
        <f>IF(A203="","",IFERROR(INT((A203-DATE(2026,4,27))/7)+1,""))</f>
        <v/>
      </c>
      <c r="C203" s="22" t="inlineStr">
        <is>
          <t>Upper A</t>
        </is>
      </c>
      <c r="D203" s="23" t="inlineStr">
        <is>
          <t>Triceps Pushdown</t>
        </is>
      </c>
      <c r="E203" s="22" t="n">
        <v>3</v>
      </c>
      <c r="F203" s="22" t="n">
        <v>12</v>
      </c>
      <c r="G203" s="38" t="n">
        <v>15</v>
      </c>
      <c r="H203" s="22" t="n">
        <v>8</v>
      </c>
      <c r="I203" s="25">
        <f>IF(OR(F203="",G203=""),"",F203*G203)</f>
        <v/>
      </c>
      <c r="J203" s="38">
        <f>IF(OR(F203="",G203=""),"",ROUND(G203*(1+F203/30),1))</f>
        <v/>
      </c>
      <c r="K203" s="26" t="inlineStr">
        <is>
          <t>target clean×3, bump 17 next</t>
        </is>
      </c>
    </row>
    <row r="204" ht="18" customHeight="1">
      <c r="A204" s="35" t="n">
        <v>46160</v>
      </c>
      <c r="B204" s="16">
        <f>IF(A204="","",IFERROR(INT((A204-DATE(2026,4,27))/7)+1,""))</f>
        <v/>
      </c>
      <c r="C204" s="16" t="inlineStr">
        <is>
          <t>Upper A</t>
        </is>
      </c>
      <c r="D204" s="17" t="inlineStr">
        <is>
          <t>DB Curl</t>
        </is>
      </c>
      <c r="E204" s="16" t="n">
        <v>1</v>
      </c>
      <c r="F204" s="16" t="n">
        <v>12</v>
      </c>
      <c r="G204" s="36" t="n">
        <v>8</v>
      </c>
      <c r="H204" s="16" t="n">
        <v>7</v>
      </c>
      <c r="I204" s="19">
        <f>IF(OR(F204="",G204=""),"",F204*G204)</f>
        <v/>
      </c>
      <c r="J204" s="36">
        <f>IF(OR(F204="",G204=""),"",ROUND(G204*(1+F204/30),1))</f>
        <v/>
      </c>
      <c r="K204" s="20" t="inlineStr"/>
    </row>
    <row r="205" ht="18" customHeight="1">
      <c r="A205" s="37" t="n">
        <v>46160</v>
      </c>
      <c r="B205" s="22">
        <f>IF(A205="","",IFERROR(INT((A205-DATE(2026,4,27))/7)+1,""))</f>
        <v/>
      </c>
      <c r="C205" s="22" t="inlineStr">
        <is>
          <t>Upper A</t>
        </is>
      </c>
      <c r="D205" s="23" t="inlineStr">
        <is>
          <t>DB Curl</t>
        </is>
      </c>
      <c r="E205" s="22" t="n">
        <v>2</v>
      </c>
      <c r="F205" s="22" t="n">
        <v>12</v>
      </c>
      <c r="G205" s="38" t="n">
        <v>8</v>
      </c>
      <c r="H205" s="22" t="n">
        <v>8</v>
      </c>
      <c r="I205" s="25">
        <f>IF(OR(F205="",G205=""),"",F205*G205)</f>
        <v/>
      </c>
      <c r="J205" s="38">
        <f>IF(OR(F205="",G205=""),"",ROUND(G205*(1+F205/30),1))</f>
        <v/>
      </c>
      <c r="K205" s="26" t="inlineStr"/>
    </row>
    <row r="206" ht="18" customHeight="1">
      <c r="A206" s="35" t="n">
        <v>46160</v>
      </c>
      <c r="B206" s="16">
        <f>IF(A206="","",IFERROR(INT((A206-DATE(2026,4,27))/7)+1,""))</f>
        <v/>
      </c>
      <c r="C206" s="16" t="inlineStr">
        <is>
          <t>Upper A</t>
        </is>
      </c>
      <c r="D206" s="17" t="inlineStr">
        <is>
          <t>DB Curl</t>
        </is>
      </c>
      <c r="E206" s="16" t="n">
        <v>3</v>
      </c>
      <c r="F206" s="16" t="n">
        <v>10</v>
      </c>
      <c r="G206" s="36" t="n">
        <v>8</v>
      </c>
      <c r="H206" s="16" t="n">
        <v>8</v>
      </c>
      <c r="I206" s="19">
        <f>IF(OR(F206="",G206=""),"",F206*G206)</f>
        <v/>
      </c>
      <c r="J206" s="36">
        <f>IF(OR(F206="",G206=""),"",ROUND(G206*(1+F206/30),1))</f>
        <v/>
      </c>
      <c r="K206" s="20" t="inlineStr">
        <is>
          <t>S3 10r; hold 8 chase 12×3</t>
        </is>
      </c>
    </row>
    <row r="207" ht="18" customHeight="1">
      <c r="A207" s="37" t="n">
        <v>46181</v>
      </c>
      <c r="B207" s="22">
        <f>IF(A207="","",IFERROR(INT((A207-DATE(2026,4,27))/7)+1,""))</f>
        <v/>
      </c>
      <c r="C207" s="22" t="inlineStr">
        <is>
          <t>Push</t>
        </is>
      </c>
      <c r="D207" s="23" t="inlineStr">
        <is>
          <t>Standing Chest Press</t>
        </is>
      </c>
      <c r="E207" s="22" t="n">
        <v>1</v>
      </c>
      <c r="F207" s="22" t="n">
        <v>15</v>
      </c>
      <c r="G207" s="38" t="n">
        <v>5</v>
      </c>
      <c r="H207" s="22" t="n">
        <v>5</v>
      </c>
      <c r="I207" s="25">
        <f>IF(OR(F207="",G207=""),"",F207*G207)</f>
        <v/>
      </c>
      <c r="J207" s="38">
        <f>IF(OR(F207="",G207=""),"",ROUND(G207*(1+F207/30),1))</f>
        <v/>
      </c>
      <c r="K207" s="26" t="inlineStr">
        <is>
          <t>new locked sub vs bench (user pref + shoulder)</t>
        </is>
      </c>
    </row>
    <row r="208" ht="18" customHeight="1">
      <c r="A208" s="35" t="n">
        <v>46181</v>
      </c>
      <c r="B208" s="16">
        <f>IF(A208="","",IFERROR(INT((A208-DATE(2026,4,27))/7)+1,""))</f>
        <v/>
      </c>
      <c r="C208" s="16" t="inlineStr">
        <is>
          <t>Push</t>
        </is>
      </c>
      <c r="D208" s="17" t="inlineStr">
        <is>
          <t>Standing Chest Press</t>
        </is>
      </c>
      <c r="E208" s="16" t="n">
        <v>2</v>
      </c>
      <c r="F208" s="16" t="n">
        <v>15</v>
      </c>
      <c r="G208" s="36" t="n">
        <v>5</v>
      </c>
      <c r="H208" s="16" t="n">
        <v>6</v>
      </c>
      <c r="I208" s="19">
        <f>IF(OR(F208="",G208=""),"",F208*G208)</f>
        <v/>
      </c>
      <c r="J208" s="36">
        <f>IF(OR(F208="",G208=""),"",ROUND(G208*(1+F208/30),1))</f>
        <v/>
      </c>
      <c r="K208" s="20" t="inlineStr"/>
    </row>
    <row r="209" ht="18" customHeight="1">
      <c r="A209" s="37" t="n">
        <v>46181</v>
      </c>
      <c r="B209" s="22">
        <f>IF(A209="","",IFERROR(INT((A209-DATE(2026,4,27))/7)+1,""))</f>
        <v/>
      </c>
      <c r="C209" s="22" t="inlineStr">
        <is>
          <t>Push</t>
        </is>
      </c>
      <c r="D209" s="23" t="inlineStr">
        <is>
          <t>Standing Chest Press</t>
        </is>
      </c>
      <c r="E209" s="22" t="n">
        <v>3</v>
      </c>
      <c r="F209" s="22" t="n">
        <v>12</v>
      </c>
      <c r="G209" s="38" t="n">
        <v>5</v>
      </c>
      <c r="H209" s="22" t="n">
        <v>7</v>
      </c>
      <c r="I209" s="25">
        <f>IF(OR(F209="",G209=""),"",F209*G209)</f>
        <v/>
      </c>
      <c r="J209" s="38">
        <f>IF(OR(F209="",G209=""),"",ROUND(G209*(1+F209/30),1))</f>
        <v/>
      </c>
      <c r="K209" s="26" t="inlineStr"/>
    </row>
    <row r="210" ht="18" customHeight="1">
      <c r="A210" s="35" t="n">
        <v>46181</v>
      </c>
      <c r="B210" s="16">
        <f>IF(A210="","",IFERROR(INT((A210-DATE(2026,4,27))/7)+1,""))</f>
        <v/>
      </c>
      <c r="C210" s="16" t="inlineStr">
        <is>
          <t>Push</t>
        </is>
      </c>
      <c r="D210" s="17" t="inlineStr">
        <is>
          <t>Standing Chest Press</t>
        </is>
      </c>
      <c r="E210" s="16" t="n">
        <v>4</v>
      </c>
      <c r="F210" s="16" t="n">
        <v>10</v>
      </c>
      <c r="G210" s="36" t="n">
        <v>5</v>
      </c>
      <c r="H210" s="16" t="n">
        <v>6</v>
      </c>
      <c r="I210" s="19">
        <f>IF(OR(F210="",G210=""),"",F210*G210)</f>
        <v/>
      </c>
      <c r="J210" s="36">
        <f>IF(OR(F210="",G210=""),"",ROUND(G210*(1+F210/30),1))</f>
        <v/>
      </c>
      <c r="K210" s="20" t="inlineStr">
        <is>
          <t>RPE5-6 trivial; bump 7.5-10 next</t>
        </is>
      </c>
    </row>
    <row r="211" ht="18" customHeight="1">
      <c r="A211" s="37" t="n">
        <v>46181</v>
      </c>
      <c r="B211" s="22">
        <f>IF(A211="","",IFERROR(INT((A211-DATE(2026,4,27))/7)+1,""))</f>
        <v/>
      </c>
      <c r="C211" s="22" t="inlineStr">
        <is>
          <t>Push</t>
        </is>
      </c>
      <c r="D211" s="23" t="inlineStr">
        <is>
          <t>DB Shoulder Press</t>
        </is>
      </c>
      <c r="E211" s="22" t="n">
        <v>1</v>
      </c>
      <c r="F211" s="22" t="n">
        <v>10</v>
      </c>
      <c r="G211" s="38" t="n">
        <v>3</v>
      </c>
      <c r="H211" s="22" t="n">
        <v>5</v>
      </c>
      <c r="I211" s="25">
        <f>IF(OR(F211="",G211=""),"",F211*G211)</f>
        <v/>
      </c>
      <c r="J211" s="38">
        <f>IF(OR(F211="",G211=""),"",ROUND(G211*(1+F211/30),1))</f>
        <v/>
      </c>
      <c r="K211" s="26" t="inlineStr">
        <is>
          <t>shoulder gate CLEAN (weak, no pain)</t>
        </is>
      </c>
    </row>
    <row r="212" ht="18" customHeight="1">
      <c r="A212" s="35" t="n">
        <v>46181</v>
      </c>
      <c r="B212" s="16">
        <f>IF(A212="","",IFERROR(INT((A212-DATE(2026,4,27))/7)+1,""))</f>
        <v/>
      </c>
      <c r="C212" s="16" t="inlineStr">
        <is>
          <t>Push</t>
        </is>
      </c>
      <c r="D212" s="17" t="inlineStr">
        <is>
          <t>DB Shoulder Press</t>
        </is>
      </c>
      <c r="E212" s="16" t="n">
        <v>2</v>
      </c>
      <c r="F212" s="16" t="n">
        <v>10</v>
      </c>
      <c r="G212" s="36" t="n">
        <v>3</v>
      </c>
      <c r="H212" s="16" t="n">
        <v>5</v>
      </c>
      <c r="I212" s="19">
        <f>IF(OR(F212="",G212=""),"",F212*G212)</f>
        <v/>
      </c>
      <c r="J212" s="36">
        <f>IF(OR(F212="",G212=""),"",ROUND(G212*(1+F212/30),1))</f>
        <v/>
      </c>
      <c r="K212" s="20" t="inlineStr"/>
    </row>
    <row r="213" ht="18" customHeight="1">
      <c r="A213" s="37" t="n">
        <v>46181</v>
      </c>
      <c r="B213" s="22">
        <f>IF(A213="","",IFERROR(INT((A213-DATE(2026,4,27))/7)+1,""))</f>
        <v/>
      </c>
      <c r="C213" s="22" t="inlineStr">
        <is>
          <t>Push</t>
        </is>
      </c>
      <c r="D213" s="23" t="inlineStr">
        <is>
          <t>DB Shoulder Press</t>
        </is>
      </c>
      <c r="E213" s="22" t="n">
        <v>3</v>
      </c>
      <c r="F213" s="22" t="n">
        <v>10</v>
      </c>
      <c r="G213" s="38" t="n">
        <v>3</v>
      </c>
      <c r="H213" s="22" t="n">
        <v>5</v>
      </c>
      <c r="I213" s="25">
        <f>IF(OR(F213="",G213=""),"",F213*G213)</f>
        <v/>
      </c>
      <c r="J213" s="38">
        <f>IF(OR(F213="",G213=""),"",ROUND(G213*(1+F213/30),1))</f>
        <v/>
      </c>
      <c r="K213" s="26" t="inlineStr">
        <is>
          <t>RPE5; bump 5/DB next, cap RPE7</t>
        </is>
      </c>
    </row>
    <row r="214" ht="18" customHeight="1">
      <c r="A214" s="35" t="n">
        <v>46181</v>
      </c>
      <c r="B214" s="16">
        <f>IF(A214="","",IFERROR(INT((A214-DATE(2026,4,27))/7)+1,""))</f>
        <v/>
      </c>
      <c r="C214" s="16" t="inlineStr">
        <is>
          <t>Push</t>
        </is>
      </c>
      <c r="D214" s="17" t="inlineStr">
        <is>
          <t>Incline DB Press</t>
        </is>
      </c>
      <c r="E214" s="16" t="n">
        <v>1</v>
      </c>
      <c r="F214" s="16" t="n">
        <v>10</v>
      </c>
      <c r="G214" s="36" t="n">
        <v>5</v>
      </c>
      <c r="H214" s="16" t="n">
        <v>7</v>
      </c>
      <c r="I214" s="19">
        <f>IF(OR(F214="",G214=""),"",F214*G214)</f>
        <v/>
      </c>
      <c r="J214" s="36">
        <f>IF(OR(F214="",G214=""),"",ROUND(G214*(1+F214/30),1))</f>
        <v/>
      </c>
      <c r="K214" s="20" t="inlineStr"/>
    </row>
    <row r="215" ht="18" customHeight="1">
      <c r="A215" s="37" t="n">
        <v>46181</v>
      </c>
      <c r="B215" s="22">
        <f>IF(A215="","",IFERROR(INT((A215-DATE(2026,4,27))/7)+1,""))</f>
        <v/>
      </c>
      <c r="C215" s="22" t="inlineStr">
        <is>
          <t>Push</t>
        </is>
      </c>
      <c r="D215" s="23" t="inlineStr">
        <is>
          <t>Incline DB Press</t>
        </is>
      </c>
      <c r="E215" s="22" t="n">
        <v>2</v>
      </c>
      <c r="F215" s="22" t="n">
        <v>10</v>
      </c>
      <c r="G215" s="38" t="n">
        <v>5</v>
      </c>
      <c r="H215" s="22" t="n">
        <v>7</v>
      </c>
      <c r="I215" s="25">
        <f>IF(OR(F215="",G215=""),"",F215*G215)</f>
        <v/>
      </c>
      <c r="J215" s="38">
        <f>IF(OR(F215="",G215=""),"",ROUND(G215*(1+F215/30),1))</f>
        <v/>
      </c>
      <c r="K215" s="26" t="inlineStr"/>
    </row>
    <row r="216" ht="18" customHeight="1">
      <c r="A216" s="35" t="n">
        <v>46181</v>
      </c>
      <c r="B216" s="16">
        <f>IF(A216="","",IFERROR(INT((A216-DATE(2026,4,27))/7)+1,""))</f>
        <v/>
      </c>
      <c r="C216" s="16" t="inlineStr">
        <is>
          <t>Push</t>
        </is>
      </c>
      <c r="D216" s="17" t="inlineStr">
        <is>
          <t>Incline DB Press</t>
        </is>
      </c>
      <c r="E216" s="16" t="n">
        <v>3</v>
      </c>
      <c r="F216" s="16" t="n">
        <v>10</v>
      </c>
      <c r="G216" s="36" t="n">
        <v>5</v>
      </c>
      <c r="H216" s="16" t="n">
        <v>7</v>
      </c>
      <c r="I216" s="19">
        <f>IF(OR(F216="",G216=""),"",F216*G216)</f>
        <v/>
      </c>
      <c r="J216" s="36">
        <f>IF(OR(F216="",G216=""),"",ROUND(G216*(1+F216/30),1))</f>
        <v/>
      </c>
      <c r="K216" s="20" t="inlineStr">
        <is>
          <t>RPE7 top range; bump 6-7/DB next</t>
        </is>
      </c>
    </row>
    <row r="217" ht="18" customHeight="1">
      <c r="A217" s="37" t="n">
        <v>46181</v>
      </c>
      <c r="B217" s="22">
        <f>IF(A217="","",IFERROR(INT((A217-DATE(2026,4,27))/7)+1,""))</f>
        <v/>
      </c>
      <c r="C217" s="22" t="inlineStr">
        <is>
          <t>Push</t>
        </is>
      </c>
      <c r="D217" s="23" t="inlineStr">
        <is>
          <t>Pec Deck</t>
        </is>
      </c>
      <c r="E217" s="22" t="n">
        <v>1</v>
      </c>
      <c r="F217" s="22" t="n">
        <v>9</v>
      </c>
      <c r="G217" s="38" t="n">
        <v>2.5</v>
      </c>
      <c r="H217" s="22" t="n">
        <v>7</v>
      </c>
      <c r="I217" s="25">
        <f>IF(OR(F217="",G217=""),"",F217*G217)</f>
        <v/>
      </c>
      <c r="J217" s="38">
        <f>IF(OR(F217="",G217=""),"",ROUND(G217*(1+F217/30),1))</f>
        <v/>
      </c>
      <c r="K217" s="26" t="inlineStr"/>
    </row>
    <row r="218" ht="18" customHeight="1">
      <c r="A218" s="35" t="n">
        <v>46181</v>
      </c>
      <c r="B218" s="16">
        <f>IF(A218="","",IFERROR(INT((A218-DATE(2026,4,27))/7)+1,""))</f>
        <v/>
      </c>
      <c r="C218" s="16" t="inlineStr">
        <is>
          <t>Push</t>
        </is>
      </c>
      <c r="D218" s="17" t="inlineStr">
        <is>
          <t>Pec Deck</t>
        </is>
      </c>
      <c r="E218" s="16" t="n">
        <v>2</v>
      </c>
      <c r="F218" s="16" t="n">
        <v>6</v>
      </c>
      <c r="G218" s="36" t="n">
        <v>2.5</v>
      </c>
      <c r="H218" s="16" t="n">
        <v>7</v>
      </c>
      <c r="I218" s="19">
        <f>IF(OR(F218="",G218=""),"",F218*G218)</f>
        <v/>
      </c>
      <c r="J218" s="36">
        <f>IF(OR(F218="",G218=""),"",ROUND(G218*(1+F218/30),1))</f>
        <v/>
      </c>
      <c r="K218" s="20" t="inlineStr"/>
    </row>
    <row r="219" ht="18" customHeight="1">
      <c r="A219" s="37" t="n">
        <v>46181</v>
      </c>
      <c r="B219" s="22">
        <f>IF(A219="","",IFERROR(INT((A219-DATE(2026,4,27))/7)+1,""))</f>
        <v/>
      </c>
      <c r="C219" s="22" t="inlineStr">
        <is>
          <t>Push</t>
        </is>
      </c>
      <c r="D219" s="23" t="inlineStr">
        <is>
          <t>Pec Deck</t>
        </is>
      </c>
      <c r="E219" s="22" t="n">
        <v>3</v>
      </c>
      <c r="F219" s="22" t="n">
        <v>6</v>
      </c>
      <c r="G219" s="38" t="n">
        <v>2.5</v>
      </c>
      <c r="H219" s="22" t="n">
        <v>7</v>
      </c>
      <c r="I219" s="25">
        <f>IF(OR(F219="",G219=""),"",F219*G219)</f>
        <v/>
      </c>
      <c r="J219" s="38">
        <f>IF(OR(F219="",G219=""),"",ROUND(G219*(1+F219/30),1))</f>
        <v/>
      </c>
      <c r="K219" s="26" t="inlineStr">
        <is>
          <t>reps fell 9-&gt;6-&gt;6; HOLD 2.5 rebuild 12+</t>
        </is>
      </c>
    </row>
    <row r="220" ht="18" customHeight="1">
      <c r="A220" s="35" t="n">
        <v>46181</v>
      </c>
      <c r="B220" s="16">
        <f>IF(A220="","",IFERROR(INT((A220-DATE(2026,4,27))/7)+1,""))</f>
        <v/>
      </c>
      <c r="C220" s="16" t="inlineStr">
        <is>
          <t>Push</t>
        </is>
      </c>
      <c r="D220" s="17" t="inlineStr">
        <is>
          <t>Triceps Pushdown</t>
        </is>
      </c>
      <c r="E220" s="16" t="n">
        <v>1</v>
      </c>
      <c r="F220" s="16" t="n">
        <v>15</v>
      </c>
      <c r="G220" s="36" t="n">
        <v>15</v>
      </c>
      <c r="H220" s="16" t="n">
        <v>8</v>
      </c>
      <c r="I220" s="19">
        <f>IF(OR(F220="",G220=""),"",F220*G220)</f>
        <v/>
      </c>
      <c r="J220" s="36">
        <f>IF(OR(F220="",G220=""),"",ROUND(G220*(1+F220/30),1))</f>
        <v/>
      </c>
      <c r="K220" s="20" t="inlineStr"/>
    </row>
    <row r="221" ht="18" customHeight="1">
      <c r="A221" s="37" t="n">
        <v>46181</v>
      </c>
      <c r="B221" s="22">
        <f>IF(A221="","",IFERROR(INT((A221-DATE(2026,4,27))/7)+1,""))</f>
        <v/>
      </c>
      <c r="C221" s="22" t="inlineStr">
        <is>
          <t>Push</t>
        </is>
      </c>
      <c r="D221" s="23" t="inlineStr">
        <is>
          <t>Triceps Pushdown</t>
        </is>
      </c>
      <c r="E221" s="22" t="n">
        <v>2</v>
      </c>
      <c r="F221" s="22" t="n">
        <v>12</v>
      </c>
      <c r="G221" s="38" t="n">
        <v>15</v>
      </c>
      <c r="H221" s="22" t="n">
        <v>8</v>
      </c>
      <c r="I221" s="25">
        <f>IF(OR(F221="",G221=""),"",F221*G221)</f>
        <v/>
      </c>
      <c r="J221" s="38">
        <f>IF(OR(F221="",G221=""),"",ROUND(G221*(1+F221/30),1))</f>
        <v/>
      </c>
      <c r="K221" s="26" t="inlineStr"/>
    </row>
    <row r="222" ht="18" customHeight="1">
      <c r="A222" s="35" t="n">
        <v>46181</v>
      </c>
      <c r="B222" s="16">
        <f>IF(A222="","",IFERROR(INT((A222-DATE(2026,4,27))/7)+1,""))</f>
        <v/>
      </c>
      <c r="C222" s="16" t="inlineStr">
        <is>
          <t>Push</t>
        </is>
      </c>
      <c r="D222" s="17" t="inlineStr">
        <is>
          <t>Triceps Pushdown</t>
        </is>
      </c>
      <c r="E222" s="16" t="n">
        <v>3</v>
      </c>
      <c r="F222" s="16" t="n">
        <v>12</v>
      </c>
      <c r="G222" s="36" t="n">
        <v>15</v>
      </c>
      <c r="H222" s="16" t="n">
        <v>9</v>
      </c>
      <c r="I222" s="19">
        <f>IF(OR(F222="",G222=""),"",F222*G222)</f>
        <v/>
      </c>
      <c r="J222" s="36">
        <f>IF(OR(F222="",G222=""),"",ROUND(G222*(1+F222/30),1))</f>
        <v/>
      </c>
      <c r="K222" s="20" t="inlineStr">
        <is>
          <t>hit top @RPE8-9; bump 17.5 next</t>
        </is>
      </c>
    </row>
    <row r="223" ht="18" customHeight="1">
      <c r="A223" s="37" t="n">
        <v>46181</v>
      </c>
      <c r="B223" s="22">
        <f>IF(A223="","",IFERROR(INT((A223-DATE(2026,4,27))/7)+1,""))</f>
        <v/>
      </c>
      <c r="C223" s="22" t="inlineStr">
        <is>
          <t>Push</t>
        </is>
      </c>
      <c r="D223" s="23" t="inlineStr">
        <is>
          <t>DB Lateral Raise</t>
        </is>
      </c>
      <c r="E223" s="22" t="n">
        <v>1</v>
      </c>
      <c r="F223" s="22" t="n">
        <v>12</v>
      </c>
      <c r="G223" s="38" t="n">
        <v>2</v>
      </c>
      <c r="H223" s="22" t="n">
        <v>8</v>
      </c>
      <c r="I223" s="25">
        <f>IF(OR(F223="",G223=""),"",F223*G223)</f>
        <v/>
      </c>
      <c r="J223" s="38">
        <f>IF(OR(F223="",G223=""),"",ROUND(G223*(1+F223/30),1))</f>
        <v/>
      </c>
      <c r="K223" s="26" t="inlineStr"/>
    </row>
    <row r="224" ht="18" customHeight="1">
      <c r="A224" s="35" t="n">
        <v>46181</v>
      </c>
      <c r="B224" s="16">
        <f>IF(A224="","",IFERROR(INT((A224-DATE(2026,4,27))/7)+1,""))</f>
        <v/>
      </c>
      <c r="C224" s="16" t="inlineStr">
        <is>
          <t>Push</t>
        </is>
      </c>
      <c r="D224" s="17" t="inlineStr">
        <is>
          <t>DB Lateral Raise</t>
        </is>
      </c>
      <c r="E224" s="16" t="n">
        <v>2</v>
      </c>
      <c r="F224" s="16" t="n">
        <v>12</v>
      </c>
      <c r="G224" s="36" t="n">
        <v>2</v>
      </c>
      <c r="H224" s="16" t="n">
        <v>8</v>
      </c>
      <c r="I224" s="19">
        <f>IF(OR(F224="",G224=""),"",F224*G224)</f>
        <v/>
      </c>
      <c r="J224" s="36">
        <f>IF(OR(F224="",G224=""),"",ROUND(G224*(1+F224/30),1))</f>
        <v/>
      </c>
      <c r="K224" s="20" t="inlineStr"/>
    </row>
    <row r="225" ht="18" customHeight="1">
      <c r="A225" s="37" t="n">
        <v>46181</v>
      </c>
      <c r="B225" s="22">
        <f>IF(A225="","",IFERROR(INT((A225-DATE(2026,4,27))/7)+1,""))</f>
        <v/>
      </c>
      <c r="C225" s="22" t="inlineStr">
        <is>
          <t>Push</t>
        </is>
      </c>
      <c r="D225" s="23" t="inlineStr">
        <is>
          <t>DB Lateral Raise</t>
        </is>
      </c>
      <c r="E225" s="22" t="n">
        <v>3</v>
      </c>
      <c r="F225" s="22" t="n">
        <v>12</v>
      </c>
      <c r="G225" s="38" t="n">
        <v>2</v>
      </c>
      <c r="H225" s="22" t="n">
        <v>8</v>
      </c>
      <c r="I225" s="25">
        <f>IF(OR(F225="",G225=""),"",F225*G225)</f>
        <v/>
      </c>
      <c r="J225" s="38">
        <f>IF(OR(F225="",G225=""),"",ROUND(G225*(1+F225/30),1))</f>
        <v/>
      </c>
      <c r="K225" s="26" t="inlineStr">
        <is>
          <t>bottom range; HOLD 2 chase 15s then 3/DB</t>
        </is>
      </c>
    </row>
    <row r="226" ht="18" customHeight="1">
      <c r="A226" s="35" t="n">
        <v>46183</v>
      </c>
      <c r="B226" s="16">
        <f>IF(A226="","",IFERROR(INT((A226-DATE(2026,4,27))/7)+1,""))</f>
        <v/>
      </c>
      <c r="C226" s="16" t="inlineStr">
        <is>
          <t>Pull</t>
        </is>
      </c>
      <c r="D226" s="17" t="inlineStr">
        <is>
          <t>Lat Pulldown</t>
        </is>
      </c>
      <c r="E226" s="16" t="n">
        <v>1</v>
      </c>
      <c r="F226" s="16" t="n">
        <v>12</v>
      </c>
      <c r="G226" s="36" t="n">
        <v>35</v>
      </c>
      <c r="H226" s="16" t="n">
        <v>9</v>
      </c>
      <c r="I226" s="19">
        <f>IF(OR(F226="",G226=""),"",F226*G226)</f>
        <v/>
      </c>
      <c r="J226" s="36">
        <f>IF(OR(F226="",G226=""),"",ROUND(G226*(1+F226/30),1))</f>
        <v/>
      </c>
      <c r="K226" s="20" t="inlineStr">
        <is>
          <t>opener 35 RPE9 off layoff; dropped to 30</t>
        </is>
      </c>
    </row>
    <row r="227" ht="18" customHeight="1">
      <c r="A227" s="37" t="n">
        <v>46183</v>
      </c>
      <c r="B227" s="22">
        <f>IF(A227="","",IFERROR(INT((A227-DATE(2026,4,27))/7)+1,""))</f>
        <v/>
      </c>
      <c r="C227" s="22" t="inlineStr">
        <is>
          <t>Pull</t>
        </is>
      </c>
      <c r="D227" s="23" t="inlineStr">
        <is>
          <t>Lat Pulldown</t>
        </is>
      </c>
      <c r="E227" s="22" t="n">
        <v>2</v>
      </c>
      <c r="F227" s="22" t="n">
        <v>12</v>
      </c>
      <c r="G227" s="38" t="n">
        <v>30</v>
      </c>
      <c r="H227" s="22" t="n">
        <v>7</v>
      </c>
      <c r="I227" s="25">
        <f>IF(OR(F227="",G227=""),"",F227*G227)</f>
        <v/>
      </c>
      <c r="J227" s="38">
        <f>IF(OR(F227="",G227=""),"",ROUND(G227*(1+F227/30),1))</f>
        <v/>
      </c>
      <c r="K227" s="26" t="inlineStr">
        <is>
          <t>rep range locked 4x10-12 (user pref)</t>
        </is>
      </c>
    </row>
    <row r="228" ht="18" customHeight="1">
      <c r="A228" s="35" t="n">
        <v>46183</v>
      </c>
      <c r="B228" s="16">
        <f>IF(A228="","",IFERROR(INT((A228-DATE(2026,4,27))/7)+1,""))</f>
        <v/>
      </c>
      <c r="C228" s="16" t="inlineStr">
        <is>
          <t>Pull</t>
        </is>
      </c>
      <c r="D228" s="17" t="inlineStr">
        <is>
          <t>Lat Pulldown</t>
        </is>
      </c>
      <c r="E228" s="16" t="n">
        <v>3</v>
      </c>
      <c r="F228" s="16" t="n">
        <v>12</v>
      </c>
      <c r="G228" s="36" t="n">
        <v>30</v>
      </c>
      <c r="H228" s="16" t="n">
        <v>8</v>
      </c>
      <c r="I228" s="19">
        <f>IF(OR(F228="",G228=""),"",F228*G228)</f>
        <v/>
      </c>
      <c r="J228" s="36">
        <f>IF(OR(F228="",G228=""),"",ROUND(G228*(1+F228/30),1))</f>
        <v/>
      </c>
      <c r="K228" s="20" t="inlineStr"/>
    </row>
    <row r="229" ht="18" customHeight="1">
      <c r="A229" s="37" t="n">
        <v>46183</v>
      </c>
      <c r="B229" s="22">
        <f>IF(A229="","",IFERROR(INT((A229-DATE(2026,4,27))/7)+1,""))</f>
        <v/>
      </c>
      <c r="C229" s="22" t="inlineStr">
        <is>
          <t>Pull</t>
        </is>
      </c>
      <c r="D229" s="23" t="inlineStr">
        <is>
          <t>Lat Pulldown</t>
        </is>
      </c>
      <c r="E229" s="22" t="n">
        <v>4</v>
      </c>
      <c r="F229" s="22" t="n">
        <v>12</v>
      </c>
      <c r="G229" s="38" t="n">
        <v>30</v>
      </c>
      <c r="H229" s="22" t="n">
        <v>8</v>
      </c>
      <c r="I229" s="25">
        <f>IF(OR(F229="",G229=""),"",F229*G229)</f>
        <v/>
      </c>
      <c r="J229" s="38">
        <f>IF(OR(F229="",G229=""),"",ROUND(G229*(1+F229/30),1))</f>
        <v/>
      </c>
      <c r="K229" s="26" t="inlineStr">
        <is>
          <t>12s clean @30; 32.5 next, cap RPE8</t>
        </is>
      </c>
    </row>
    <row r="230" ht="18" customHeight="1">
      <c r="A230" s="35" t="n">
        <v>46183</v>
      </c>
      <c r="B230" s="16">
        <f>IF(A230="","",IFERROR(INT((A230-DATE(2026,4,27))/7)+1,""))</f>
        <v/>
      </c>
      <c r="C230" s="16" t="inlineStr">
        <is>
          <t>Pull</t>
        </is>
      </c>
      <c r="D230" s="17" t="inlineStr">
        <is>
          <t>Cable Row</t>
        </is>
      </c>
      <c r="E230" s="16" t="n">
        <v>1</v>
      </c>
      <c r="F230" s="16" t="n">
        <v>12</v>
      </c>
      <c r="G230" s="36" t="n">
        <v>25</v>
      </c>
      <c r="H230" s="16" t="n">
        <v>6</v>
      </c>
      <c r="I230" s="19">
        <f>IF(OR(F230="",G230=""),"",F230*G230)</f>
        <v/>
      </c>
      <c r="J230" s="36">
        <f>IF(OR(F230="",G230=""),"",ROUND(G230*(1+F230/30),1))</f>
        <v/>
      </c>
      <c r="K230" s="20" t="inlineStr">
        <is>
          <t>locked: plain cable row (vs chest-supported)</t>
        </is>
      </c>
    </row>
    <row r="231" ht="18" customHeight="1">
      <c r="A231" s="37" t="n">
        <v>46183</v>
      </c>
      <c r="B231" s="22">
        <f>IF(A231="","",IFERROR(INT((A231-DATE(2026,4,27))/7)+1,""))</f>
        <v/>
      </c>
      <c r="C231" s="22" t="inlineStr">
        <is>
          <t>Pull</t>
        </is>
      </c>
      <c r="D231" s="23" t="inlineStr">
        <is>
          <t>Cable Row</t>
        </is>
      </c>
      <c r="E231" s="22" t="n">
        <v>2</v>
      </c>
      <c r="F231" s="22" t="n">
        <v>12</v>
      </c>
      <c r="G231" s="38" t="n">
        <v>25</v>
      </c>
      <c r="H231" s="22" t="n">
        <v>7</v>
      </c>
      <c r="I231" s="25">
        <f>IF(OR(F231="",G231=""),"",F231*G231)</f>
        <v/>
      </c>
      <c r="J231" s="38">
        <f>IF(OR(F231="",G231=""),"",ROUND(G231*(1+F231/30),1))</f>
        <v/>
      </c>
      <c r="K231" s="26" t="inlineStr"/>
    </row>
    <row r="232" ht="18" customHeight="1">
      <c r="A232" s="35" t="n">
        <v>46183</v>
      </c>
      <c r="B232" s="16">
        <f>IF(A232="","",IFERROR(INT((A232-DATE(2026,4,27))/7)+1,""))</f>
        <v/>
      </c>
      <c r="C232" s="16" t="inlineStr">
        <is>
          <t>Pull</t>
        </is>
      </c>
      <c r="D232" s="17" t="inlineStr">
        <is>
          <t>Cable Row</t>
        </is>
      </c>
      <c r="E232" s="16" t="n">
        <v>3</v>
      </c>
      <c r="F232" s="16" t="n">
        <v>12</v>
      </c>
      <c r="G232" s="36" t="n">
        <v>25</v>
      </c>
      <c r="H232" s="16" t="n">
        <v>7</v>
      </c>
      <c r="I232" s="19">
        <f>IF(OR(F232="",G232=""),"",F232*G232)</f>
        <v/>
      </c>
      <c r="J232" s="36">
        <f>IF(OR(F232="",G232=""),"",ROUND(G232*(1+F232/30),1))</f>
        <v/>
      </c>
      <c r="K232" s="20" t="inlineStr">
        <is>
          <t>3x12 @RPE6-7 under; 27.5 next</t>
        </is>
      </c>
    </row>
    <row r="233" ht="18" customHeight="1">
      <c r="A233" s="37" t="n">
        <v>46183</v>
      </c>
      <c r="B233" s="22">
        <f>IF(A233="","",IFERROR(INT((A233-DATE(2026,4,27))/7)+1,""))</f>
        <v/>
      </c>
      <c r="C233" s="22" t="inlineStr">
        <is>
          <t>Pull</t>
        </is>
      </c>
      <c r="D233" s="23" t="inlineStr">
        <is>
          <t>Single Arm DB Row</t>
        </is>
      </c>
      <c r="E233" s="22" t="n">
        <v>1</v>
      </c>
      <c r="F233" s="22" t="n">
        <v>15</v>
      </c>
      <c r="G233" s="38" t="n">
        <v>7</v>
      </c>
      <c r="H233" s="22" t="n">
        <v>5</v>
      </c>
      <c r="I233" s="25">
        <f>IF(OR(F233="",G233=""),"",F233*G233)</f>
        <v/>
      </c>
      <c r="J233" s="38">
        <f>IF(OR(F233="",G233=""),"",ROUND(G233*(1+F233/30),1))</f>
        <v/>
      </c>
      <c r="K233" s="26" t="inlineStr">
        <is>
          <t>NEW locked (replaces Reverse Pec Deck); reps per side</t>
        </is>
      </c>
    </row>
    <row r="234" ht="18" customHeight="1">
      <c r="A234" s="35" t="n">
        <v>46183</v>
      </c>
      <c r="B234" s="16">
        <f>IF(A234="","",IFERROR(INT((A234-DATE(2026,4,27))/7)+1,""))</f>
        <v/>
      </c>
      <c r="C234" s="16" t="inlineStr">
        <is>
          <t>Pull</t>
        </is>
      </c>
      <c r="D234" s="17" t="inlineStr">
        <is>
          <t>Single Arm DB Row</t>
        </is>
      </c>
      <c r="E234" s="16" t="n">
        <v>2</v>
      </c>
      <c r="F234" s="16" t="n">
        <v>15</v>
      </c>
      <c r="G234" s="36" t="n">
        <v>8</v>
      </c>
      <c r="H234" s="16" t="n">
        <v>7</v>
      </c>
      <c r="I234" s="19">
        <f>IF(OR(F234="",G234=""),"",F234*G234)</f>
        <v/>
      </c>
      <c r="J234" s="36">
        <f>IF(OR(F234="",G234=""),"",ROUND(G234*(1+F234/30),1))</f>
        <v/>
      </c>
      <c r="K234" s="20" t="inlineStr"/>
    </row>
    <row r="235" ht="18" customHeight="1">
      <c r="A235" s="37" t="n">
        <v>46183</v>
      </c>
      <c r="B235" s="22">
        <f>IF(A235="","",IFERROR(INT((A235-DATE(2026,4,27))/7)+1,""))</f>
        <v/>
      </c>
      <c r="C235" s="22" t="inlineStr">
        <is>
          <t>Pull</t>
        </is>
      </c>
      <c r="D235" s="23" t="inlineStr">
        <is>
          <t>Single Arm DB Row</t>
        </is>
      </c>
      <c r="E235" s="22" t="n">
        <v>3</v>
      </c>
      <c r="F235" s="22" t="n">
        <v>15</v>
      </c>
      <c r="G235" s="38" t="n">
        <v>8</v>
      </c>
      <c r="H235" s="22" t="n">
        <v>7</v>
      </c>
      <c r="I235" s="25">
        <f>IF(OR(F235="",G235=""),"",F235*G235)</f>
        <v/>
      </c>
      <c r="J235" s="38">
        <f>IF(OR(F235="",G235=""),"",ROUND(G235*(1+F235/30),1))</f>
        <v/>
      </c>
      <c r="K235" s="26" t="inlineStr">
        <is>
          <t>top range @RPE7; 9/DB next</t>
        </is>
      </c>
    </row>
    <row r="236" ht="18" customHeight="1">
      <c r="A236" s="35" t="n">
        <v>46183</v>
      </c>
      <c r="B236" s="16">
        <f>IF(A236="","",IFERROR(INT((A236-DATE(2026,4,27))/7)+1,""))</f>
        <v/>
      </c>
      <c r="C236" s="16" t="inlineStr">
        <is>
          <t>Pull</t>
        </is>
      </c>
      <c r="D236" s="17" t="inlineStr">
        <is>
          <t>Face Pull</t>
        </is>
      </c>
      <c r="E236" s="16" t="n">
        <v>1</v>
      </c>
      <c r="F236" s="16" t="n">
        <v>15</v>
      </c>
      <c r="G236" s="36" t="n">
        <v>10</v>
      </c>
      <c r="H236" s="16" t="n">
        <v>7</v>
      </c>
      <c r="I236" s="19">
        <f>IF(OR(F236="",G236=""),"",F236*G236)</f>
        <v/>
      </c>
      <c r="J236" s="36">
        <f>IF(OR(F236="",G236=""),"",ROUND(G236*(1+F236/30),1))</f>
        <v/>
      </c>
      <c r="K236" s="20" t="inlineStr"/>
    </row>
    <row r="237" ht="18" customHeight="1">
      <c r="A237" s="37" t="n">
        <v>46183</v>
      </c>
      <c r="B237" s="22">
        <f>IF(A237="","",IFERROR(INT((A237-DATE(2026,4,27))/7)+1,""))</f>
        <v/>
      </c>
      <c r="C237" s="22" t="inlineStr">
        <is>
          <t>Pull</t>
        </is>
      </c>
      <c r="D237" s="23" t="inlineStr">
        <is>
          <t>Face Pull</t>
        </is>
      </c>
      <c r="E237" s="22" t="n">
        <v>2</v>
      </c>
      <c r="F237" s="22" t="n">
        <v>15</v>
      </c>
      <c r="G237" s="38" t="n">
        <v>10</v>
      </c>
      <c r="H237" s="22" t="n">
        <v>7</v>
      </c>
      <c r="I237" s="25">
        <f>IF(OR(F237="",G237=""),"",F237*G237)</f>
        <v/>
      </c>
      <c r="J237" s="38">
        <f>IF(OR(F237="",G237=""),"",ROUND(G237*(1+F237/30),1))</f>
        <v/>
      </c>
      <c r="K237" s="26" t="inlineStr"/>
    </row>
    <row r="238" ht="18" customHeight="1">
      <c r="A238" s="35" t="n">
        <v>46183</v>
      </c>
      <c r="B238" s="16">
        <f>IF(A238="","",IFERROR(INT((A238-DATE(2026,4,27))/7)+1,""))</f>
        <v/>
      </c>
      <c r="C238" s="16" t="inlineStr">
        <is>
          <t>Pull</t>
        </is>
      </c>
      <c r="D238" s="17" t="inlineStr">
        <is>
          <t>Face Pull</t>
        </is>
      </c>
      <c r="E238" s="16" t="n">
        <v>3</v>
      </c>
      <c r="F238" s="16" t="n">
        <v>15</v>
      </c>
      <c r="G238" s="36" t="n">
        <v>10</v>
      </c>
      <c r="H238" s="16" t="n">
        <v>8</v>
      </c>
      <c r="I238" s="19">
        <f>IF(OR(F238="",G238=""),"",F238*G238)</f>
        <v/>
      </c>
      <c r="J238" s="36">
        <f>IF(OR(F238="",G238=""),"",ROUND(G238*(1+F238/30),1))</f>
        <v/>
      </c>
      <c r="K238" s="20" t="inlineStr">
        <is>
          <t>HOLD 10, chase 16-18, 12.5 at 20s</t>
        </is>
      </c>
    </row>
    <row r="239" ht="18" customHeight="1">
      <c r="A239" s="37" t="n">
        <v>46183</v>
      </c>
      <c r="B239" s="22">
        <f>IF(A239="","",IFERROR(INT((A239-DATE(2026,4,27))/7)+1,""))</f>
        <v/>
      </c>
      <c r="C239" s="22" t="inlineStr">
        <is>
          <t>Pull</t>
        </is>
      </c>
      <c r="D239" s="23" t="inlineStr">
        <is>
          <t>EZ Bar Curl</t>
        </is>
      </c>
      <c r="E239" s="22" t="n">
        <v>1</v>
      </c>
      <c r="F239" s="22" t="n">
        <v>10</v>
      </c>
      <c r="G239" s="38" t="n">
        <v>13.6</v>
      </c>
      <c r="H239" s="22" t="n">
        <v>6</v>
      </c>
      <c r="I239" s="25">
        <f>IF(OR(F239="",G239=""),"",F239*G239)</f>
        <v/>
      </c>
      <c r="J239" s="38">
        <f>IF(OR(F239="",G239=""),"",ROUND(G239*(1+F239/30),1))</f>
        <v/>
      </c>
      <c r="K239" s="26" t="inlineStr">
        <is>
          <t>NEW locked (replaces Preacher Curl)</t>
        </is>
      </c>
    </row>
    <row r="240" ht="18" customHeight="1">
      <c r="A240" s="35" t="n">
        <v>46183</v>
      </c>
      <c r="B240" s="16">
        <f>IF(A240="","",IFERROR(INT((A240-DATE(2026,4,27))/7)+1,""))</f>
        <v/>
      </c>
      <c r="C240" s="16" t="inlineStr">
        <is>
          <t>Pull</t>
        </is>
      </c>
      <c r="D240" s="17" t="inlineStr">
        <is>
          <t>EZ Bar Curl</t>
        </is>
      </c>
      <c r="E240" s="16" t="n">
        <v>2</v>
      </c>
      <c r="F240" s="16" t="n">
        <v>10</v>
      </c>
      <c r="G240" s="36" t="n">
        <v>13.6</v>
      </c>
      <c r="H240" s="16" t="n">
        <v>8</v>
      </c>
      <c r="I240" s="19">
        <f>IF(OR(F240="",G240=""),"",F240*G240)</f>
        <v/>
      </c>
      <c r="J240" s="36">
        <f>IF(OR(F240="",G240=""),"",ROUND(G240*(1+F240/30),1))</f>
        <v/>
      </c>
      <c r="K240" s="20" t="inlineStr"/>
    </row>
    <row r="241" ht="18" customHeight="1">
      <c r="A241" s="37" t="n">
        <v>46183</v>
      </c>
      <c r="B241" s="22">
        <f>IF(A241="","",IFERROR(INT((A241-DATE(2026,4,27))/7)+1,""))</f>
        <v/>
      </c>
      <c r="C241" s="22" t="inlineStr">
        <is>
          <t>Pull</t>
        </is>
      </c>
      <c r="D241" s="23" t="inlineStr">
        <is>
          <t>EZ Bar Curl</t>
        </is>
      </c>
      <c r="E241" s="22" t="n">
        <v>3</v>
      </c>
      <c r="F241" s="22" t="n">
        <v>8</v>
      </c>
      <c r="G241" s="38" t="n">
        <v>13.6</v>
      </c>
      <c r="H241" s="22" t="n">
        <v>7</v>
      </c>
      <c r="I241" s="25">
        <f>IF(OR(F241="",G241=""),"",F241*G241)</f>
        <v/>
      </c>
      <c r="J241" s="38">
        <f>IF(OR(F241="",G241=""),"",ROUND(G241*(1+F241/30),1))</f>
        <v/>
      </c>
      <c r="K241" s="26" t="inlineStr">
        <is>
          <t>S3 fell to 8; HOLD 13.6 chase 3x10</t>
        </is>
      </c>
    </row>
    <row r="242" ht="18" customHeight="1">
      <c r="A242" s="35" t="n">
        <v>46183</v>
      </c>
      <c r="B242" s="16">
        <f>IF(A242="","",IFERROR(INT((A242-DATE(2026,4,27))/7)+1,""))</f>
        <v/>
      </c>
      <c r="C242" s="16" t="inlineStr">
        <is>
          <t>Pull</t>
        </is>
      </c>
      <c r="D242" s="17" t="inlineStr">
        <is>
          <t>DB Curl</t>
        </is>
      </c>
      <c r="E242" s="16" t="n">
        <v>1</v>
      </c>
      <c r="F242" s="16" t="n">
        <v>10</v>
      </c>
      <c r="G242" s="36" t="n">
        <v>6</v>
      </c>
      <c r="H242" s="16" t="n">
        <v>7</v>
      </c>
      <c r="I242" s="19">
        <f>IF(OR(F242="",G242=""),"",F242*G242)</f>
        <v/>
      </c>
      <c r="J242" s="36">
        <f>IF(OR(F242="",G242=""),"",ROUND(G242*(1+F242/30),1))</f>
        <v/>
      </c>
      <c r="K242" s="20" t="inlineStr"/>
    </row>
    <row r="243" ht="18" customHeight="1">
      <c r="A243" s="37" t="n">
        <v>46183</v>
      </c>
      <c r="B243" s="22">
        <f>IF(A243="","",IFERROR(INT((A243-DATE(2026,4,27))/7)+1,""))</f>
        <v/>
      </c>
      <c r="C243" s="22" t="inlineStr">
        <is>
          <t>Pull</t>
        </is>
      </c>
      <c r="D243" s="23" t="inlineStr">
        <is>
          <t>DB Curl</t>
        </is>
      </c>
      <c r="E243" s="22" t="n">
        <v>2</v>
      </c>
      <c r="F243" s="22" t="n">
        <v>10</v>
      </c>
      <c r="G243" s="38" t="n">
        <v>6</v>
      </c>
      <c r="H243" s="22" t="n">
        <v>7</v>
      </c>
      <c r="I243" s="25">
        <f>IF(OR(F243="",G243=""),"",F243*G243)</f>
        <v/>
      </c>
      <c r="J243" s="38">
        <f>IF(OR(F243="",G243=""),"",ROUND(G243*(1+F243/30),1))</f>
        <v/>
      </c>
      <c r="K243" s="26" t="inlineStr"/>
    </row>
    <row r="244" ht="18" customHeight="1">
      <c r="A244" s="35" t="n">
        <v>46183</v>
      </c>
      <c r="B244" s="16">
        <f>IF(A244="","",IFERROR(INT((A244-DATE(2026,4,27))/7)+1,""))</f>
        <v/>
      </c>
      <c r="C244" s="16" t="inlineStr">
        <is>
          <t>Pull</t>
        </is>
      </c>
      <c r="D244" s="17" t="inlineStr">
        <is>
          <t>DB Curl</t>
        </is>
      </c>
      <c r="E244" s="16" t="n">
        <v>3</v>
      </c>
      <c r="F244" s="16" t="n">
        <v>8</v>
      </c>
      <c r="G244" s="36" t="n">
        <v>6</v>
      </c>
      <c r="H244" s="16" t="n">
        <v>7</v>
      </c>
      <c r="I244" s="19">
        <f>IF(OR(F244="",G244=""),"",F244*G244)</f>
        <v/>
      </c>
      <c r="J244" s="36">
        <f>IF(OR(F244="",G244=""),"",ROUND(G244*(1+F244/30),1))</f>
        <v/>
      </c>
      <c r="K244" s="20" t="inlineStr">
        <is>
          <t>HOLD 6 chase 3x10 then 7</t>
        </is>
      </c>
    </row>
    <row r="245" ht="18" customHeight="1">
      <c r="A245" s="37" t="n">
        <v>46190</v>
      </c>
      <c r="B245" s="22">
        <f>IF(A245="","",IFERROR(INT((A245-DATE(2026,4,27))/7)+1,""))</f>
        <v/>
      </c>
      <c r="C245" s="22" t="inlineStr">
        <is>
          <t>Push</t>
        </is>
      </c>
      <c r="D245" s="23" t="inlineStr">
        <is>
          <t>Standing Chest Press</t>
        </is>
      </c>
      <c r="E245" s="22" t="n">
        <v>1</v>
      </c>
      <c r="F245" s="22" t="n">
        <v>14</v>
      </c>
      <c r="G245" s="38" t="n">
        <v>7.5</v>
      </c>
      <c r="H245" s="22" t="n">
        <v>8</v>
      </c>
      <c r="I245" s="25">
        <f>IF(OR(F245="",G245=""),"",F245*G245)</f>
        <v/>
      </c>
      <c r="J245" s="38">
        <f>IF(OR(F245="",G245=""),"",ROUND(G245*(1+F245/30),1))</f>
        <v/>
      </c>
      <c r="K245" s="26" t="inlineStr">
        <is>
          <t>true load found @7.5</t>
        </is>
      </c>
    </row>
    <row r="246" ht="18" customHeight="1">
      <c r="A246" s="35" t="n">
        <v>46190</v>
      </c>
      <c r="B246" s="16">
        <f>IF(A246="","",IFERROR(INT((A246-DATE(2026,4,27))/7)+1,""))</f>
        <v/>
      </c>
      <c r="C246" s="16" t="inlineStr">
        <is>
          <t>Push</t>
        </is>
      </c>
      <c r="D246" s="17" t="inlineStr">
        <is>
          <t>Standing Chest Press</t>
        </is>
      </c>
      <c r="E246" s="16" t="n">
        <v>2</v>
      </c>
      <c r="F246" s="16" t="n">
        <v>12</v>
      </c>
      <c r="G246" s="36" t="n">
        <v>7.5</v>
      </c>
      <c r="H246" s="16" t="n">
        <v>7</v>
      </c>
      <c r="I246" s="19">
        <f>IF(OR(F246="",G246=""),"",F246*G246)</f>
        <v/>
      </c>
      <c r="J246" s="36">
        <f>IF(OR(F246="",G246=""),"",ROUND(G246*(1+F246/30),1))</f>
        <v/>
      </c>
      <c r="K246" s="20" t="inlineStr"/>
    </row>
    <row r="247" ht="18" customHeight="1">
      <c r="A247" s="37" t="n">
        <v>46190</v>
      </c>
      <c r="B247" s="22">
        <f>IF(A247="","",IFERROR(INT((A247-DATE(2026,4,27))/7)+1,""))</f>
        <v/>
      </c>
      <c r="C247" s="22" t="inlineStr">
        <is>
          <t>Push</t>
        </is>
      </c>
      <c r="D247" s="23" t="inlineStr">
        <is>
          <t>Standing Chest Press</t>
        </is>
      </c>
      <c r="E247" s="22" t="n">
        <v>3</v>
      </c>
      <c r="F247" s="22" t="n">
        <v>12</v>
      </c>
      <c r="G247" s="38" t="n">
        <v>7.5</v>
      </c>
      <c r="H247" s="22" t="n">
        <v>8</v>
      </c>
      <c r="I247" s="25">
        <f>IF(OR(F247="",G247=""),"",F247*G247)</f>
        <v/>
      </c>
      <c r="J247" s="38">
        <f>IF(OR(F247="",G247=""),"",ROUND(G247*(1+F247/30),1))</f>
        <v/>
      </c>
      <c r="K247" s="26" t="inlineStr"/>
    </row>
    <row r="248" ht="18" customHeight="1">
      <c r="A248" s="35" t="n">
        <v>46190</v>
      </c>
      <c r="B248" s="16">
        <f>IF(A248="","",IFERROR(INT((A248-DATE(2026,4,27))/7)+1,""))</f>
        <v/>
      </c>
      <c r="C248" s="16" t="inlineStr">
        <is>
          <t>Push</t>
        </is>
      </c>
      <c r="D248" s="17" t="inlineStr">
        <is>
          <t>Standing Chest Press</t>
        </is>
      </c>
      <c r="E248" s="16" t="n">
        <v>4</v>
      </c>
      <c r="F248" s="16" t="n">
        <v>12</v>
      </c>
      <c r="G248" s="36" t="n">
        <v>5</v>
      </c>
      <c r="H248" s="16" t="n">
        <v>9</v>
      </c>
      <c r="I248" s="19">
        <f>IF(OR(F248="",G248=""),"",F248*G248)</f>
        <v/>
      </c>
      <c r="J248" s="36">
        <f>IF(OR(F248="",G248=""),"",ROUND(G248*(1+F248/30),1))</f>
        <v/>
      </c>
      <c r="K248" s="20" t="inlineStr">
        <is>
          <t>fatigued, dropped to 5; HOLD 7.5 chase 15x4 @RPE&lt;=7</t>
        </is>
      </c>
    </row>
    <row r="249" ht="18" customHeight="1">
      <c r="A249" s="37" t="n">
        <v>46190</v>
      </c>
      <c r="B249" s="22">
        <f>IF(A249="","",IFERROR(INT((A249-DATE(2026,4,27))/7)+1,""))</f>
        <v/>
      </c>
      <c r="C249" s="22" t="inlineStr">
        <is>
          <t>Push</t>
        </is>
      </c>
      <c r="D249" s="23" t="inlineStr">
        <is>
          <t>DB Shoulder Press</t>
        </is>
      </c>
      <c r="E249" s="22" t="n">
        <v>1</v>
      </c>
      <c r="F249" s="22" t="n">
        <v>10</v>
      </c>
      <c r="G249" s="38" t="n">
        <v>5</v>
      </c>
      <c r="H249" s="22" t="n">
        <v>7</v>
      </c>
      <c r="I249" s="25">
        <f>IF(OR(F249="",G249=""),"",F249*G249)</f>
        <v/>
      </c>
      <c r="J249" s="38">
        <f>IF(OR(F249="",G249=""),"",ROUND(G249*(1+F249/30),1))</f>
        <v/>
      </c>
      <c r="K249" s="26" t="inlineStr">
        <is>
          <t>gate clean (weak, no pain)</t>
        </is>
      </c>
    </row>
    <row r="250" ht="18" customHeight="1">
      <c r="A250" s="35" t="n">
        <v>46190</v>
      </c>
      <c r="B250" s="16">
        <f>IF(A250="","",IFERROR(INT((A250-DATE(2026,4,27))/7)+1,""))</f>
        <v/>
      </c>
      <c r="C250" s="16" t="inlineStr">
        <is>
          <t>Push</t>
        </is>
      </c>
      <c r="D250" s="17" t="inlineStr">
        <is>
          <t>DB Shoulder Press</t>
        </is>
      </c>
      <c r="E250" s="16" t="n">
        <v>2</v>
      </c>
      <c r="F250" s="16" t="n">
        <v>10</v>
      </c>
      <c r="G250" s="36" t="n">
        <v>5</v>
      </c>
      <c r="H250" s="16" t="n">
        <v>7</v>
      </c>
      <c r="I250" s="19">
        <f>IF(OR(F250="",G250=""),"",F250*G250)</f>
        <v/>
      </c>
      <c r="J250" s="36">
        <f>IF(OR(F250="",G250=""),"",ROUND(G250*(1+F250/30),1))</f>
        <v/>
      </c>
      <c r="K250" s="20" t="inlineStr"/>
    </row>
    <row r="251" ht="18" customHeight="1">
      <c r="A251" s="37" t="n">
        <v>46190</v>
      </c>
      <c r="B251" s="22">
        <f>IF(A251="","",IFERROR(INT((A251-DATE(2026,4,27))/7)+1,""))</f>
        <v/>
      </c>
      <c r="C251" s="22" t="inlineStr">
        <is>
          <t>Push</t>
        </is>
      </c>
      <c r="D251" s="23" t="inlineStr">
        <is>
          <t>DB Shoulder Press</t>
        </is>
      </c>
      <c r="E251" s="22" t="n">
        <v>3</v>
      </c>
      <c r="F251" s="22" t="n">
        <v>10</v>
      </c>
      <c r="G251" s="38" t="n">
        <v>5</v>
      </c>
      <c r="H251" s="22" t="n">
        <v>8</v>
      </c>
      <c r="I251" s="25">
        <f>IF(OR(F251="",G251=""),"",F251*G251)</f>
        <v/>
      </c>
      <c r="J251" s="38">
        <f>IF(OR(F251="",G251=""),"",ROUND(G251*(1+F251/30),1))</f>
        <v/>
      </c>
      <c r="K251" s="26" t="inlineStr">
        <is>
          <t>top range, S3 RPE8; HOLD 5 clean to &lt;=7 then 6</t>
        </is>
      </c>
    </row>
    <row r="252" ht="18" customHeight="1">
      <c r="A252" s="35" t="n">
        <v>46190</v>
      </c>
      <c r="B252" s="16">
        <f>IF(A252="","",IFERROR(INT((A252-DATE(2026,4,27))/7)+1,""))</f>
        <v/>
      </c>
      <c r="C252" s="16" t="inlineStr">
        <is>
          <t>Push</t>
        </is>
      </c>
      <c r="D252" s="17" t="inlineStr">
        <is>
          <t>Incline DB Press</t>
        </is>
      </c>
      <c r="E252" s="16" t="n">
        <v>1</v>
      </c>
      <c r="F252" s="16" t="n">
        <v>10</v>
      </c>
      <c r="G252" s="36" t="n">
        <v>6</v>
      </c>
      <c r="H252" s="16" t="n">
        <v>7</v>
      </c>
      <c r="I252" s="19">
        <f>IF(OR(F252="",G252=""),"",F252*G252)</f>
        <v/>
      </c>
      <c r="J252" s="36">
        <f>IF(OR(F252="",G252=""),"",ROUND(G252*(1+F252/30),1))</f>
        <v/>
      </c>
      <c r="K252" s="20" t="inlineStr"/>
    </row>
    <row r="253" ht="18" customHeight="1">
      <c r="A253" s="37" t="n">
        <v>46190</v>
      </c>
      <c r="B253" s="22">
        <f>IF(A253="","",IFERROR(INT((A253-DATE(2026,4,27))/7)+1,""))</f>
        <v/>
      </c>
      <c r="C253" s="22" t="inlineStr">
        <is>
          <t>Push</t>
        </is>
      </c>
      <c r="D253" s="23" t="inlineStr">
        <is>
          <t>Incline DB Press</t>
        </is>
      </c>
      <c r="E253" s="22" t="n">
        <v>2</v>
      </c>
      <c r="F253" s="22" t="n">
        <v>10</v>
      </c>
      <c r="G253" s="38" t="n">
        <v>6</v>
      </c>
      <c r="H253" s="22" t="n">
        <v>7</v>
      </c>
      <c r="I253" s="25">
        <f>IF(OR(F253="",G253=""),"",F253*G253)</f>
        <v/>
      </c>
      <c r="J253" s="38">
        <f>IF(OR(F253="",G253=""),"",ROUND(G253*(1+F253/30),1))</f>
        <v/>
      </c>
      <c r="K253" s="26" t="inlineStr"/>
    </row>
    <row r="254" ht="18" customHeight="1">
      <c r="A254" s="35" t="n">
        <v>46190</v>
      </c>
      <c r="B254" s="16">
        <f>IF(A254="","",IFERROR(INT((A254-DATE(2026,4,27))/7)+1,""))</f>
        <v/>
      </c>
      <c r="C254" s="16" t="inlineStr">
        <is>
          <t>Push</t>
        </is>
      </c>
      <c r="D254" s="17" t="inlineStr">
        <is>
          <t>Incline DB Press</t>
        </is>
      </c>
      <c r="E254" s="16" t="n">
        <v>3</v>
      </c>
      <c r="F254" s="16" t="n">
        <v>10</v>
      </c>
      <c r="G254" s="36" t="n">
        <v>6</v>
      </c>
      <c r="H254" s="16" t="n">
        <v>8</v>
      </c>
      <c r="I254" s="19">
        <f>IF(OR(F254="",G254=""),"",F254*G254)</f>
        <v/>
      </c>
      <c r="J254" s="36">
        <f>IF(OR(F254="",G254=""),"",ROUND(G254*(1+F254/30),1))</f>
        <v/>
      </c>
      <c r="K254" s="20" t="inlineStr">
        <is>
          <t>top range, S3 RPE8; HOLD 6 clean to &lt;=7 then 7</t>
        </is>
      </c>
    </row>
    <row r="255" ht="18" customHeight="1">
      <c r="A255" s="37" t="n">
        <v>46190</v>
      </c>
      <c r="B255" s="22">
        <f>IF(A255="","",IFERROR(INT((A255-DATE(2026,4,27))/7)+1,""))</f>
        <v/>
      </c>
      <c r="C255" s="22" t="inlineStr">
        <is>
          <t>Push</t>
        </is>
      </c>
      <c r="D255" s="23" t="inlineStr">
        <is>
          <t>Pec Deck</t>
        </is>
      </c>
      <c r="E255" s="22" t="n">
        <v>1</v>
      </c>
      <c r="F255" s="22" t="n">
        <v>11</v>
      </c>
      <c r="G255" s="38" t="n">
        <v>2.5</v>
      </c>
      <c r="H255" s="22" t="n">
        <v>8</v>
      </c>
      <c r="I255" s="25">
        <f>IF(OR(F255="",G255=""),"",F255*G255)</f>
        <v/>
      </c>
      <c r="J255" s="38">
        <f>IF(OR(F255="",G255=""),"",ROUND(G255*(1+F255/30),1))</f>
        <v/>
      </c>
      <c r="K255" s="26" t="inlineStr"/>
    </row>
    <row r="256" ht="18" customHeight="1">
      <c r="A256" s="35" t="n">
        <v>46190</v>
      </c>
      <c r="B256" s="16">
        <f>IF(A256="","",IFERROR(INT((A256-DATE(2026,4,27))/7)+1,""))</f>
        <v/>
      </c>
      <c r="C256" s="16" t="inlineStr">
        <is>
          <t>Push</t>
        </is>
      </c>
      <c r="D256" s="17" t="inlineStr">
        <is>
          <t>Pec Deck</t>
        </is>
      </c>
      <c r="E256" s="16" t="n">
        <v>2</v>
      </c>
      <c r="F256" s="16" t="n">
        <v>10</v>
      </c>
      <c r="G256" s="36" t="n">
        <v>2.5</v>
      </c>
      <c r="H256" s="16" t="n">
        <v>8</v>
      </c>
      <c r="I256" s="19">
        <f>IF(OR(F256="",G256=""),"",F256*G256)</f>
        <v/>
      </c>
      <c r="J256" s="36">
        <f>IF(OR(F256="",G256=""),"",ROUND(G256*(1+F256/30),1))</f>
        <v/>
      </c>
      <c r="K256" s="20" t="inlineStr"/>
    </row>
    <row r="257" ht="18" customHeight="1">
      <c r="A257" s="37" t="n">
        <v>46190</v>
      </c>
      <c r="B257" s="22">
        <f>IF(A257="","",IFERROR(INT((A257-DATE(2026,4,27))/7)+1,""))</f>
        <v/>
      </c>
      <c r="C257" s="22" t="inlineStr">
        <is>
          <t>Push</t>
        </is>
      </c>
      <c r="D257" s="23" t="inlineStr">
        <is>
          <t>Pec Deck</t>
        </is>
      </c>
      <c r="E257" s="22" t="n">
        <v>3</v>
      </c>
      <c r="F257" s="22" t="n">
        <v>8</v>
      </c>
      <c r="G257" s="38" t="n">
        <v>2.5</v>
      </c>
      <c r="H257" s="22" t="n">
        <v>8</v>
      </c>
      <c r="I257" s="25">
        <f>IF(OR(F257="",G257=""),"",F257*G257)</f>
        <v/>
      </c>
      <c r="J257" s="38">
        <f>IF(OR(F257="",G257=""),"",ROUND(G257*(1+F257/30),1))</f>
        <v/>
      </c>
      <c r="K257" s="26" t="inlineStr">
        <is>
          <t>still under, reps falling 11-&gt;10-&gt;8; HOLD 2.5 rebuild 12+ all</t>
        </is>
      </c>
    </row>
    <row r="258" ht="18" customHeight="1">
      <c r="A258" s="35" t="n">
        <v>46190</v>
      </c>
      <c r="B258" s="16">
        <f>IF(A258="","",IFERROR(INT((A258-DATE(2026,4,27))/7)+1,""))</f>
        <v/>
      </c>
      <c r="C258" s="16" t="inlineStr">
        <is>
          <t>Push</t>
        </is>
      </c>
      <c r="D258" s="17" t="inlineStr">
        <is>
          <t>Triceps Pushdown</t>
        </is>
      </c>
      <c r="E258" s="16" t="n">
        <v>1</v>
      </c>
      <c r="F258" s="16" t="n">
        <v>10</v>
      </c>
      <c r="G258" s="36" t="n">
        <v>17.5</v>
      </c>
      <c r="H258" s="16" t="n">
        <v>8</v>
      </c>
      <c r="I258" s="19">
        <f>IF(OR(F258="",G258=""),"",F258*G258)</f>
        <v/>
      </c>
      <c r="J258" s="36">
        <f>IF(OR(F258="",G258=""),"",ROUND(G258*(1+F258/30),1))</f>
        <v/>
      </c>
      <c r="K258" s="20" t="inlineStr">
        <is>
          <t>+2.5 jump too steep, only S1 held</t>
        </is>
      </c>
    </row>
    <row r="259" ht="18" customHeight="1">
      <c r="A259" s="37" t="n">
        <v>46190</v>
      </c>
      <c r="B259" s="22">
        <f>IF(A259="","",IFERROR(INT((A259-DATE(2026,4,27))/7)+1,""))</f>
        <v/>
      </c>
      <c r="C259" s="22" t="inlineStr">
        <is>
          <t>Push</t>
        </is>
      </c>
      <c r="D259" s="23" t="inlineStr">
        <is>
          <t>Triceps Pushdown</t>
        </is>
      </c>
      <c r="E259" s="22" t="n">
        <v>2</v>
      </c>
      <c r="F259" s="22" t="n">
        <v>12</v>
      </c>
      <c r="G259" s="38" t="n">
        <v>15</v>
      </c>
      <c r="H259" s="22" t="n">
        <v>9</v>
      </c>
      <c r="I259" s="25">
        <f>IF(OR(F259="",G259=""),"",F259*G259)</f>
        <v/>
      </c>
      <c r="J259" s="38">
        <f>IF(OR(F259="",G259=""),"",ROUND(G259*(1+F259/30),1))</f>
        <v/>
      </c>
      <c r="K259" s="26" t="inlineStr">
        <is>
          <t>dropped to 15</t>
        </is>
      </c>
    </row>
    <row r="260" ht="18" customHeight="1">
      <c r="A260" s="35" t="n">
        <v>46190</v>
      </c>
      <c r="B260" s="16">
        <f>IF(A260="","",IFERROR(INT((A260-DATE(2026,4,27))/7)+1,""))</f>
        <v/>
      </c>
      <c r="C260" s="16" t="inlineStr">
        <is>
          <t>Push</t>
        </is>
      </c>
      <c r="D260" s="17" t="inlineStr">
        <is>
          <t>Triceps Pushdown</t>
        </is>
      </c>
      <c r="E260" s="16" t="n">
        <v>3</v>
      </c>
      <c r="F260" s="16" t="n">
        <v>10</v>
      </c>
      <c r="G260" s="36" t="n">
        <v>15</v>
      </c>
      <c r="H260" s="16" t="n">
        <v>9</v>
      </c>
      <c r="I260" s="19">
        <f>IF(OR(F260="",G260=""),"",F260*G260)</f>
        <v/>
      </c>
      <c r="J260" s="36">
        <f>IF(OR(F260="",G260=""),"",ROUND(G260*(1+F260/30),1))</f>
        <v/>
      </c>
      <c r="K260" s="20" t="inlineStr">
        <is>
          <t>HOLD 17.5, consolidate 10-12 all sets</t>
        </is>
      </c>
    </row>
    <row r="261" ht="18" customHeight="1">
      <c r="A261" s="37" t="n">
        <v>46190</v>
      </c>
      <c r="B261" s="22">
        <f>IF(A261="","",IFERROR(INT((A261-DATE(2026,4,27))/7)+1,""))</f>
        <v/>
      </c>
      <c r="C261" s="22" t="inlineStr">
        <is>
          <t>Push</t>
        </is>
      </c>
      <c r="D261" s="23" t="inlineStr">
        <is>
          <t>DB Lateral Raise</t>
        </is>
      </c>
      <c r="E261" s="22" t="n">
        <v>1</v>
      </c>
      <c r="F261" s="22" t="n">
        <v>15</v>
      </c>
      <c r="G261" s="38" t="n">
        <v>2</v>
      </c>
      <c r="H261" s="22" t="n">
        <v>7</v>
      </c>
      <c r="I261" s="25">
        <f>IF(OR(F261="",G261=""),"",F261*G261)</f>
        <v/>
      </c>
      <c r="J261" s="38">
        <f>IF(OR(F261="",G261=""),"",ROUND(G261*(1+F261/30),1))</f>
        <v/>
      </c>
      <c r="K261" s="26" t="inlineStr"/>
    </row>
    <row r="262" ht="18" customHeight="1">
      <c r="A262" s="35" t="n">
        <v>46190</v>
      </c>
      <c r="B262" s="16">
        <f>IF(A262="","",IFERROR(INT((A262-DATE(2026,4,27))/7)+1,""))</f>
        <v/>
      </c>
      <c r="C262" s="16" t="inlineStr">
        <is>
          <t>Push</t>
        </is>
      </c>
      <c r="D262" s="17" t="inlineStr">
        <is>
          <t>DB Lateral Raise</t>
        </is>
      </c>
      <c r="E262" s="16" t="n">
        <v>2</v>
      </c>
      <c r="F262" s="16" t="n">
        <v>15</v>
      </c>
      <c r="G262" s="36" t="n">
        <v>2</v>
      </c>
      <c r="H262" s="16" t="n">
        <v>8</v>
      </c>
      <c r="I262" s="19">
        <f>IF(OR(F262="",G262=""),"",F262*G262)</f>
        <v/>
      </c>
      <c r="J262" s="36">
        <f>IF(OR(F262="",G262=""),"",ROUND(G262*(1+F262/30),1))</f>
        <v/>
      </c>
      <c r="K262" s="20" t="inlineStr"/>
    </row>
    <row r="263" ht="18" customHeight="1">
      <c r="A263" s="37" t="n">
        <v>46190</v>
      </c>
      <c r="B263" s="22">
        <f>IF(A263="","",IFERROR(INT((A263-DATE(2026,4,27))/7)+1,""))</f>
        <v/>
      </c>
      <c r="C263" s="22" t="inlineStr">
        <is>
          <t>Push</t>
        </is>
      </c>
      <c r="D263" s="23" t="inlineStr">
        <is>
          <t>DB Lateral Raise</t>
        </is>
      </c>
      <c r="E263" s="22" t="n">
        <v>3</v>
      </c>
      <c r="F263" s="22" t="n">
        <v>12</v>
      </c>
      <c r="G263" s="38" t="n">
        <v>2</v>
      </c>
      <c r="H263" s="22" t="n">
        <v>9</v>
      </c>
      <c r="I263" s="25">
        <f>IF(OR(F263="",G263=""),"",F263*G263)</f>
        <v/>
      </c>
      <c r="J263" s="38">
        <f>IF(OR(F263="",G263=""),"",ROUND(G263*(1+F263/30),1))</f>
        <v/>
      </c>
      <c r="K263" s="26" t="inlineStr">
        <is>
          <t>15/15/12, one short; HOLD 2 land 15x3 then 3/DB</t>
        </is>
      </c>
    </row>
    <row r="264" ht="18" customHeight="1">
      <c r="A264" s="35" t="n">
        <v>46220</v>
      </c>
      <c r="B264" s="16">
        <f>IF(A264="","",IFERROR(INT((A264-DATE(2026,4,27))/7)+1,""))</f>
        <v/>
      </c>
      <c r="C264" s="16" t="inlineStr">
        <is>
          <t>Pull</t>
        </is>
      </c>
      <c r="D264" s="17" t="inlineStr">
        <is>
          <t>Lat Pulldown</t>
        </is>
      </c>
      <c r="E264" s="16" t="n">
        <v>1</v>
      </c>
      <c r="F264" s="16" t="n">
        <v>12</v>
      </c>
      <c r="G264" s="36" t="n">
        <v>30</v>
      </c>
      <c r="H264" s="16" t="n">
        <v>6</v>
      </c>
      <c r="I264" s="19">
        <f>IF(OR(F264="",G264=""),"",F264*G264)</f>
        <v/>
      </c>
      <c r="J264" s="36">
        <f>IF(OR(F264="",G264=""),"",ROUND(G264*(1+F264/30),1))</f>
        <v/>
      </c>
      <c r="K264" s="20" t="n"/>
    </row>
    <row r="265" ht="18" customHeight="1">
      <c r="A265" s="37" t="n">
        <v>46220</v>
      </c>
      <c r="B265" s="22">
        <f>IF(A265="","",IFERROR(INT((A265-DATE(2026,4,27))/7)+1,""))</f>
        <v/>
      </c>
      <c r="C265" s="22" t="inlineStr">
        <is>
          <t>Pull</t>
        </is>
      </c>
      <c r="D265" s="23" t="inlineStr">
        <is>
          <t>Lat Pulldown</t>
        </is>
      </c>
      <c r="E265" s="22" t="n">
        <v>2</v>
      </c>
      <c r="F265" s="22" t="n">
        <v>12</v>
      </c>
      <c r="G265" s="38" t="n">
        <v>30</v>
      </c>
      <c r="H265" s="22" t="n">
        <v>6</v>
      </c>
      <c r="I265" s="25">
        <f>IF(OR(F265="",G265=""),"",F265*G265)</f>
        <v/>
      </c>
      <c r="J265" s="38">
        <f>IF(OR(F265="",G265=""),"",ROUND(G265*(1+F265/30),1))</f>
        <v/>
      </c>
      <c r="K265" s="26" t="n"/>
    </row>
    <row r="266" ht="18" customHeight="1">
      <c r="A266" s="35" t="n">
        <v>46220</v>
      </c>
      <c r="B266" s="16">
        <f>IF(A266="","",IFERROR(INT((A266-DATE(2026,4,27))/7)+1,""))</f>
        <v/>
      </c>
      <c r="C266" s="16" t="inlineStr">
        <is>
          <t>Pull</t>
        </is>
      </c>
      <c r="D266" s="17" t="inlineStr">
        <is>
          <t>Lat Pulldown</t>
        </is>
      </c>
      <c r="E266" s="16" t="n">
        <v>3</v>
      </c>
      <c r="F266" s="16" t="n">
        <v>12</v>
      </c>
      <c r="G266" s="36" t="n">
        <v>30</v>
      </c>
      <c r="H266" s="16" t="n">
        <v>7</v>
      </c>
      <c r="I266" s="19">
        <f>IF(OR(F266="",G266=""),"",F266*G266)</f>
        <v/>
      </c>
      <c r="J266" s="36">
        <f>IF(OR(F266="",G266=""),"",ROUND(G266*(1+F266/30),1))</f>
        <v/>
      </c>
      <c r="K266" s="20" t="n"/>
    </row>
    <row r="267" ht="18" customHeight="1">
      <c r="A267" s="37" t="n">
        <v>46220</v>
      </c>
      <c r="B267" s="22">
        <f>IF(A267="","",IFERROR(INT((A267-DATE(2026,4,27))/7)+1,""))</f>
        <v/>
      </c>
      <c r="C267" s="22" t="inlineStr">
        <is>
          <t>Pull</t>
        </is>
      </c>
      <c r="D267" s="23" t="inlineStr">
        <is>
          <t>Lat Pulldown</t>
        </is>
      </c>
      <c r="E267" s="22" t="n">
        <v>4</v>
      </c>
      <c r="F267" s="22" t="n">
        <v>10</v>
      </c>
      <c r="G267" s="38" t="n">
        <v>30</v>
      </c>
      <c r="H267" s="22" t="n">
        <v>6</v>
      </c>
      <c r="I267" s="25">
        <f>IF(OR(F267="",G267=""),"",F267*G267)</f>
        <v/>
      </c>
      <c r="J267" s="38">
        <f>IF(OR(F267="",G267=""),"",ROUND(G267*(1+F267/30),1))</f>
        <v/>
      </c>
      <c r="K267" s="26" t="inlineStr">
        <is>
          <t>HOLD 30 — S4 fatigue, chase 4x12</t>
        </is>
      </c>
    </row>
    <row r="268" ht="18" customHeight="1">
      <c r="A268" s="35" t="n">
        <v>46220</v>
      </c>
      <c r="B268" s="16">
        <f>IF(A268="","",IFERROR(INT((A268-DATE(2026,4,27))/7)+1,""))</f>
        <v/>
      </c>
      <c r="C268" s="16" t="inlineStr">
        <is>
          <t>Pull</t>
        </is>
      </c>
      <c r="D268" s="17" t="inlineStr">
        <is>
          <t>Cable Row</t>
        </is>
      </c>
      <c r="E268" s="16" t="n">
        <v>1</v>
      </c>
      <c r="F268" s="16" t="n">
        <v>12</v>
      </c>
      <c r="G268" s="36" t="n">
        <v>24</v>
      </c>
      <c r="H268" s="16" t="n">
        <v>6</v>
      </c>
      <c r="I268" s="19">
        <f>IF(OR(F268="",G268=""),"",F268*G268)</f>
        <v/>
      </c>
      <c r="J268" s="36">
        <f>IF(OR(F268="",G268=""),"",ROUND(G268*(1+F268/30),1))</f>
        <v/>
      </c>
      <c r="K268" s="20" t="n"/>
    </row>
    <row r="269" ht="18" customHeight="1">
      <c r="A269" s="37" t="n">
        <v>46220</v>
      </c>
      <c r="B269" s="22">
        <f>IF(A269="","",IFERROR(INT((A269-DATE(2026,4,27))/7)+1,""))</f>
        <v/>
      </c>
      <c r="C269" s="22" t="inlineStr">
        <is>
          <t>Pull</t>
        </is>
      </c>
      <c r="D269" s="23" t="inlineStr">
        <is>
          <t>Cable Row</t>
        </is>
      </c>
      <c r="E269" s="22" t="n">
        <v>2</v>
      </c>
      <c r="F269" s="22" t="n">
        <v>12</v>
      </c>
      <c r="G269" s="38" t="n">
        <v>24</v>
      </c>
      <c r="H269" s="22" t="n">
        <v>6</v>
      </c>
      <c r="I269" s="25">
        <f>IF(OR(F269="",G269=""),"",F269*G269)</f>
        <v/>
      </c>
      <c r="J269" s="38">
        <f>IF(OR(F269="",G269=""),"",ROUND(G269*(1+F269/30),1))</f>
        <v/>
      </c>
      <c r="K269" s="26" t="n"/>
    </row>
    <row r="270" ht="18" customHeight="1">
      <c r="A270" s="35" t="n">
        <v>46220</v>
      </c>
      <c r="B270" s="16">
        <f>IF(A270="","",IFERROR(INT((A270-DATE(2026,4,27))/7)+1,""))</f>
        <v/>
      </c>
      <c r="C270" s="16" t="inlineStr">
        <is>
          <t>Pull</t>
        </is>
      </c>
      <c r="D270" s="17" t="inlineStr">
        <is>
          <t>Cable Row</t>
        </is>
      </c>
      <c r="E270" s="16" t="n">
        <v>3</v>
      </c>
      <c r="F270" s="16" t="n">
        <v>12</v>
      </c>
      <c r="G270" s="36" t="n">
        <v>24</v>
      </c>
      <c r="H270" s="16" t="n">
        <v>6</v>
      </c>
      <c r="I270" s="19">
        <f>IF(OR(F270="",G270=""),"",F270*G270)</f>
        <v/>
      </c>
      <c r="J270" s="36">
        <f>IF(OR(F270="",G270=""),"",ROUND(G270*(1+F270/30),1))</f>
        <v/>
      </c>
      <c r="K270" s="20" t="inlineStr">
        <is>
          <t>Undershot 27.5 seed at RPE 6 -&gt; 27.5 next</t>
        </is>
      </c>
    </row>
    <row r="271" ht="18" customHeight="1">
      <c r="A271" s="37" t="n">
        <v>46220</v>
      </c>
      <c r="B271" s="22">
        <f>IF(A271="","",IFERROR(INT((A271-DATE(2026,4,27))/7)+1,""))</f>
        <v/>
      </c>
      <c r="C271" s="22" t="inlineStr">
        <is>
          <t>Pull</t>
        </is>
      </c>
      <c r="D271" s="23" t="inlineStr">
        <is>
          <t>Single Arm DB Row</t>
        </is>
      </c>
      <c r="E271" s="22" t="n">
        <v>1</v>
      </c>
      <c r="F271" s="22" t="n">
        <v>15</v>
      </c>
      <c r="G271" s="38" t="n">
        <v>8</v>
      </c>
      <c r="H271" s="22" t="n">
        <v>6</v>
      </c>
      <c r="I271" s="25">
        <f>IF(OR(F271="",G271=""),"",F271*G271)</f>
        <v/>
      </c>
      <c r="J271" s="38">
        <f>IF(OR(F271="",G271=""),"",ROUND(G271*(1+F271/30),1))</f>
        <v/>
      </c>
      <c r="K271" s="26" t="n"/>
    </row>
    <row r="272" ht="18" customHeight="1">
      <c r="A272" s="35" t="n">
        <v>46220</v>
      </c>
      <c r="B272" s="16">
        <f>IF(A272="","",IFERROR(INT((A272-DATE(2026,4,27))/7)+1,""))</f>
        <v/>
      </c>
      <c r="C272" s="16" t="inlineStr">
        <is>
          <t>Pull</t>
        </is>
      </c>
      <c r="D272" s="17" t="inlineStr">
        <is>
          <t>Single Arm DB Row</t>
        </is>
      </c>
      <c r="E272" s="16" t="n">
        <v>2</v>
      </c>
      <c r="F272" s="16" t="n">
        <v>15</v>
      </c>
      <c r="G272" s="36" t="n">
        <v>8</v>
      </c>
      <c r="H272" s="16" t="n">
        <v>6</v>
      </c>
      <c r="I272" s="19">
        <f>IF(OR(F272="",G272=""),"",F272*G272)</f>
        <v/>
      </c>
      <c r="J272" s="36">
        <f>IF(OR(F272="",G272=""),"",ROUND(G272*(1+F272/30),1))</f>
        <v/>
      </c>
      <c r="K272" s="20" t="n"/>
    </row>
    <row r="273" ht="18" customHeight="1">
      <c r="A273" s="37" t="n">
        <v>46220</v>
      </c>
      <c r="B273" s="22">
        <f>IF(A273="","",IFERROR(INT((A273-DATE(2026,4,27))/7)+1,""))</f>
        <v/>
      </c>
      <c r="C273" s="22" t="inlineStr">
        <is>
          <t>Pull</t>
        </is>
      </c>
      <c r="D273" s="23" t="inlineStr">
        <is>
          <t>Single Arm DB Row</t>
        </is>
      </c>
      <c r="E273" s="22" t="n">
        <v>3</v>
      </c>
      <c r="F273" s="22" t="n">
        <v>15</v>
      </c>
      <c r="G273" s="38" t="n">
        <v>8</v>
      </c>
      <c r="H273" s="22" t="n">
        <v>7</v>
      </c>
      <c r="I273" s="25">
        <f>IF(OR(F273="",G273=""),"",F273*G273)</f>
        <v/>
      </c>
      <c r="J273" s="38">
        <f>IF(OR(F273="",G273=""),"",ROUND(G273*(1+F273/30),1))</f>
        <v/>
      </c>
      <c r="K273" s="26" t="inlineStr">
        <is>
          <t>Gate met -&gt; 9/DB next</t>
        </is>
      </c>
    </row>
    <row r="274" ht="18" customHeight="1">
      <c r="A274" s="35" t="n">
        <v>46220</v>
      </c>
      <c r="B274" s="16">
        <f>IF(A274="","",IFERROR(INT((A274-DATE(2026,4,27))/7)+1,""))</f>
        <v/>
      </c>
      <c r="C274" s="16" t="inlineStr">
        <is>
          <t>Pull</t>
        </is>
      </c>
      <c r="D274" s="17" t="inlineStr">
        <is>
          <t>Face Pull</t>
        </is>
      </c>
      <c r="E274" s="16" t="n">
        <v>1</v>
      </c>
      <c r="F274" s="16" t="n">
        <v>20</v>
      </c>
      <c r="G274" s="36" t="n">
        <v>5</v>
      </c>
      <c r="H274" s="16" t="n">
        <v>6</v>
      </c>
      <c r="I274" s="19">
        <f>IF(OR(F274="",G274=""),"",F274*G274)</f>
        <v/>
      </c>
      <c r="J274" s="36">
        <f>IF(OR(F274="",G274=""),"",ROUND(G274*(1+F274/30),1))</f>
        <v/>
      </c>
      <c r="K274" s="20" t="n"/>
    </row>
    <row r="275" ht="18" customHeight="1">
      <c r="A275" s="37" t="n">
        <v>46220</v>
      </c>
      <c r="B275" s="22">
        <f>IF(A275="","",IFERROR(INT((A275-DATE(2026,4,27))/7)+1,""))</f>
        <v/>
      </c>
      <c r="C275" s="22" t="inlineStr">
        <is>
          <t>Pull</t>
        </is>
      </c>
      <c r="D275" s="23" t="inlineStr">
        <is>
          <t>Face Pull</t>
        </is>
      </c>
      <c r="E275" s="22" t="n">
        <v>2</v>
      </c>
      <c r="F275" s="22" t="n">
        <v>20</v>
      </c>
      <c r="G275" s="38" t="n">
        <v>5</v>
      </c>
      <c r="H275" s="22" t="n">
        <v>6</v>
      </c>
      <c r="I275" s="25">
        <f>IF(OR(F275="",G275=""),"",F275*G275)</f>
        <v/>
      </c>
      <c r="J275" s="38">
        <f>IF(OR(F275="",G275=""),"",ROUND(G275*(1+F275/30),1))</f>
        <v/>
      </c>
      <c r="K275" s="26" t="n"/>
    </row>
    <row r="276" ht="18" customHeight="1">
      <c r="A276" s="35" t="n">
        <v>46220</v>
      </c>
      <c r="B276" s="16">
        <f>IF(A276="","",IFERROR(INT((A276-DATE(2026,4,27))/7)+1,""))</f>
        <v/>
      </c>
      <c r="C276" s="16" t="inlineStr">
        <is>
          <t>Pull</t>
        </is>
      </c>
      <c r="D276" s="17" t="inlineStr">
        <is>
          <t>Face Pull</t>
        </is>
      </c>
      <c r="E276" s="16" t="n">
        <v>3</v>
      </c>
      <c r="F276" s="16" t="n">
        <v>20</v>
      </c>
      <c r="G276" s="36" t="n">
        <v>5</v>
      </c>
      <c r="H276" s="16" t="n">
        <v>6</v>
      </c>
      <c r="I276" s="19">
        <f>IF(OR(F276="",G276=""),"",F276*G276)</f>
        <v/>
      </c>
      <c r="J276" s="36">
        <f>IF(OR(F276="",G276=""),"",ROUND(G276*(1+F276/30),1))</f>
        <v/>
      </c>
      <c r="K276" s="20" t="inlineStr">
        <is>
          <t>Undershot seed by half -&gt; 7.5 next, autoreg to 10</t>
        </is>
      </c>
    </row>
    <row r="277" ht="18" customHeight="1">
      <c r="A277" s="37" t="n">
        <v>46220</v>
      </c>
      <c r="B277" s="22">
        <f>IF(A277="","",IFERROR(INT((A277-DATE(2026,4,27))/7)+1,""))</f>
        <v/>
      </c>
      <c r="C277" s="22" t="inlineStr">
        <is>
          <t>Pull</t>
        </is>
      </c>
      <c r="D277" s="23" t="inlineStr">
        <is>
          <t>EZ Bar Curl</t>
        </is>
      </c>
      <c r="E277" s="22" t="n">
        <v>1</v>
      </c>
      <c r="F277" s="22" t="n">
        <v>10</v>
      </c>
      <c r="G277" s="38" t="n">
        <v>13.6</v>
      </c>
      <c r="H277" s="22" t="n">
        <v>6</v>
      </c>
      <c r="I277" s="25">
        <f>IF(OR(F277="",G277=""),"",F277*G277)</f>
        <v/>
      </c>
      <c r="J277" s="38">
        <f>IF(OR(F277="",G277=""),"",ROUND(G277*(1+F277/30),1))</f>
        <v/>
      </c>
      <c r="K277" s="26" t="n"/>
    </row>
    <row r="278" ht="18" customHeight="1">
      <c r="A278" s="35" t="n">
        <v>46220</v>
      </c>
      <c r="B278" s="16">
        <f>IF(A278="","",IFERROR(INT((A278-DATE(2026,4,27))/7)+1,""))</f>
        <v/>
      </c>
      <c r="C278" s="16" t="inlineStr">
        <is>
          <t>Pull</t>
        </is>
      </c>
      <c r="D278" s="17" t="inlineStr">
        <is>
          <t>EZ Bar Curl</t>
        </is>
      </c>
      <c r="E278" s="16" t="n">
        <v>2</v>
      </c>
      <c r="F278" s="16" t="n">
        <v>10</v>
      </c>
      <c r="G278" s="36" t="n">
        <v>13.6</v>
      </c>
      <c r="H278" s="16" t="n">
        <v>6</v>
      </c>
      <c r="I278" s="19">
        <f>IF(OR(F278="",G278=""),"",F278*G278)</f>
        <v/>
      </c>
      <c r="J278" s="36">
        <f>IF(OR(F278="",G278=""),"",ROUND(G278*(1+F278/30),1))</f>
        <v/>
      </c>
      <c r="K278" s="20" t="n"/>
    </row>
    <row r="279" ht="18" customHeight="1">
      <c r="A279" s="37" t="n">
        <v>46220</v>
      </c>
      <c r="B279" s="22">
        <f>IF(A279="","",IFERROR(INT((A279-DATE(2026,4,27))/7)+1,""))</f>
        <v/>
      </c>
      <c r="C279" s="22" t="inlineStr">
        <is>
          <t>Pull</t>
        </is>
      </c>
      <c r="D279" s="23" t="inlineStr">
        <is>
          <t>EZ Bar Curl</t>
        </is>
      </c>
      <c r="E279" s="22" t="n">
        <v>3</v>
      </c>
      <c r="F279" s="22" t="n">
        <v>10</v>
      </c>
      <c r="G279" s="38" t="n">
        <v>13.6</v>
      </c>
      <c r="H279" s="22" t="n">
        <v>6</v>
      </c>
      <c r="I279" s="25">
        <f>IF(OR(F279="",G279=""),"",F279*G279)</f>
        <v/>
      </c>
      <c r="J279" s="38">
        <f>IF(OR(F279="",G279=""),"",ROUND(G279*(1+F279/30),1))</f>
        <v/>
      </c>
      <c r="K279" s="26" t="inlineStr">
        <is>
          <t>Gate met -&gt; ~15.9 next</t>
        </is>
      </c>
    </row>
    <row r="280" ht="18" customHeight="1">
      <c r="A280" s="35" t="n">
        <v>46220</v>
      </c>
      <c r="B280" s="16">
        <f>IF(A280="","",IFERROR(INT((A280-DATE(2026,4,27))/7)+1,""))</f>
        <v/>
      </c>
      <c r="C280" s="16" t="inlineStr">
        <is>
          <t>Pull</t>
        </is>
      </c>
      <c r="D280" s="17" t="inlineStr">
        <is>
          <t>DB Curl</t>
        </is>
      </c>
      <c r="E280" s="16" t="n">
        <v>1</v>
      </c>
      <c r="F280" s="16" t="n">
        <v>10</v>
      </c>
      <c r="G280" s="36" t="n">
        <v>6</v>
      </c>
      <c r="H280" s="16" t="n">
        <v>6</v>
      </c>
      <c r="I280" s="19">
        <f>IF(OR(F280="",G280=""),"",F280*G280)</f>
        <v/>
      </c>
      <c r="J280" s="36">
        <f>IF(OR(F280="",G280=""),"",ROUND(G280*(1+F280/30),1))</f>
        <v/>
      </c>
      <c r="K280" s="20" t="n"/>
    </row>
    <row r="281" ht="18" customHeight="1">
      <c r="A281" s="37" t="n">
        <v>46220</v>
      </c>
      <c r="B281" s="22">
        <f>IF(A281="","",IFERROR(INT((A281-DATE(2026,4,27))/7)+1,""))</f>
        <v/>
      </c>
      <c r="C281" s="22" t="inlineStr">
        <is>
          <t>Pull</t>
        </is>
      </c>
      <c r="D281" s="23" t="inlineStr">
        <is>
          <t>DB Curl</t>
        </is>
      </c>
      <c r="E281" s="22" t="n">
        <v>2</v>
      </c>
      <c r="F281" s="22" t="n">
        <v>10</v>
      </c>
      <c r="G281" s="38" t="n">
        <v>6</v>
      </c>
      <c r="H281" s="22" t="n">
        <v>6</v>
      </c>
      <c r="I281" s="25">
        <f>IF(OR(F281="",G281=""),"",F281*G281)</f>
        <v/>
      </c>
      <c r="J281" s="38">
        <f>IF(OR(F281="",G281=""),"",ROUND(G281*(1+F281/30),1))</f>
        <v/>
      </c>
      <c r="K281" s="26" t="n"/>
    </row>
    <row r="282" ht="18" customHeight="1">
      <c r="A282" s="35" t="n">
        <v>46220</v>
      </c>
      <c r="B282" s="16">
        <f>IF(A282="","",IFERROR(INT((A282-DATE(2026,4,27))/7)+1,""))</f>
        <v/>
      </c>
      <c r="C282" s="16" t="inlineStr">
        <is>
          <t>Pull</t>
        </is>
      </c>
      <c r="D282" s="17" t="inlineStr">
        <is>
          <t>DB Curl</t>
        </is>
      </c>
      <c r="E282" s="16" t="n">
        <v>3</v>
      </c>
      <c r="F282" s="16" t="n">
        <v>10</v>
      </c>
      <c r="G282" s="36" t="n">
        <v>6</v>
      </c>
      <c r="H282" s="16" t="n">
        <v>7</v>
      </c>
      <c r="I282" s="19">
        <f>IF(OR(F282="",G282=""),"",F282*G282)</f>
        <v/>
      </c>
      <c r="J282" s="36">
        <f>IF(OR(F282="",G282=""),"",ROUND(G282*(1+F282/30),1))</f>
        <v/>
      </c>
      <c r="K282" s="20" t="inlineStr">
        <is>
          <t>Gate met -&gt; 7/DB next</t>
        </is>
      </c>
    </row>
    <row r="283" ht="18" customHeight="1">
      <c r="A283" s="37" t="n">
        <v>46223</v>
      </c>
      <c r="B283" s="22">
        <f>IF(A283="","",IFERROR(INT((A283-DATE(2026,4,27))/7)+1,""))</f>
        <v/>
      </c>
      <c r="C283" s="22" t="inlineStr">
        <is>
          <t>Legs</t>
        </is>
      </c>
      <c r="D283" s="23" t="inlineStr">
        <is>
          <t>Back Squat</t>
        </is>
      </c>
      <c r="E283" s="22" t="n">
        <v>1</v>
      </c>
      <c r="F283" s="22" t="n">
        <v>8</v>
      </c>
      <c r="G283" s="38" t="n">
        <v>27.5</v>
      </c>
      <c r="H283" s="22" t="n">
        <v>7</v>
      </c>
      <c r="I283" s="25">
        <f>IF(OR(F283="",G283=""),"",F283*G283)</f>
        <v/>
      </c>
      <c r="J283" s="38">
        <f>IF(OR(F283="",G283=""),"",ROUND(G283*(1+F283/30),1))</f>
        <v/>
      </c>
      <c r="K283" s="26" t="inlineStr">
        <is>
          <t>First lower in 62 d; tibia held loaded squats</t>
        </is>
      </c>
    </row>
    <row r="284" ht="18" customHeight="1">
      <c r="A284" s="35" t="n">
        <v>46223</v>
      </c>
      <c r="B284" s="16">
        <f>IF(A284="","",IFERROR(INT((A284-DATE(2026,4,27))/7)+1,""))</f>
        <v/>
      </c>
      <c r="C284" s="16" t="inlineStr">
        <is>
          <t>Legs</t>
        </is>
      </c>
      <c r="D284" s="17" t="inlineStr">
        <is>
          <t>Back Squat</t>
        </is>
      </c>
      <c r="E284" s="16" t="n">
        <v>2</v>
      </c>
      <c r="F284" s="16" t="n">
        <v>6</v>
      </c>
      <c r="G284" s="36" t="n">
        <v>27.5</v>
      </c>
      <c r="H284" s="16" t="n">
        <v>7</v>
      </c>
      <c r="I284" s="19">
        <f>IF(OR(F284="",G284=""),"",F284*G284)</f>
        <v/>
      </c>
      <c r="J284" s="36">
        <f>IF(OR(F284="",G284=""),"",ROUND(G284*(1+F284/30),1))</f>
        <v/>
      </c>
      <c r="K284" s="20" t="n"/>
    </row>
    <row r="285" ht="18" customHeight="1">
      <c r="A285" s="37" t="n">
        <v>46223</v>
      </c>
      <c r="B285" s="22">
        <f>IF(A285="","",IFERROR(INT((A285-DATE(2026,4,27))/7)+1,""))</f>
        <v/>
      </c>
      <c r="C285" s="22" t="inlineStr">
        <is>
          <t>Legs</t>
        </is>
      </c>
      <c r="D285" s="23" t="inlineStr">
        <is>
          <t>Back Squat</t>
        </is>
      </c>
      <c r="E285" s="22" t="n">
        <v>3</v>
      </c>
      <c r="F285" s="22" t="n">
        <v>6</v>
      </c>
      <c r="G285" s="38" t="n">
        <v>27.5</v>
      </c>
      <c r="H285" s="22" t="n">
        <v>8</v>
      </c>
      <c r="I285" s="25">
        <f>IF(OR(F285="",G285=""),"",F285*G285)</f>
        <v/>
      </c>
      <c r="J285" s="38">
        <f>IF(OR(F285="",G285=""),"",ROUND(G285*(1+F285/30),1))</f>
        <v/>
      </c>
      <c r="K285" s="26" t="inlineStr">
        <is>
          <t>HOLD 27.5 — S3 over RPE cap, chase 3x8</t>
        </is>
      </c>
    </row>
    <row r="286" ht="18" customHeight="1">
      <c r="A286" s="35" t="n">
        <v>46223</v>
      </c>
      <c r="B286" s="16">
        <f>IF(A286="","",IFERROR(INT((A286-DATE(2026,4,27))/7)+1,""))</f>
        <v/>
      </c>
      <c r="C286" s="16" t="inlineStr">
        <is>
          <t>Legs</t>
        </is>
      </c>
      <c r="D286" s="17" t="inlineStr">
        <is>
          <t>Romanian Deadlift</t>
        </is>
      </c>
      <c r="E286" s="16" t="n">
        <v>1</v>
      </c>
      <c r="F286" s="16" t="n">
        <v>10</v>
      </c>
      <c r="G286" s="36" t="n">
        <v>25</v>
      </c>
      <c r="H286" s="16" t="n">
        <v>6</v>
      </c>
      <c r="I286" s="19">
        <f>IF(OR(F286="",G286=""),"",F286*G286)</f>
        <v/>
      </c>
      <c r="J286" s="36">
        <f>IF(OR(F286="",G286=""),"",ROUND(G286*(1+F286/30),1))</f>
        <v/>
      </c>
      <c r="K286" s="20" t="n"/>
    </row>
    <row r="287" ht="18" customHeight="1">
      <c r="A287" s="37" t="n">
        <v>46223</v>
      </c>
      <c r="B287" s="22">
        <f>IF(A287="","",IFERROR(INT((A287-DATE(2026,4,27))/7)+1,""))</f>
        <v/>
      </c>
      <c r="C287" s="22" t="inlineStr">
        <is>
          <t>Legs</t>
        </is>
      </c>
      <c r="D287" s="23" t="inlineStr">
        <is>
          <t>Romanian Deadlift</t>
        </is>
      </c>
      <c r="E287" s="22" t="n">
        <v>2</v>
      </c>
      <c r="F287" s="22" t="n">
        <v>9</v>
      </c>
      <c r="G287" s="38" t="n">
        <v>25</v>
      </c>
      <c r="H287" s="22" t="n">
        <v>6</v>
      </c>
      <c r="I287" s="25">
        <f>IF(OR(F287="",G287=""),"",F287*G287)</f>
        <v/>
      </c>
      <c r="J287" s="38">
        <f>IF(OR(F287="",G287=""),"",ROUND(G287*(1+F287/30),1))</f>
        <v/>
      </c>
      <c r="K287" s="26" t="n"/>
    </row>
    <row r="288" ht="18" customHeight="1">
      <c r="A288" s="35" t="n">
        <v>46223</v>
      </c>
      <c r="B288" s="16">
        <f>IF(A288="","",IFERROR(INT((A288-DATE(2026,4,27))/7)+1,""))</f>
        <v/>
      </c>
      <c r="C288" s="16" t="inlineStr">
        <is>
          <t>Legs</t>
        </is>
      </c>
      <c r="D288" s="17" t="inlineStr">
        <is>
          <t>Romanian Deadlift</t>
        </is>
      </c>
      <c r="E288" s="16" t="n">
        <v>3</v>
      </c>
      <c r="F288" s="16" t="n">
        <v>8</v>
      </c>
      <c r="G288" s="36" t="n">
        <v>25</v>
      </c>
      <c r="H288" s="16" t="n">
        <v>6</v>
      </c>
      <c r="I288" s="19">
        <f>IF(OR(F288="",G288=""),"",F288*G288)</f>
        <v/>
      </c>
      <c r="J288" s="36">
        <f>IF(OR(F288="",G288=""),"",ROUND(G288*(1+F288/30),1))</f>
        <v/>
      </c>
      <c r="K288" s="20" t="inlineStr">
        <is>
          <t>HOLD 25 — reps faded not effort, chase 3x10</t>
        </is>
      </c>
    </row>
    <row r="289" ht="18" customHeight="1">
      <c r="A289" s="37" t="n">
        <v>46223</v>
      </c>
      <c r="B289" s="22">
        <f>IF(A289="","",IFERROR(INT((A289-DATE(2026,4,27))/7)+1,""))</f>
        <v/>
      </c>
      <c r="C289" s="22" t="inlineStr">
        <is>
          <t>Legs</t>
        </is>
      </c>
      <c r="D289" s="23" t="inlineStr">
        <is>
          <t>Lying Leg Curl</t>
        </is>
      </c>
      <c r="E289" s="22" t="n">
        <v>1</v>
      </c>
      <c r="F289" s="22" t="n">
        <v>12</v>
      </c>
      <c r="G289" s="38" t="n">
        <v>15</v>
      </c>
      <c r="H289" s="22" t="n">
        <v>6</v>
      </c>
      <c r="I289" s="25">
        <f>IF(OR(F289="",G289=""),"",F289*G289)</f>
        <v/>
      </c>
      <c r="J289" s="38">
        <f>IF(OR(F289="",G289=""),"",ROUND(G289*(1+F289/30),1))</f>
        <v/>
      </c>
      <c r="K289" s="26" t="n"/>
    </row>
    <row r="290" ht="18" customHeight="1">
      <c r="A290" s="35" t="n">
        <v>46223</v>
      </c>
      <c r="B290" s="16">
        <f>IF(A290="","",IFERROR(INT((A290-DATE(2026,4,27))/7)+1,""))</f>
        <v/>
      </c>
      <c r="C290" s="16" t="inlineStr">
        <is>
          <t>Legs</t>
        </is>
      </c>
      <c r="D290" s="17" t="inlineStr">
        <is>
          <t>Lying Leg Curl</t>
        </is>
      </c>
      <c r="E290" s="16" t="n">
        <v>2</v>
      </c>
      <c r="F290" s="16" t="n">
        <v>10</v>
      </c>
      <c r="G290" s="36" t="n">
        <v>15</v>
      </c>
      <c r="H290" s="16" t="n">
        <v>8</v>
      </c>
      <c r="I290" s="19">
        <f>IF(OR(F290="",G290=""),"",F290*G290)</f>
        <v/>
      </c>
      <c r="J290" s="36">
        <f>IF(OR(F290="",G290=""),"",ROUND(G290*(1+F290/30),1))</f>
        <v/>
      </c>
      <c r="K290" s="20" t="inlineStr">
        <is>
          <t>HOLD 15 — S2 RPE 8</t>
        </is>
      </c>
    </row>
    <row r="291" ht="18" customHeight="1">
      <c r="A291" s="37" t="n">
        <v>46223</v>
      </c>
      <c r="B291" s="22">
        <f>IF(A291="","",IFERROR(INT((A291-DATE(2026,4,27))/7)+1,""))</f>
        <v/>
      </c>
      <c r="C291" s="22" t="inlineStr">
        <is>
          <t>Legs</t>
        </is>
      </c>
      <c r="D291" s="23" t="inlineStr">
        <is>
          <t>Standing Calf Raise</t>
        </is>
      </c>
      <c r="E291" s="22" t="n">
        <v>1</v>
      </c>
      <c r="F291" s="22" t="n">
        <v>12</v>
      </c>
      <c r="G291" s="38" t="n">
        <v>20</v>
      </c>
      <c r="H291" s="22" t="n">
        <v>7</v>
      </c>
      <c r="I291" s="25">
        <f>IF(OR(F291="",G291=""),"",F291*G291)</f>
        <v/>
      </c>
      <c r="J291" s="38">
        <f>IF(OR(F291="",G291=""),"",ROUND(G291*(1+F291/30),1))</f>
        <v/>
      </c>
      <c r="K291" s="26" t="n"/>
    </row>
    <row r="292" ht="18" customHeight="1">
      <c r="A292" s="35" t="n">
        <v>46223</v>
      </c>
      <c r="B292" s="16">
        <f>IF(A292="","",IFERROR(INT((A292-DATE(2026,4,27))/7)+1,""))</f>
        <v/>
      </c>
      <c r="C292" s="16" t="inlineStr">
        <is>
          <t>Legs</t>
        </is>
      </c>
      <c r="D292" s="17" t="inlineStr">
        <is>
          <t>Standing Calf Raise</t>
        </is>
      </c>
      <c r="E292" s="16" t="n">
        <v>2</v>
      </c>
      <c r="F292" s="16" t="n">
        <v>12</v>
      </c>
      <c r="G292" s="36" t="n">
        <v>20</v>
      </c>
      <c r="H292" s="16" t="n">
        <v>8</v>
      </c>
      <c r="I292" s="19">
        <f>IF(OR(F292="",G292=""),"",F292*G292)</f>
        <v/>
      </c>
      <c r="J292" s="36">
        <f>IF(OR(F292="",G292=""),"",ROUND(G292*(1+F292/30),1))</f>
        <v/>
      </c>
      <c r="K292" s="20" t="n"/>
    </row>
    <row r="293" ht="18" customHeight="1">
      <c r="A293" s="37" t="n">
        <v>46223</v>
      </c>
      <c r="B293" s="22">
        <f>IF(A293="","",IFERROR(INT((A293-DATE(2026,4,27))/7)+1,""))</f>
        <v/>
      </c>
      <c r="C293" s="22" t="inlineStr">
        <is>
          <t>Legs</t>
        </is>
      </c>
      <c r="D293" s="23" t="inlineStr">
        <is>
          <t>Standing Calf Raise</t>
        </is>
      </c>
      <c r="E293" s="22" t="n">
        <v>3</v>
      </c>
      <c r="F293" s="22" t="n">
        <v>12</v>
      </c>
      <c r="G293" s="38" t="n">
        <v>10</v>
      </c>
      <c r="H293" s="22" t="n">
        <v>7</v>
      </c>
      <c r="I293" s="25">
        <f>IF(OR(F293="",G293=""),"",F293*G293)</f>
        <v/>
      </c>
      <c r="J293" s="38">
        <f>IF(OR(F293="",G293=""),"",ROUND(G293*(1+F293/30),1))</f>
        <v/>
      </c>
      <c r="K293" s="26" t="inlineStr">
        <is>
          <t>Dropped load to hold 12; HOLD 20, chase 3x15</t>
        </is>
      </c>
    </row>
    <row r="294" ht="18" customHeight="1">
      <c r="A294" s="35" t="n">
        <v>46223</v>
      </c>
      <c r="B294" s="16">
        <f>IF(A294="","",IFERROR(INT((A294-DATE(2026,4,27))/7)+1,""))</f>
        <v/>
      </c>
      <c r="C294" s="16" t="inlineStr">
        <is>
          <t>Legs</t>
        </is>
      </c>
      <c r="D294" s="17" t="inlineStr">
        <is>
          <t>Tibialis Raise</t>
        </is>
      </c>
      <c r="E294" s="16" t="n">
        <v>1</v>
      </c>
      <c r="F294" s="16" t="n">
        <v>16</v>
      </c>
      <c r="G294" s="36" t="n">
        <v>0</v>
      </c>
      <c r="H294" s="16" t="n">
        <v>9</v>
      </c>
      <c r="I294" s="19">
        <f>IF(OR(F294="",G294=""),"",F294*G294)</f>
        <v/>
      </c>
      <c r="J294" s="36">
        <f>IF(OR(F294="",G294=""),"",ROUND(G294*(1+F294/30),1))</f>
        <v/>
      </c>
      <c r="K294" s="20" t="inlineStr">
        <is>
          <t>NEW — bone armor, BW; RPE 9 expected on novel muscle</t>
        </is>
      </c>
    </row>
    <row r="295" ht="18" customHeight="1">
      <c r="A295" s="37" t="n">
        <v>46223</v>
      </c>
      <c r="B295" s="22">
        <f>IF(A295="","",IFERROR(INT((A295-DATE(2026,4,27))/7)+1,""))</f>
        <v/>
      </c>
      <c r="C295" s="22" t="inlineStr">
        <is>
          <t>Legs</t>
        </is>
      </c>
      <c r="D295" s="23" t="inlineStr">
        <is>
          <t>Tibialis Raise</t>
        </is>
      </c>
      <c r="E295" s="22" t="n">
        <v>2</v>
      </c>
      <c r="F295" s="22" t="n">
        <v>17</v>
      </c>
      <c r="G295" s="38" t="n">
        <v>0</v>
      </c>
      <c r="H295" s="22" t="n">
        <v>9</v>
      </c>
      <c r="I295" s="25">
        <f>IF(OR(F295="",G295=""),"",F295*G295)</f>
        <v/>
      </c>
      <c r="J295" s="38">
        <f>IF(OR(F295="",G295=""),"",ROUND(G295*(1+F295/30),1))</f>
        <v/>
      </c>
      <c r="K295" s="26" t="n"/>
    </row>
    <row r="296" ht="18" customHeight="1">
      <c r="A296" s="35" t="n">
        <v>46223</v>
      </c>
      <c r="B296" s="16">
        <f>IF(A296="","",IFERROR(INT((A296-DATE(2026,4,27))/7)+1,""))</f>
        <v/>
      </c>
      <c r="C296" s="16" t="inlineStr">
        <is>
          <t>Legs</t>
        </is>
      </c>
      <c r="D296" s="17" t="inlineStr">
        <is>
          <t>Tibialis Raise</t>
        </is>
      </c>
      <c r="E296" s="16" t="n">
        <v>3</v>
      </c>
      <c r="F296" s="16" t="n">
        <v>15</v>
      </c>
      <c r="G296" s="36" t="n">
        <v>0</v>
      </c>
      <c r="H296" s="16" t="n">
        <v>9</v>
      </c>
      <c r="I296" s="19">
        <f>IF(OR(F296="",G296=""),"",F296*G296)</f>
        <v/>
      </c>
      <c r="J296" s="36">
        <f>IF(OR(F296="",G296=""),"",ROUND(G296*(1+F296/30),1))</f>
        <v/>
      </c>
      <c r="K296" s="20" t="inlineStr">
        <is>
          <t>Keep BW, chase 3x20</t>
        </is>
      </c>
    </row>
    <row r="297" ht="18" customHeight="1">
      <c r="A297" s="37" t="n">
        <v>46223</v>
      </c>
      <c r="B297" s="22">
        <f>IF(A297="","",IFERROR(INT((A297-DATE(2026,4,27))/7)+1,""))</f>
        <v/>
      </c>
      <c r="C297" s="22" t="inlineStr">
        <is>
          <t>Legs</t>
        </is>
      </c>
      <c r="D297" s="23" t="inlineStr">
        <is>
          <t>Hanging Knee Raise</t>
        </is>
      </c>
      <c r="E297" s="22" t="n">
        <v>1</v>
      </c>
      <c r="F297" s="22" t="n">
        <v>10</v>
      </c>
      <c r="G297" s="38" t="n">
        <v>0</v>
      </c>
      <c r="H297" s="22" t="n">
        <v>10</v>
      </c>
      <c r="I297" s="25">
        <f>IF(OR(F297="",G297=""),"",F297*G297)</f>
        <v/>
      </c>
      <c r="J297" s="38">
        <f>IF(OR(F297="",G297=""),"",ROUND(G297*(1+F297/30),1))</f>
        <v/>
      </c>
      <c r="K297" s="26" t="n"/>
    </row>
    <row r="298" ht="18" customHeight="1">
      <c r="A298" s="35" t="n">
        <v>46223</v>
      </c>
      <c r="B298" s="16">
        <f>IF(A298="","",IFERROR(INT((A298-DATE(2026,4,27))/7)+1,""))</f>
        <v/>
      </c>
      <c r="C298" s="16" t="inlineStr">
        <is>
          <t>Legs</t>
        </is>
      </c>
      <c r="D298" s="17" t="inlineStr">
        <is>
          <t>Hanging Knee Raise</t>
        </is>
      </c>
      <c r="E298" s="16" t="n">
        <v>2</v>
      </c>
      <c r="F298" s="16" t="n">
        <v>7</v>
      </c>
      <c r="G298" s="36" t="n">
        <v>0</v>
      </c>
      <c r="H298" s="16" t="n">
        <v>10</v>
      </c>
      <c r="I298" s="19">
        <f>IF(OR(F298="",G298=""),"",F298*G298)</f>
        <v/>
      </c>
      <c r="J298" s="36">
        <f>IF(OR(F298="",G298=""),"",ROUND(G298*(1+F298/30),1))</f>
        <v/>
      </c>
      <c r="K298" s="20" t="inlineStr">
        <is>
          <t>HOLD BW</t>
        </is>
      </c>
    </row>
    <row r="299" ht="18" customHeight="1">
      <c r="A299" s="37" t="n">
        <v>46226</v>
      </c>
      <c r="B299" s="22">
        <f>IF(A299="","",IFERROR(INT((A299-DATE(2026,4,27))/7)+1,""))</f>
        <v/>
      </c>
      <c r="C299" s="22" t="inlineStr">
        <is>
          <t>Push</t>
        </is>
      </c>
      <c r="D299" s="23" t="inlineStr">
        <is>
          <t>Standing Chest Press</t>
        </is>
      </c>
      <c r="E299" s="22" t="n">
        <v>1</v>
      </c>
      <c r="F299" s="22" t="n">
        <v>15</v>
      </c>
      <c r="G299" s="38" t="n">
        <v>7.5</v>
      </c>
      <c r="H299" s="22" t="n">
        <v>7</v>
      </c>
      <c r="I299" s="25">
        <f>IF(OR(F299="",G299=""),"",F299*G299)</f>
        <v/>
      </c>
      <c r="J299" s="38">
        <f>IF(OR(F299="",G299=""),"",ROUND(G299*(1+F299/30),1))</f>
        <v/>
      </c>
      <c r="K299" s="26" t="inlineStr">
        <is>
          <t>Push W1 maintenance, 36d layoff off 6/17; loads under seed = expected; shoulder gate clean (weak, no pain)</t>
        </is>
      </c>
    </row>
    <row r="300" ht="18" customHeight="1">
      <c r="A300" s="35" t="n">
        <v>46226</v>
      </c>
      <c r="B300" s="16">
        <f>IF(A300="","",IFERROR(INT((A300-DATE(2026,4,27))/7)+1,""))</f>
        <v/>
      </c>
      <c r="C300" s="16" t="inlineStr">
        <is>
          <t>Push</t>
        </is>
      </c>
      <c r="D300" s="17" t="inlineStr">
        <is>
          <t>Standing Chest Press</t>
        </is>
      </c>
      <c r="E300" s="16" t="n">
        <v>2</v>
      </c>
      <c r="F300" s="16" t="n">
        <v>15</v>
      </c>
      <c r="G300" s="36" t="n">
        <v>5</v>
      </c>
      <c r="H300" s="16" t="n">
        <v>7</v>
      </c>
      <c r="I300" s="19">
        <f>IF(OR(F300="",G300=""),"",F300*G300)</f>
        <v/>
      </c>
      <c r="J300" s="36">
        <f>IF(OR(F300="",G300=""),"",ROUND(G300*(1+F300/30),1))</f>
        <v/>
      </c>
      <c r="K300" s="20" t="n"/>
    </row>
    <row r="301" ht="18" customHeight="1">
      <c r="A301" s="37" t="n">
        <v>46226</v>
      </c>
      <c r="B301" s="22">
        <f>IF(A301="","",IFERROR(INT((A301-DATE(2026,4,27))/7)+1,""))</f>
        <v/>
      </c>
      <c r="C301" s="22" t="inlineStr">
        <is>
          <t>Push</t>
        </is>
      </c>
      <c r="D301" s="23" t="inlineStr">
        <is>
          <t>Standing Chest Press</t>
        </is>
      </c>
      <c r="E301" s="22" t="n">
        <v>3</v>
      </c>
      <c r="F301" s="22" t="n">
        <v>12</v>
      </c>
      <c r="G301" s="38" t="n">
        <v>5</v>
      </c>
      <c r="H301" s="22" t="n">
        <v>7</v>
      </c>
      <c r="I301" s="25">
        <f>IF(OR(F301="",G301=""),"",F301*G301)</f>
        <v/>
      </c>
      <c r="J301" s="38">
        <f>IF(OR(F301="",G301=""),"",ROUND(G301*(1+F301/30),1))</f>
        <v/>
      </c>
      <c r="K301" s="26" t="n"/>
    </row>
    <row r="302" ht="18" customHeight="1">
      <c r="A302" s="35" t="n">
        <v>46226</v>
      </c>
      <c r="B302" s="16">
        <f>IF(A302="","",IFERROR(INT((A302-DATE(2026,4,27))/7)+1,""))</f>
        <v/>
      </c>
      <c r="C302" s="16" t="inlineStr">
        <is>
          <t>Push</t>
        </is>
      </c>
      <c r="D302" s="17" t="inlineStr">
        <is>
          <t>Standing Chest Press</t>
        </is>
      </c>
      <c r="E302" s="16" t="n">
        <v>4</v>
      </c>
      <c r="F302" s="16" t="n">
        <v>12</v>
      </c>
      <c r="G302" s="36" t="n">
        <v>5</v>
      </c>
      <c r="H302" s="16" t="n">
        <v>7</v>
      </c>
      <c r="I302" s="19">
        <f>IF(OR(F302="",G302=""),"",F302*G302)</f>
        <v/>
      </c>
      <c r="J302" s="36">
        <f>IF(OR(F302="",G302=""),"",ROUND(G302*(1+F302/30),1))</f>
        <v/>
      </c>
      <c r="K302" s="20" t="n"/>
    </row>
    <row r="303" ht="18" customHeight="1">
      <c r="A303" s="37" t="n">
        <v>46226</v>
      </c>
      <c r="B303" s="22">
        <f>IF(A303="","",IFERROR(INT((A303-DATE(2026,4,27))/7)+1,""))</f>
        <v/>
      </c>
      <c r="C303" s="22" t="inlineStr">
        <is>
          <t>Push</t>
        </is>
      </c>
      <c r="D303" s="23" t="inlineStr">
        <is>
          <t>DB Shoulder Press</t>
        </is>
      </c>
      <c r="E303" s="22" t="n">
        <v>1</v>
      </c>
      <c r="F303" s="22" t="n">
        <v>10</v>
      </c>
      <c r="G303" s="38" t="n">
        <v>4</v>
      </c>
      <c r="H303" s="22" t="n">
        <v>7</v>
      </c>
      <c r="I303" s="25">
        <f>IF(OR(F303="",G303=""),"",F303*G303)</f>
        <v/>
      </c>
      <c r="J303" s="38">
        <f>IF(OR(F303="",G303=""),"",ROUND(G303*(1+F303/30),1))</f>
        <v/>
      </c>
      <c r="K303" s="26" t="n"/>
    </row>
    <row r="304" ht="18" customHeight="1">
      <c r="A304" s="35" t="n">
        <v>46226</v>
      </c>
      <c r="B304" s="16">
        <f>IF(A304="","",IFERROR(INT((A304-DATE(2026,4,27))/7)+1,""))</f>
        <v/>
      </c>
      <c r="C304" s="16" t="inlineStr">
        <is>
          <t>Push</t>
        </is>
      </c>
      <c r="D304" s="17" t="inlineStr">
        <is>
          <t>DB Shoulder Press</t>
        </is>
      </c>
      <c r="E304" s="16" t="n">
        <v>2</v>
      </c>
      <c r="F304" s="16" t="n">
        <v>10</v>
      </c>
      <c r="G304" s="36" t="n">
        <v>4</v>
      </c>
      <c r="H304" s="16" t="n">
        <v>7</v>
      </c>
      <c r="I304" s="19">
        <f>IF(OR(F304="",G304=""),"",F304*G304)</f>
        <v/>
      </c>
      <c r="J304" s="36">
        <f>IF(OR(F304="",G304=""),"",ROUND(G304*(1+F304/30),1))</f>
        <v/>
      </c>
      <c r="K304" s="20" t="n"/>
    </row>
    <row r="305" ht="18" customHeight="1">
      <c r="A305" s="37" t="n">
        <v>46226</v>
      </c>
      <c r="B305" s="22">
        <f>IF(A305="","",IFERROR(INT((A305-DATE(2026,4,27))/7)+1,""))</f>
        <v/>
      </c>
      <c r="C305" s="22" t="inlineStr">
        <is>
          <t>Push</t>
        </is>
      </c>
      <c r="D305" s="23" t="inlineStr">
        <is>
          <t>DB Shoulder Press</t>
        </is>
      </c>
      <c r="E305" s="22" t="n">
        <v>3</v>
      </c>
      <c r="F305" s="22" t="n">
        <v>10</v>
      </c>
      <c r="G305" s="38" t="n">
        <v>4</v>
      </c>
      <c r="H305" s="22" t="n">
        <v>7</v>
      </c>
      <c r="I305" s="25">
        <f>IF(OR(F305="",G305=""),"",F305*G305)</f>
        <v/>
      </c>
      <c r="J305" s="38">
        <f>IF(OR(F305="",G305=""),"",ROUND(G305*(1+F305/30),1))</f>
        <v/>
      </c>
      <c r="K305" s="26" t="n"/>
    </row>
    <row r="306" ht="18" customHeight="1">
      <c r="A306" s="35" t="n">
        <v>46226</v>
      </c>
      <c r="B306" s="16">
        <f>IF(A306="","",IFERROR(INT((A306-DATE(2026,4,27))/7)+1,""))</f>
        <v/>
      </c>
      <c r="C306" s="16" t="inlineStr">
        <is>
          <t>Push</t>
        </is>
      </c>
      <c r="D306" s="17" t="inlineStr">
        <is>
          <t>Incline DB Press</t>
        </is>
      </c>
      <c r="E306" s="16" t="n">
        <v>1</v>
      </c>
      <c r="F306" s="16" t="n">
        <v>10</v>
      </c>
      <c r="G306" s="36" t="n">
        <v>4</v>
      </c>
      <c r="H306" s="16" t="n">
        <v>7</v>
      </c>
      <c r="I306" s="19">
        <f>IF(OR(F306="",G306=""),"",F306*G306)</f>
        <v/>
      </c>
      <c r="J306" s="36">
        <f>IF(OR(F306="",G306=""),"",ROUND(G306*(1+F306/30),1))</f>
        <v/>
      </c>
      <c r="K306" s="20" t="n"/>
    </row>
    <row r="307" ht="18" customHeight="1">
      <c r="A307" s="37" t="n">
        <v>46226</v>
      </c>
      <c r="B307" s="22">
        <f>IF(A307="","",IFERROR(INT((A307-DATE(2026,4,27))/7)+1,""))</f>
        <v/>
      </c>
      <c r="C307" s="22" t="inlineStr">
        <is>
          <t>Push</t>
        </is>
      </c>
      <c r="D307" s="23" t="inlineStr">
        <is>
          <t>Incline DB Press</t>
        </is>
      </c>
      <c r="E307" s="22" t="n">
        <v>2</v>
      </c>
      <c r="F307" s="22" t="n">
        <v>10</v>
      </c>
      <c r="G307" s="38" t="n">
        <v>4</v>
      </c>
      <c r="H307" s="22" t="n">
        <v>7</v>
      </c>
      <c r="I307" s="25">
        <f>IF(OR(F307="",G307=""),"",F307*G307)</f>
        <v/>
      </c>
      <c r="J307" s="38">
        <f>IF(OR(F307="",G307=""),"",ROUND(G307*(1+F307/30),1))</f>
        <v/>
      </c>
      <c r="K307" s="26" t="n"/>
    </row>
    <row r="308" ht="18" customHeight="1">
      <c r="A308" s="35" t="n">
        <v>46226</v>
      </c>
      <c r="B308" s="16">
        <f>IF(A308="","",IFERROR(INT((A308-DATE(2026,4,27))/7)+1,""))</f>
        <v/>
      </c>
      <c r="C308" s="16" t="inlineStr">
        <is>
          <t>Push</t>
        </is>
      </c>
      <c r="D308" s="17" t="inlineStr">
        <is>
          <t>Incline DB Press</t>
        </is>
      </c>
      <c r="E308" s="16" t="n">
        <v>3</v>
      </c>
      <c r="F308" s="16" t="n">
        <v>10</v>
      </c>
      <c r="G308" s="36" t="n">
        <v>4</v>
      </c>
      <c r="H308" s="16" t="n">
        <v>7</v>
      </c>
      <c r="I308" s="19">
        <f>IF(OR(F308="",G308=""),"",F308*G308)</f>
        <v/>
      </c>
      <c r="J308" s="36">
        <f>IF(OR(F308="",G308=""),"",ROUND(G308*(1+F308/30),1))</f>
        <v/>
      </c>
      <c r="K308" s="20" t="n"/>
    </row>
    <row r="309" ht="18" customHeight="1">
      <c r="A309" s="37" t="n">
        <v>46226</v>
      </c>
      <c r="B309" s="22">
        <f>IF(A309="","",IFERROR(INT((A309-DATE(2026,4,27))/7)+1,""))</f>
        <v/>
      </c>
      <c r="C309" s="22" t="inlineStr">
        <is>
          <t>Push</t>
        </is>
      </c>
      <c r="D309" s="23" t="inlineStr">
        <is>
          <t>Pec Deck</t>
        </is>
      </c>
      <c r="E309" s="22" t="n">
        <v>1</v>
      </c>
      <c r="F309" s="22" t="n">
        <v>9</v>
      </c>
      <c r="G309" s="38" t="n">
        <v>2.5</v>
      </c>
      <c r="H309" s="22" t="n">
        <v>9</v>
      </c>
      <c r="I309" s="25">
        <f>IF(OR(F309="",G309=""),"",F309*G309)</f>
        <v/>
      </c>
      <c r="J309" s="38">
        <f>IF(OR(F309="",G309=""),"",ROUND(G309*(1+F309/30),1))</f>
        <v/>
      </c>
      <c r="K309" s="26" t="n"/>
    </row>
    <row r="310" ht="18" customHeight="1">
      <c r="A310" s="35" t="n">
        <v>46226</v>
      </c>
      <c r="B310" s="16">
        <f>IF(A310="","",IFERROR(INT((A310-DATE(2026,4,27))/7)+1,""))</f>
        <v/>
      </c>
      <c r="C310" s="16" t="inlineStr">
        <is>
          <t>Push</t>
        </is>
      </c>
      <c r="D310" s="17" t="inlineStr">
        <is>
          <t>Pec Deck</t>
        </is>
      </c>
      <c r="E310" s="16" t="n">
        <v>2</v>
      </c>
      <c r="F310" s="16" t="n">
        <v>6</v>
      </c>
      <c r="G310" s="36" t="n">
        <v>2.5</v>
      </c>
      <c r="H310" s="16" t="n">
        <v>7</v>
      </c>
      <c r="I310" s="19">
        <f>IF(OR(F310="",G310=""),"",F310*G310)</f>
        <v/>
      </c>
      <c r="J310" s="36">
        <f>IF(OR(F310="",G310=""),"",ROUND(G310*(1+F310/30),1))</f>
        <v/>
      </c>
      <c r="K310" s="20" t="n"/>
    </row>
    <row r="311" ht="18" customHeight="1">
      <c r="A311" s="37" t="n">
        <v>46226</v>
      </c>
      <c r="B311" s="22">
        <f>IF(A311="","",IFERROR(INT((A311-DATE(2026,4,27))/7)+1,""))</f>
        <v/>
      </c>
      <c r="C311" s="22" t="inlineStr">
        <is>
          <t>Push</t>
        </is>
      </c>
      <c r="D311" s="23" t="inlineStr">
        <is>
          <t>Pec Deck</t>
        </is>
      </c>
      <c r="E311" s="22" t="n">
        <v>3</v>
      </c>
      <c r="F311" s="22" t="n">
        <v>4</v>
      </c>
      <c r="G311" s="38" t="n">
        <v>2.5</v>
      </c>
      <c r="H311" s="22" t="n">
        <v>7</v>
      </c>
      <c r="I311" s="25">
        <f>IF(OR(F311="",G311=""),"",F311*G311)</f>
        <v/>
      </c>
      <c r="J311" s="38">
        <f>IF(OR(F311="",G311=""),"",ROUND(G311*(1+F311/30),1))</f>
        <v/>
      </c>
      <c r="K311" s="26" t="n"/>
    </row>
    <row r="312" ht="18" customHeight="1">
      <c r="A312" s="35" t="n">
        <v>46226</v>
      </c>
      <c r="B312" s="16">
        <f>IF(A312="","",IFERROR(INT((A312-DATE(2026,4,27))/7)+1,""))</f>
        <v/>
      </c>
      <c r="C312" s="16" t="inlineStr">
        <is>
          <t>Push</t>
        </is>
      </c>
      <c r="D312" s="17" t="inlineStr">
        <is>
          <t>Triceps Pushdown</t>
        </is>
      </c>
      <c r="E312" s="16" t="n">
        <v>1</v>
      </c>
      <c r="F312" s="16" t="n">
        <v>10</v>
      </c>
      <c r="G312" s="36" t="n">
        <v>12.5</v>
      </c>
      <c r="H312" s="16" t="n">
        <v>6</v>
      </c>
      <c r="I312" s="19">
        <f>IF(OR(F312="",G312=""),"",F312*G312)</f>
        <v/>
      </c>
      <c r="J312" s="36">
        <f>IF(OR(F312="",G312=""),"",ROUND(G312*(1+F312/30),1))</f>
        <v/>
      </c>
      <c r="K312" s="20" t="n"/>
    </row>
    <row r="313" ht="18" customHeight="1">
      <c r="A313" s="37" t="n">
        <v>46226</v>
      </c>
      <c r="B313" s="22">
        <f>IF(A313="","",IFERROR(INT((A313-DATE(2026,4,27))/7)+1,""))</f>
        <v/>
      </c>
      <c r="C313" s="22" t="inlineStr">
        <is>
          <t>Push</t>
        </is>
      </c>
      <c r="D313" s="23" t="inlineStr">
        <is>
          <t>Triceps Pushdown</t>
        </is>
      </c>
      <c r="E313" s="22" t="n">
        <v>2</v>
      </c>
      <c r="F313" s="22" t="n">
        <v>11</v>
      </c>
      <c r="G313" s="38" t="n">
        <v>12.5</v>
      </c>
      <c r="H313" s="22" t="n">
        <v>7</v>
      </c>
      <c r="I313" s="25">
        <f>IF(OR(F313="",G313=""),"",F313*G313)</f>
        <v/>
      </c>
      <c r="J313" s="38">
        <f>IF(OR(F313="",G313=""),"",ROUND(G313*(1+F313/30),1))</f>
        <v/>
      </c>
      <c r="K313" s="26" t="n"/>
    </row>
    <row r="314" ht="18" customHeight="1">
      <c r="A314" s="35" t="n">
        <v>46226</v>
      </c>
      <c r="B314" s="16">
        <f>IF(A314="","",IFERROR(INT((A314-DATE(2026,4,27))/7)+1,""))</f>
        <v/>
      </c>
      <c r="C314" s="16" t="inlineStr">
        <is>
          <t>Push</t>
        </is>
      </c>
      <c r="D314" s="17" t="inlineStr">
        <is>
          <t>Triceps Pushdown</t>
        </is>
      </c>
      <c r="E314" s="16" t="n">
        <v>3</v>
      </c>
      <c r="F314" s="16" t="n">
        <v>10</v>
      </c>
      <c r="G314" s="36" t="n">
        <v>12.5</v>
      </c>
      <c r="H314" s="16" t="n">
        <v>8</v>
      </c>
      <c r="I314" s="19">
        <f>IF(OR(F314="",G314=""),"",F314*G314)</f>
        <v/>
      </c>
      <c r="J314" s="36">
        <f>IF(OR(F314="",G314=""),"",ROUND(G314*(1+F314/30),1))</f>
        <v/>
      </c>
      <c r="K314" s="20" t="n"/>
    </row>
    <row r="315" ht="18" customHeight="1">
      <c r="A315" s="37" t="n">
        <v>46226</v>
      </c>
      <c r="B315" s="22">
        <f>IF(A315="","",IFERROR(INT((A315-DATE(2026,4,27))/7)+1,""))</f>
        <v/>
      </c>
      <c r="C315" s="22" t="inlineStr">
        <is>
          <t>Push</t>
        </is>
      </c>
      <c r="D315" s="23" t="inlineStr">
        <is>
          <t>DB Lateral Raise</t>
        </is>
      </c>
      <c r="E315" s="22" t="n">
        <v>1</v>
      </c>
      <c r="F315" s="22" t="n">
        <v>12</v>
      </c>
      <c r="G315" s="38" t="n">
        <v>2</v>
      </c>
      <c r="H315" s="22" t="n">
        <v>8</v>
      </c>
      <c r="I315" s="25">
        <f>IF(OR(F315="",G315=""),"",F315*G315)</f>
        <v/>
      </c>
      <c r="J315" s="38">
        <f>IF(OR(F315="",G315=""),"",ROUND(G315*(1+F315/30),1))</f>
        <v/>
      </c>
      <c r="K315" s="26" t="n"/>
    </row>
    <row r="316" ht="18" customHeight="1">
      <c r="A316" s="35" t="n">
        <v>46226</v>
      </c>
      <c r="B316" s="16">
        <f>IF(A316="","",IFERROR(INT((A316-DATE(2026,4,27))/7)+1,""))</f>
        <v/>
      </c>
      <c r="C316" s="16" t="inlineStr">
        <is>
          <t>Push</t>
        </is>
      </c>
      <c r="D316" s="17" t="inlineStr">
        <is>
          <t>DB Lateral Raise</t>
        </is>
      </c>
      <c r="E316" s="16" t="n">
        <v>2</v>
      </c>
      <c r="F316" s="16" t="n">
        <v>11</v>
      </c>
      <c r="G316" s="36" t="n">
        <v>2</v>
      </c>
      <c r="H316" s="16" t="n">
        <v>7</v>
      </c>
      <c r="I316" s="19">
        <f>IF(OR(F316="",G316=""),"",F316*G316)</f>
        <v/>
      </c>
      <c r="J316" s="36">
        <f>IF(OR(F316="",G316=""),"",ROUND(G316*(1+F316/30),1))</f>
        <v/>
      </c>
      <c r="K316" s="20" t="n"/>
    </row>
    <row r="317" ht="18" customHeight="1">
      <c r="A317" s="37" t="n">
        <v>46226</v>
      </c>
      <c r="B317" s="22">
        <f>IF(A317="","",IFERROR(INT((A317-DATE(2026,4,27))/7)+1,""))</f>
        <v/>
      </c>
      <c r="C317" s="22" t="inlineStr">
        <is>
          <t>Push</t>
        </is>
      </c>
      <c r="D317" s="23" t="inlineStr">
        <is>
          <t>DB Lateral Raise</t>
        </is>
      </c>
      <c r="E317" s="22" t="n">
        <v>3</v>
      </c>
      <c r="F317" s="22" t="n">
        <v>11</v>
      </c>
      <c r="G317" s="38" t="n">
        <v>2</v>
      </c>
      <c r="H317" s="22" t="n">
        <v>7</v>
      </c>
      <c r="I317" s="25">
        <f>IF(OR(F317="",G317=""),"",F317*G317)</f>
        <v/>
      </c>
      <c r="J317" s="38">
        <f>IF(OR(F317="",G317=""),"",ROUND(G317*(1+F317/30),1))</f>
        <v/>
      </c>
      <c r="K317" s="26" t="n"/>
    </row>
    <row r="318" ht="18" customHeight="1">
      <c r="A318" s="35" t="n">
        <v>46226</v>
      </c>
      <c r="B318" s="16">
        <f>IF(A318="","",IFERROR(INT((A318-DATE(2026,4,27))/7)+1,""))</f>
        <v/>
      </c>
      <c r="C318" s="16" t="inlineStr">
        <is>
          <t>Push</t>
        </is>
      </c>
      <c r="D318" s="17" t="inlineStr">
        <is>
          <t>Lat Pulldown</t>
        </is>
      </c>
      <c r="E318" s="16" t="n">
        <v>1</v>
      </c>
      <c r="F318" s="16" t="n">
        <v>10</v>
      </c>
      <c r="G318" s="36" t="n">
        <v>30</v>
      </c>
      <c r="H318" s="16" t="n">
        <v>7</v>
      </c>
      <c r="I318" s="19">
        <f>IF(OR(F318="",G318=""),"",F318*G318)</f>
        <v/>
      </c>
      <c r="J318" s="36">
        <f>IF(OR(F318="",G318=""),"",ROUND(G318*(1+F318/30),1))</f>
        <v/>
      </c>
      <c r="K318" s="20" t="n"/>
    </row>
    <row r="319" ht="18" customHeight="1">
      <c r="A319" s="37" t="n">
        <v>46226</v>
      </c>
      <c r="B319" s="22">
        <f>IF(A319="","",IFERROR(INT((A319-DATE(2026,4,27))/7)+1,""))</f>
        <v/>
      </c>
      <c r="C319" s="22" t="inlineStr">
        <is>
          <t>Push</t>
        </is>
      </c>
      <c r="D319" s="23" t="inlineStr">
        <is>
          <t>Lat Pulldown</t>
        </is>
      </c>
      <c r="E319" s="22" t="n">
        <v>2</v>
      </c>
      <c r="F319" s="22" t="n">
        <v>10</v>
      </c>
      <c r="G319" s="38" t="n">
        <v>30</v>
      </c>
      <c r="H319" s="22" t="n">
        <v>8</v>
      </c>
      <c r="I319" s="25">
        <f>IF(OR(F319="",G319=""),"",F319*G319)</f>
        <v/>
      </c>
      <c r="J319" s="38">
        <f>IF(OR(F319="",G319=""),"",ROUND(G319*(1+F319/30),1))</f>
        <v/>
      </c>
      <c r="K319" s="26" t="n"/>
    </row>
    <row r="320" ht="18" customHeight="1">
      <c r="A320" s="35" t="n">
        <v>46265</v>
      </c>
      <c r="B320" s="16">
        <f>IF(A320="","",IFERROR(INT((A320-DATE(2026,4,27))/7)+1,""))</f>
        <v/>
      </c>
      <c r="C320" s="16" t="inlineStr">
        <is>
          <t>Cali Full Body</t>
        </is>
      </c>
      <c r="D320" s="17" t="inlineStr">
        <is>
          <t>Push-up (incline 3)</t>
        </is>
      </c>
      <c r="E320" s="16" t="n">
        <v>1</v>
      </c>
      <c r="F320" s="16" t="n">
        <v>12</v>
      </c>
      <c r="G320" s="36" t="n"/>
      <c r="H320" s="16" t="n">
        <v>6</v>
      </c>
      <c r="I320" s="19">
        <f>IF(OR(F320="",G320=""),"",F320*G320)</f>
        <v/>
      </c>
      <c r="J320" s="36">
        <f>IF(OR(F320="",G320=""),"",ROUND(G320*(1+F320/30),1))</f>
        <v/>
      </c>
      <c r="K320" s="20" t="inlineStr">
        <is>
          <t>BW leverage. Gate CLEARED 4x12 @RPE6 -&gt; next rung incline 2, then strict floor. NOT feet-elevated.</t>
        </is>
      </c>
    </row>
    <row r="321" ht="18" customHeight="1">
      <c r="A321" s="37" t="n">
        <v>46265</v>
      </c>
      <c r="B321" s="22">
        <f>IF(A321="","",IFERROR(INT((A321-DATE(2026,4,27))/7)+1,""))</f>
        <v/>
      </c>
      <c r="C321" s="22" t="inlineStr">
        <is>
          <t>Cali Full Body</t>
        </is>
      </c>
      <c r="D321" s="23" t="inlineStr">
        <is>
          <t>Push-up (incline 3)</t>
        </is>
      </c>
      <c r="E321" s="22" t="n">
        <v>2</v>
      </c>
      <c r="F321" s="22" t="n">
        <v>12</v>
      </c>
      <c r="G321" s="38" t="n"/>
      <c r="H321" s="22" t="n">
        <v>6</v>
      </c>
      <c r="I321" s="25">
        <f>IF(OR(F321="",G321=""),"",F321*G321)</f>
        <v/>
      </c>
      <c r="J321" s="38">
        <f>IF(OR(F321="",G321=""),"",ROUND(G321*(1+F321/30),1))</f>
        <v/>
      </c>
      <c r="K321" s="26" t="n"/>
    </row>
    <row r="322" ht="18" customHeight="1">
      <c r="A322" s="35" t="n">
        <v>46265</v>
      </c>
      <c r="B322" s="16">
        <f>IF(A322="","",IFERROR(INT((A322-DATE(2026,4,27))/7)+1,""))</f>
        <v/>
      </c>
      <c r="C322" s="16" t="inlineStr">
        <is>
          <t>Cali Full Body</t>
        </is>
      </c>
      <c r="D322" s="17" t="inlineStr">
        <is>
          <t>Push-up (incline 3)</t>
        </is>
      </c>
      <c r="E322" s="16" t="n">
        <v>3</v>
      </c>
      <c r="F322" s="16" t="n">
        <v>12</v>
      </c>
      <c r="G322" s="36" t="n"/>
      <c r="H322" s="16" t="n">
        <v>6</v>
      </c>
      <c r="I322" s="19">
        <f>IF(OR(F322="",G322=""),"",F322*G322)</f>
        <v/>
      </c>
      <c r="J322" s="36">
        <f>IF(OR(F322="",G322=""),"",ROUND(G322*(1+F322/30),1))</f>
        <v/>
      </c>
      <c r="K322" s="20" t="n"/>
    </row>
    <row r="323" ht="18" customHeight="1">
      <c r="A323" s="37" t="n">
        <v>46265</v>
      </c>
      <c r="B323" s="22">
        <f>IF(A323="","",IFERROR(INT((A323-DATE(2026,4,27))/7)+1,""))</f>
        <v/>
      </c>
      <c r="C323" s="22" t="inlineStr">
        <is>
          <t>Cali Full Body</t>
        </is>
      </c>
      <c r="D323" s="23" t="inlineStr">
        <is>
          <t>Push-up (incline 3)</t>
        </is>
      </c>
      <c r="E323" s="22" t="n">
        <v>4</v>
      </c>
      <c r="F323" s="22" t="n">
        <v>12</v>
      </c>
      <c r="G323" s="38" t="n"/>
      <c r="H323" s="22" t="n">
        <v>6</v>
      </c>
      <c r="I323" s="25">
        <f>IF(OR(F323="",G323=""),"",F323*G323)</f>
        <v/>
      </c>
      <c r="J323" s="38">
        <f>IF(OR(F323="",G323=""),"",ROUND(G323*(1+F323/30),1))</f>
        <v/>
      </c>
      <c r="K323" s="26" t="n"/>
    </row>
    <row r="324" ht="18" customHeight="1">
      <c r="A324" s="35" t="n">
        <v>46265</v>
      </c>
      <c r="B324" s="16">
        <f>IF(A324="","",IFERROR(INT((A324-DATE(2026,4,27))/7)+1,""))</f>
        <v/>
      </c>
      <c r="C324" s="16" t="inlineStr">
        <is>
          <t>Cali Full Body</t>
        </is>
      </c>
      <c r="D324" s="17" t="inlineStr">
        <is>
          <t>Inverted Row (bar 3)</t>
        </is>
      </c>
      <c r="E324" s="16" t="n">
        <v>1</v>
      </c>
      <c r="F324" s="16" t="n">
        <v>11</v>
      </c>
      <c r="G324" s="36" t="n"/>
      <c r="H324" s="16" t="n">
        <v>9</v>
      </c>
      <c r="I324" s="19">
        <f>IF(OR(F324="",G324=""),"",F324*G324)</f>
        <v/>
      </c>
      <c r="J324" s="36">
        <f>IF(OR(F324="",G324=""),"",ROUND(G324*(1+F324/30),1))</f>
        <v/>
      </c>
      <c r="K324" s="20" t="inlineStr">
        <is>
          <t>OVER-LOADED. Rep decay 11-&gt;7 w/ RPE pinned 9 = bar too low. Next: raise bar to setting 4, target RPE 7-8.</t>
        </is>
      </c>
    </row>
    <row r="325" ht="18" customHeight="1">
      <c r="A325" s="37" t="n">
        <v>46265</v>
      </c>
      <c r="B325" s="22">
        <f>IF(A325="","",IFERROR(INT((A325-DATE(2026,4,27))/7)+1,""))</f>
        <v/>
      </c>
      <c r="C325" s="22" t="inlineStr">
        <is>
          <t>Cali Full Body</t>
        </is>
      </c>
      <c r="D325" s="23" t="inlineStr">
        <is>
          <t>Inverted Row (bar 3)</t>
        </is>
      </c>
      <c r="E325" s="22" t="n">
        <v>2</v>
      </c>
      <c r="F325" s="22" t="n">
        <v>10</v>
      </c>
      <c r="G325" s="38" t="n"/>
      <c r="H325" s="22" t="n">
        <v>9</v>
      </c>
      <c r="I325" s="25">
        <f>IF(OR(F325="",G325=""),"",F325*G325)</f>
        <v/>
      </c>
      <c r="J325" s="38">
        <f>IF(OR(F325="",G325=""),"",ROUND(G325*(1+F325/30),1))</f>
        <v/>
      </c>
      <c r="K325" s="26" t="n"/>
    </row>
    <row r="326" ht="18" customHeight="1">
      <c r="A326" s="35" t="n">
        <v>46265</v>
      </c>
      <c r="B326" s="16">
        <f>IF(A326="","",IFERROR(INT((A326-DATE(2026,4,27))/7)+1,""))</f>
        <v/>
      </c>
      <c r="C326" s="16" t="inlineStr">
        <is>
          <t>Cali Full Body</t>
        </is>
      </c>
      <c r="D326" s="17" t="inlineStr">
        <is>
          <t>Inverted Row (bar 3)</t>
        </is>
      </c>
      <c r="E326" s="16" t="n">
        <v>3</v>
      </c>
      <c r="F326" s="16" t="n">
        <v>8</v>
      </c>
      <c r="G326" s="36" t="n"/>
      <c r="H326" s="16" t="n">
        <v>9</v>
      </c>
      <c r="I326" s="19">
        <f>IF(OR(F326="",G326=""),"",F326*G326)</f>
        <v/>
      </c>
      <c r="J326" s="36">
        <f>IF(OR(F326="",G326=""),"",ROUND(G326*(1+F326/30),1))</f>
        <v/>
      </c>
      <c r="K326" s="20" t="n"/>
    </row>
    <row r="327" ht="18" customHeight="1">
      <c r="A327" s="37" t="n">
        <v>46265</v>
      </c>
      <c r="B327" s="22">
        <f>IF(A327="","",IFERROR(INT((A327-DATE(2026,4,27))/7)+1,""))</f>
        <v/>
      </c>
      <c r="C327" s="22" t="inlineStr">
        <is>
          <t>Cali Full Body</t>
        </is>
      </c>
      <c r="D327" s="23" t="inlineStr">
        <is>
          <t>Inverted Row (bar 3)</t>
        </is>
      </c>
      <c r="E327" s="22" t="n">
        <v>4</v>
      </c>
      <c r="F327" s="22" t="n">
        <v>7</v>
      </c>
      <c r="G327" s="38" t="n"/>
      <c r="H327" s="22" t="n">
        <v>9</v>
      </c>
      <c r="I327" s="25">
        <f>IF(OR(F327="",G327=""),"",F327*G327)</f>
        <v/>
      </c>
      <c r="J327" s="38">
        <f>IF(OR(F327="",G327=""),"",ROUND(G327*(1+F327/30),1))</f>
        <v/>
      </c>
      <c r="K327" s="26" t="n"/>
    </row>
    <row r="328" ht="18" customHeight="1">
      <c r="A328" s="35" t="n">
        <v>46265</v>
      </c>
      <c r="B328" s="16">
        <f>IF(A328="","",IFERROR(INT((A328-DATE(2026,4,27))/7)+1,""))</f>
        <v/>
      </c>
      <c r="C328" s="16" t="inlineStr">
        <is>
          <t>Cali Full Body</t>
        </is>
      </c>
      <c r="D328" s="17" t="inlineStr">
        <is>
          <t>Pull-up (low bar, feet-assisted)</t>
        </is>
      </c>
      <c r="E328" s="16" t="n">
        <v>1</v>
      </c>
      <c r="F328" s="16" t="n">
        <v>5</v>
      </c>
      <c r="G328" s="36" t="n"/>
      <c r="H328" s="16" t="n">
        <v>10</v>
      </c>
      <c r="I328" s="19">
        <f>IF(OR(F328="",G328=""),"",F328*G328)</f>
        <v/>
      </c>
      <c r="J328" s="36">
        <f>IF(OR(F328="",G328=""),"",ROUND(G328*(1+F328/30),1))</f>
        <v/>
      </c>
      <c r="K328" s="20" t="inlineStr">
        <is>
          <t>BASELINE ANCHOR: 5 clean reps at low-bar feet-assist. RPE 10 RIR 0 = over-cap, inflated by 4 prior row sets @RPE9. Next: more foot assist -&gt; RPE 8.</t>
        </is>
      </c>
    </row>
    <row r="329" ht="18" customHeight="1">
      <c r="A329" s="37" t="n">
        <v>46265</v>
      </c>
      <c r="B329" s="22">
        <f>IF(A329="","",IFERROR(INT((A329-DATE(2026,4,27))/7)+1,""))</f>
        <v/>
      </c>
      <c r="C329" s="22" t="inlineStr">
        <is>
          <t>Cali Full Body</t>
        </is>
      </c>
      <c r="D329" s="23" t="inlineStr">
        <is>
          <t>Pull-up (low bar, feet-assisted)</t>
        </is>
      </c>
      <c r="E329" s="22" t="n">
        <v>2</v>
      </c>
      <c r="F329" s="22" t="n">
        <v>5</v>
      </c>
      <c r="G329" s="38" t="n"/>
      <c r="H329" s="22" t="n">
        <v>10</v>
      </c>
      <c r="I329" s="25">
        <f>IF(OR(F329="",G329=""),"",F329*G329)</f>
        <v/>
      </c>
      <c r="J329" s="38">
        <f>IF(OR(F329="",G329=""),"",ROUND(G329*(1+F329/30),1))</f>
        <v/>
      </c>
      <c r="K329" s="26" t="n"/>
    </row>
    <row r="330" ht="18" customHeight="1">
      <c r="A330" s="35" t="n">
        <v>46265</v>
      </c>
      <c r="B330" s="16">
        <f>IF(A330="","",IFERROR(INT((A330-DATE(2026,4,27))/7)+1,""))</f>
        <v/>
      </c>
      <c r="C330" s="16" t="inlineStr">
        <is>
          <t>Cali Full Body</t>
        </is>
      </c>
      <c r="D330" s="17" t="inlineStr">
        <is>
          <t>Pull-up (low bar, feet-assisted)</t>
        </is>
      </c>
      <c r="E330" s="16" t="n">
        <v>3</v>
      </c>
      <c r="F330" s="16" t="n">
        <v>5</v>
      </c>
      <c r="G330" s="36" t="n"/>
      <c r="H330" s="16" t="n">
        <v>10</v>
      </c>
      <c r="I330" s="19">
        <f>IF(OR(F330="",G330=""),"",F330*G330)</f>
        <v/>
      </c>
      <c r="J330" s="36">
        <f>IF(OR(F330="",G330=""),"",ROUND(G330*(1+F330/30),1))</f>
        <v/>
      </c>
      <c r="K330" s="20" t="n"/>
    </row>
    <row r="331" ht="18" customHeight="1">
      <c r="A331" s="37" t="n">
        <v>46265</v>
      </c>
      <c r="B331" s="22">
        <f>IF(A331="","",IFERROR(INT((A331-DATE(2026,4,27))/7)+1,""))</f>
        <v/>
      </c>
      <c r="C331" s="22" t="inlineStr">
        <is>
          <t>Cali Full Body</t>
        </is>
      </c>
      <c r="D331" s="23" t="inlineStr">
        <is>
          <t>Pike Push-up (high box)</t>
        </is>
      </c>
      <c r="E331" s="22" t="n">
        <v>1</v>
      </c>
      <c r="F331" s="22" t="n">
        <v>7</v>
      </c>
      <c r="G331" s="38" t="n"/>
      <c r="H331" s="22" t="n">
        <v>7</v>
      </c>
      <c r="I331" s="25">
        <f>IF(OR(F331="",G331=""),"",F331*G331)</f>
        <v/>
      </c>
      <c r="J331" s="38">
        <f>IF(OR(F331="",G331=""),"",ROUND(G331*(1+F331/30),1))</f>
        <v/>
      </c>
      <c r="K331" s="26" t="inlineStr">
        <is>
          <t>On target. Hold high box, build 7-&gt;10 reps before lowering.</t>
        </is>
      </c>
    </row>
    <row r="332" ht="18" customHeight="1">
      <c r="A332" s="35" t="n">
        <v>46265</v>
      </c>
      <c r="B332" s="16">
        <f>IF(A332="","",IFERROR(INT((A332-DATE(2026,4,27))/7)+1,""))</f>
        <v/>
      </c>
      <c r="C332" s="16" t="inlineStr">
        <is>
          <t>Cali Full Body</t>
        </is>
      </c>
      <c r="D332" s="17" t="inlineStr">
        <is>
          <t>Pike Push-up (high box)</t>
        </is>
      </c>
      <c r="E332" s="16" t="n">
        <v>2</v>
      </c>
      <c r="F332" s="16" t="n">
        <v>7</v>
      </c>
      <c r="G332" s="36" t="n"/>
      <c r="H332" s="16" t="n">
        <v>7</v>
      </c>
      <c r="I332" s="19">
        <f>IF(OR(F332="",G332=""),"",F332*G332)</f>
        <v/>
      </c>
      <c r="J332" s="36">
        <f>IF(OR(F332="",G332=""),"",ROUND(G332*(1+F332/30),1))</f>
        <v/>
      </c>
      <c r="K332" s="20" t="n"/>
    </row>
    <row r="333" ht="18" customHeight="1">
      <c r="A333" s="37" t="n">
        <v>46265</v>
      </c>
      <c r="B333" s="22">
        <f>IF(A333="","",IFERROR(INT((A333-DATE(2026,4,27))/7)+1,""))</f>
        <v/>
      </c>
      <c r="C333" s="22" t="inlineStr">
        <is>
          <t>Cali Full Body</t>
        </is>
      </c>
      <c r="D333" s="23" t="inlineStr">
        <is>
          <t>Pike Push-up (high box)</t>
        </is>
      </c>
      <c r="E333" s="22" t="n">
        <v>3</v>
      </c>
      <c r="F333" s="22" t="n">
        <v>7</v>
      </c>
      <c r="G333" s="38" t="n"/>
      <c r="H333" s="22" t="n">
        <v>7</v>
      </c>
      <c r="I333" s="25">
        <f>IF(OR(F333="",G333=""),"",F333*G333)</f>
        <v/>
      </c>
      <c r="J333" s="38">
        <f>IF(OR(F333="",G333=""),"",ROUND(G333*(1+F333/30),1))</f>
        <v/>
      </c>
      <c r="K333" s="26" t="n"/>
    </row>
    <row r="334" ht="18" customHeight="1">
      <c r="A334" s="35" t="n">
        <v>46265</v>
      </c>
      <c r="B334" s="16">
        <f>IF(A334="","",IFERROR(INT((A334-DATE(2026,4,27))/7)+1,""))</f>
        <v/>
      </c>
      <c r="C334" s="16" t="inlineStr">
        <is>
          <t>Cali Full Body</t>
        </is>
      </c>
      <c r="D334" s="17" t="inlineStr">
        <is>
          <t>Bulgarian Split Squat (BW)</t>
        </is>
      </c>
      <c r="E334" s="16" t="n">
        <v>1</v>
      </c>
      <c r="F334" s="16" t="n">
        <v>6</v>
      </c>
      <c r="G334" s="36" t="n"/>
      <c r="H334" s="16" t="n">
        <v>5</v>
      </c>
      <c r="I334" s="19">
        <f>IF(OR(F334="",G334=""),"",F334*G334)</f>
        <v/>
      </c>
      <c r="J334" s="36">
        <f>IF(OR(F334="",G334=""),"",ROUND(G334*(1+F334/30),1))</f>
        <v/>
      </c>
      <c r="K334" s="20" t="inlineStr">
        <is>
          <t>reps per leg. LEGS RPE 6 HARD CAP respected — stopped short of 10/leg deliberately. Correct execution, not a miss.</t>
        </is>
      </c>
    </row>
    <row r="335" ht="18" customHeight="1">
      <c r="A335" s="37" t="n">
        <v>46265</v>
      </c>
      <c r="B335" s="22">
        <f>IF(A335="","",IFERROR(INT((A335-DATE(2026,4,27))/7)+1,""))</f>
        <v/>
      </c>
      <c r="C335" s="22" t="inlineStr">
        <is>
          <t>Cali Full Body</t>
        </is>
      </c>
      <c r="D335" s="23" t="inlineStr">
        <is>
          <t>Bulgarian Split Squat (BW)</t>
        </is>
      </c>
      <c r="E335" s="22" t="n">
        <v>2</v>
      </c>
      <c r="F335" s="22" t="n">
        <v>7</v>
      </c>
      <c r="G335" s="38" t="n"/>
      <c r="H335" s="22" t="n">
        <v>6</v>
      </c>
      <c r="I335" s="25">
        <f>IF(OR(F335="",G335=""),"",F335*G335)</f>
        <v/>
      </c>
      <c r="J335" s="38">
        <f>IF(OR(F335="",G335=""),"",ROUND(G335*(1+F335/30),1))</f>
        <v/>
      </c>
      <c r="K335" s="26" t="n"/>
    </row>
    <row r="336" ht="18" customHeight="1">
      <c r="A336" s="35" t="n">
        <v>46265</v>
      </c>
      <c r="B336" s="16">
        <f>IF(A336="","",IFERROR(INT((A336-DATE(2026,4,27))/7)+1,""))</f>
        <v/>
      </c>
      <c r="C336" s="16" t="inlineStr">
        <is>
          <t>Cali Full Body</t>
        </is>
      </c>
      <c r="D336" s="17" t="inlineStr">
        <is>
          <t>Bulgarian Split Squat (BW)</t>
        </is>
      </c>
      <c r="E336" s="16" t="n">
        <v>3</v>
      </c>
      <c r="F336" s="16" t="n">
        <v>7</v>
      </c>
      <c r="G336" s="36" t="n"/>
      <c r="H336" s="16" t="n">
        <v>6</v>
      </c>
      <c r="I336" s="19">
        <f>IF(OR(F336="",G336=""),"",F336*G336)</f>
        <v/>
      </c>
      <c r="J336" s="36">
        <f>IF(OR(F336="",G336=""),"",ROUND(G336*(1+F336/30),1))</f>
        <v/>
      </c>
      <c r="K336" s="20" t="n"/>
    </row>
    <row r="337" ht="18" customHeight="1">
      <c r="A337" s="37" t="n">
        <v>46265</v>
      </c>
      <c r="B337" s="22">
        <f>IF(A337="","",IFERROR(INT((A337-DATE(2026,4,27))/7)+1,""))</f>
        <v/>
      </c>
      <c r="C337" s="22" t="inlineStr">
        <is>
          <t>Cali Full Body</t>
        </is>
      </c>
      <c r="D337" s="23" t="inlineStr">
        <is>
          <t>Single-Leg RDL (BW)</t>
        </is>
      </c>
      <c r="E337" s="22" t="n">
        <v>1</v>
      </c>
      <c r="F337" s="22" t="n">
        <v>8</v>
      </c>
      <c r="G337" s="38" t="n"/>
      <c r="H337" s="22" t="n">
        <v>6</v>
      </c>
      <c r="I337" s="25">
        <f>IF(OR(F337="",G337=""),"",F337*G337)</f>
        <v/>
      </c>
      <c r="J337" s="38">
        <f>IF(OR(F337="",G337=""),"",ROUND(G337*(1+F337/30),1))</f>
        <v/>
      </c>
      <c r="K337" s="26" t="inlineStr">
        <is>
          <t>reps per leg. RPE 6 cap respected. Hold BW.</t>
        </is>
      </c>
    </row>
    <row r="338" ht="18" customHeight="1">
      <c r="A338" s="35" t="n">
        <v>46265</v>
      </c>
      <c r="B338" s="16">
        <f>IF(A338="","",IFERROR(INT((A338-DATE(2026,4,27))/7)+1,""))</f>
        <v/>
      </c>
      <c r="C338" s="16" t="inlineStr">
        <is>
          <t>Cali Full Body</t>
        </is>
      </c>
      <c r="D338" s="17" t="inlineStr">
        <is>
          <t>Single-Leg RDL (BW)</t>
        </is>
      </c>
      <c r="E338" s="16" t="n">
        <v>2</v>
      </c>
      <c r="F338" s="16" t="n">
        <v>7</v>
      </c>
      <c r="G338" s="36" t="n"/>
      <c r="H338" s="16" t="n">
        <v>6</v>
      </c>
      <c r="I338" s="19">
        <f>IF(OR(F338="",G338=""),"",F338*G338)</f>
        <v/>
      </c>
      <c r="J338" s="36">
        <f>IF(OR(F338="",G338=""),"",ROUND(G338*(1+F338/30),1))</f>
        <v/>
      </c>
      <c r="K338" s="20" t="n"/>
    </row>
    <row r="339" ht="18" customHeight="1">
      <c r="A339" s="37" t="n">
        <v>46265</v>
      </c>
      <c r="B339" s="22">
        <f>IF(A339="","",IFERROR(INT((A339-DATE(2026,4,27))/7)+1,""))</f>
        <v/>
      </c>
      <c r="C339" s="22" t="inlineStr">
        <is>
          <t>Cali Full Body</t>
        </is>
      </c>
      <c r="D339" s="23" t="inlineStr">
        <is>
          <t>Single-Leg RDL (BW)</t>
        </is>
      </c>
      <c r="E339" s="22" t="n">
        <v>3</v>
      </c>
      <c r="F339" s="22" t="n">
        <v>7</v>
      </c>
      <c r="G339" s="38" t="n"/>
      <c r="H339" s="22" t="n">
        <v>6</v>
      </c>
      <c r="I339" s="25">
        <f>IF(OR(F339="",G339=""),"",F339*G339)</f>
        <v/>
      </c>
      <c r="J339" s="38">
        <f>IF(OR(F339="",G339=""),"",ROUND(G339*(1+F339/30),1))</f>
        <v/>
      </c>
      <c r="K339" s="26" t="n"/>
    </row>
    <row r="340" ht="18" customHeight="1">
      <c r="A340" s="35" t="n">
        <v>46265</v>
      </c>
      <c r="B340" s="16">
        <f>IF(A340="","",IFERROR(INT((A340-DATE(2026,4,27))/7)+1,""))</f>
        <v/>
      </c>
      <c r="C340" s="16" t="inlineStr">
        <is>
          <t>Cali Full Body</t>
        </is>
      </c>
      <c r="D340" s="17" t="inlineStr">
        <is>
          <t>Tibialis Raise (BW)</t>
        </is>
      </c>
      <c r="E340" s="16" t="n">
        <v>1</v>
      </c>
      <c r="F340" s="16" t="n">
        <v>20</v>
      </c>
      <c r="G340" s="36" t="n"/>
      <c r="H340" s="16" t="n">
        <v>8</v>
      </c>
      <c r="I340" s="19">
        <f>IF(OR(F340="",G340=""),"",F340*G340)</f>
        <v/>
      </c>
      <c r="J340" s="36">
        <f>IF(OR(F340="",G340=""),"",ROUND(G340*(1+F340/30),1))</f>
        <v/>
      </c>
      <c r="K340" s="20" t="inlineStr">
        <is>
          <t>MANDATORY. Anterior tib untrained: RPE 8 set 1 + decay 20-&gt;15. Hold BW 3x20 no load until all sets 20 @RPE&lt;=7.</t>
        </is>
      </c>
    </row>
    <row r="341" ht="18" customHeight="1">
      <c r="A341" s="37" t="n">
        <v>46265</v>
      </c>
      <c r="B341" s="22">
        <f>IF(A341="","",IFERROR(INT((A341-DATE(2026,4,27))/7)+1,""))</f>
        <v/>
      </c>
      <c r="C341" s="22" t="inlineStr">
        <is>
          <t>Cali Full Body</t>
        </is>
      </c>
      <c r="D341" s="23" t="inlineStr">
        <is>
          <t>Tibialis Raise (BW)</t>
        </is>
      </c>
      <c r="E341" s="22" t="n">
        <v>2</v>
      </c>
      <c r="F341" s="22" t="n">
        <v>15</v>
      </c>
      <c r="G341" s="38" t="n"/>
      <c r="H341" s="22" t="n">
        <v>7</v>
      </c>
      <c r="I341" s="25">
        <f>IF(OR(F341="",G341=""),"",F341*G341)</f>
        <v/>
      </c>
      <c r="J341" s="38">
        <f>IF(OR(F341="",G341=""),"",ROUND(G341*(1+F341/30),1))</f>
        <v/>
      </c>
      <c r="K341" s="26" t="n"/>
    </row>
    <row r="342" ht="18" customHeight="1">
      <c r="A342" s="35" t="n">
        <v>46265</v>
      </c>
      <c r="B342" s="16">
        <f>IF(A342="","",IFERROR(INT((A342-DATE(2026,4,27))/7)+1,""))</f>
        <v/>
      </c>
      <c r="C342" s="16" t="inlineStr">
        <is>
          <t>Cali Full Body</t>
        </is>
      </c>
      <c r="D342" s="17" t="inlineStr">
        <is>
          <t>Tibialis Raise (BW)</t>
        </is>
      </c>
      <c r="E342" s="16" t="n">
        <v>3</v>
      </c>
      <c r="F342" s="16" t="n">
        <v>15</v>
      </c>
      <c r="G342" s="36" t="n"/>
      <c r="H342" s="16" t="n">
        <v>7</v>
      </c>
      <c r="I342" s="19">
        <f>IF(OR(F342="",G342=""),"",F342*G342)</f>
        <v/>
      </c>
      <c r="J342" s="36">
        <f>IF(OR(F342="",G342=""),"",ROUND(G342*(1+F342/30),1))</f>
        <v/>
      </c>
      <c r="K342" s="20" t="n"/>
    </row>
    <row r="343" ht="18" customHeight="1">
      <c r="A343" s="37" t="n">
        <v>46265</v>
      </c>
      <c r="B343" s="22">
        <f>IF(A343="","",IFERROR(INT((A343-DATE(2026,4,27))/7)+1,""))</f>
        <v/>
      </c>
      <c r="C343" s="22" t="inlineStr">
        <is>
          <t>Cali Full Body</t>
        </is>
      </c>
      <c r="D343" s="23" t="inlineStr">
        <is>
          <t>Hanging Knee Raise (BW)</t>
        </is>
      </c>
      <c r="E343" s="22" t="n">
        <v>1</v>
      </c>
      <c r="F343" s="22" t="n">
        <v>8</v>
      </c>
      <c r="G343" s="38" t="n"/>
      <c r="H343" s="22" t="n">
        <v>7</v>
      </c>
      <c r="I343" s="25">
        <f>IF(OR(F343="",G343=""),"",F343*G343)</f>
        <v/>
      </c>
      <c r="J343" s="38">
        <f>IF(OR(F343="",G343=""),"",ROUND(G343*(1+F343/30),1))</f>
        <v/>
      </c>
      <c r="K343" s="26" t="inlineStr">
        <is>
          <t>Bottom of range. Hold, build 8-&gt;12.</t>
        </is>
      </c>
    </row>
    <row r="344" ht="18" customHeight="1">
      <c r="A344" s="35" t="n">
        <v>46265</v>
      </c>
      <c r="B344" s="16">
        <f>IF(A344="","",IFERROR(INT((A344-DATE(2026,4,27))/7)+1,""))</f>
        <v/>
      </c>
      <c r="C344" s="16" t="inlineStr">
        <is>
          <t>Cali Full Body</t>
        </is>
      </c>
      <c r="D344" s="17" t="inlineStr">
        <is>
          <t>Hanging Knee Raise (BW)</t>
        </is>
      </c>
      <c r="E344" s="16" t="n">
        <v>2</v>
      </c>
      <c r="F344" s="16" t="n">
        <v>8</v>
      </c>
      <c r="G344" s="36" t="n"/>
      <c r="H344" s="16" t="n">
        <v>7</v>
      </c>
      <c r="I344" s="19">
        <f>IF(OR(F344="",G344=""),"",F344*G344)</f>
        <v/>
      </c>
      <c r="J344" s="36">
        <f>IF(OR(F344="",G344=""),"",ROUND(G344*(1+F344/30),1))</f>
        <v/>
      </c>
      <c r="K344" s="20" t="n"/>
    </row>
    <row r="345" ht="18" customHeight="1">
      <c r="A345" s="37" t="n">
        <v>46265</v>
      </c>
      <c r="B345" s="22">
        <f>IF(A345="","",IFERROR(INT((A345-DATE(2026,4,27))/7)+1,""))</f>
        <v/>
      </c>
      <c r="C345" s="22" t="inlineStr">
        <is>
          <t>Cali Full Body</t>
        </is>
      </c>
      <c r="D345" s="23" t="inlineStr">
        <is>
          <t>Hanging Knee Raise (BW)</t>
        </is>
      </c>
      <c r="E345" s="22" t="n">
        <v>3</v>
      </c>
      <c r="F345" s="22" t="n">
        <v>8</v>
      </c>
      <c r="G345" s="38" t="n"/>
      <c r="H345" s="22" t="n">
        <v>7</v>
      </c>
      <c r="I345" s="25">
        <f>IF(OR(F345="",G345=""),"",F345*G345)</f>
        <v/>
      </c>
      <c r="J345" s="38">
        <f>IF(OR(F345="",G345=""),"",ROUND(G345*(1+F345/30),1))</f>
        <v/>
      </c>
      <c r="K345" s="26" t="n"/>
    </row>
    <row r="346" ht="18" customHeight="1">
      <c r="A346" s="35" t="n">
        <v>46265</v>
      </c>
      <c r="B346" s="16">
        <f>IF(A346="","",IFERROR(INT((A346-DATE(2026,4,27))/7)+1,""))</f>
        <v/>
      </c>
      <c r="C346" s="16" t="inlineStr">
        <is>
          <t>Cali Full Body</t>
        </is>
      </c>
      <c r="D346" s="17" t="inlineStr">
        <is>
          <t>Side Plank (BW)</t>
        </is>
      </c>
      <c r="E346" s="16" t="n">
        <v>1</v>
      </c>
      <c r="F346" s="16" t="n">
        <v>30</v>
      </c>
      <c r="G346" s="36" t="n"/>
      <c r="H346" s="16" t="n">
        <v>8</v>
      </c>
      <c r="I346" s="19">
        <f>IF(OR(F346="",G346=""),"",F346*G346)</f>
        <v/>
      </c>
      <c r="J346" s="36">
        <f>IF(OR(F346="",G346=""),"",ROUND(G346*(1+F346/30),1))</f>
        <v/>
      </c>
      <c r="K346" s="20" t="inlineStr">
        <is>
          <t>reps col = seconds PER SIDE. RPE 8 @30s = weak lateral hip. Hold 2x30s until RPE&lt;=7 then 2x45s.</t>
        </is>
      </c>
    </row>
    <row r="347" ht="18" customHeight="1">
      <c r="A347" s="37" t="n">
        <v>46265</v>
      </c>
      <c r="B347" s="22">
        <f>IF(A347="","",IFERROR(INT((A347-DATE(2026,4,27))/7)+1,""))</f>
        <v/>
      </c>
      <c r="C347" s="22" t="inlineStr">
        <is>
          <t>Cali Full Body</t>
        </is>
      </c>
      <c r="D347" s="23" t="inlineStr">
        <is>
          <t>Side Plank (BW)</t>
        </is>
      </c>
      <c r="E347" s="22" t="n">
        <v>2</v>
      </c>
      <c r="F347" s="22" t="n">
        <v>30</v>
      </c>
      <c r="G347" s="38" t="n"/>
      <c r="H347" s="22" t="n">
        <v>8</v>
      </c>
      <c r="I347" s="25">
        <f>IF(OR(F347="",G347=""),"",F347*G347)</f>
        <v/>
      </c>
      <c r="J347" s="38">
        <f>IF(OR(F347="",G347=""),"",ROUND(G347*(1+F347/30),1))</f>
        <v/>
      </c>
      <c r="K347" s="26" t="n"/>
    </row>
    <row r="348" ht="18" customHeight="1">
      <c r="A348" s="35" t="n">
        <v>46270</v>
      </c>
      <c r="B348" s="16">
        <f>IF(A348="","",IFERROR(INT((A348-DATE(2026,4,27))/7)+1,""))</f>
        <v/>
      </c>
      <c r="C348" s="16" t="inlineStr">
        <is>
          <t>Cali Full Body</t>
        </is>
      </c>
      <c r="D348" s="17" t="inlineStr">
        <is>
          <t>Push-up (incline)</t>
        </is>
      </c>
      <c r="E348" s="16" t="n">
        <v>1</v>
      </c>
      <c r="F348" s="16" t="n">
        <v>8</v>
      </c>
      <c r="G348" s="36" t="n"/>
      <c r="H348" s="16" t="n">
        <v>8</v>
      </c>
      <c r="I348" s="19">
        <f>IF(OR(F348="",G348=""),"",F348*G348)</f>
        <v/>
      </c>
      <c r="J348" s="36">
        <f>IF(OR(F348="",G348=""),"",ROUND(G348*(1+F348/30),1))</f>
        <v/>
      </c>
      <c r="K348" s="20" t="inlineStr">
        <is>
          <t>SESSION 2 — the push/pull fix. Setting 3-&gt;2 (one rung, earned by 4x12 @RPE6). Setting 2 proved ONE RUNG TOO FAR: 8@8 then 6@9 = rep decay + over-cap. Self-regressed to setting 3 for S3/S4 = CORRECT autoregulation, not a miss. Next: 2 sets @setting 2 + 2 sets @setting 3.</t>
        </is>
      </c>
    </row>
    <row r="349" ht="18" customHeight="1">
      <c r="A349" s="37" t="n">
        <v>46270</v>
      </c>
      <c r="B349" s="22">
        <f>IF(A349="","",IFERROR(INT((A349-DATE(2026,4,27))/7)+1,""))</f>
        <v/>
      </c>
      <c r="C349" s="22" t="inlineStr">
        <is>
          <t>Cali Full Body</t>
        </is>
      </c>
      <c r="D349" s="23" t="inlineStr">
        <is>
          <t>Push-up (incline)</t>
        </is>
      </c>
      <c r="E349" s="22" t="n">
        <v>2</v>
      </c>
      <c r="F349" s="22" t="n">
        <v>6</v>
      </c>
      <c r="G349" s="38" t="n"/>
      <c r="H349" s="22" t="n">
        <v>9</v>
      </c>
      <c r="I349" s="25">
        <f>IF(OR(F349="",G349=""),"",F349*G349)</f>
        <v/>
      </c>
      <c r="J349" s="38">
        <f>IF(OR(F349="",G349=""),"",ROUND(G349*(1+F349/30),1))</f>
        <v/>
      </c>
      <c r="K349" s="26" t="inlineStr">
        <is>
          <t>setting 2 — over-cap, bail point</t>
        </is>
      </c>
    </row>
    <row r="350" ht="18" customHeight="1">
      <c r="A350" s="35" t="n">
        <v>46270</v>
      </c>
      <c r="B350" s="16">
        <f>IF(A350="","",IFERROR(INT((A350-DATE(2026,4,27))/7)+1,""))</f>
        <v/>
      </c>
      <c r="C350" s="16" t="inlineStr">
        <is>
          <t>Cali Full Body</t>
        </is>
      </c>
      <c r="D350" s="17" t="inlineStr">
        <is>
          <t>Push-up (incline)</t>
        </is>
      </c>
      <c r="E350" s="16" t="n">
        <v>3</v>
      </c>
      <c r="F350" s="16" t="n">
        <v>12</v>
      </c>
      <c r="G350" s="36" t="n"/>
      <c r="H350" s="16" t="n">
        <v>7</v>
      </c>
      <c r="I350" s="19">
        <f>IF(OR(F350="",G350=""),"",F350*G350)</f>
        <v/>
      </c>
      <c r="J350" s="36">
        <f>IF(OR(F350="",G350=""),"",ROUND(G350*(1+F350/30),1))</f>
        <v/>
      </c>
      <c r="K350" s="20" t="inlineStr">
        <is>
          <t>setting 3 (regressed back)</t>
        </is>
      </c>
    </row>
    <row r="351" ht="18" customHeight="1">
      <c r="A351" s="37" t="n">
        <v>46270</v>
      </c>
      <c r="B351" s="22">
        <f>IF(A351="","",IFERROR(INT((A351-DATE(2026,4,27))/7)+1,""))</f>
        <v/>
      </c>
      <c r="C351" s="22" t="inlineStr">
        <is>
          <t>Cali Full Body</t>
        </is>
      </c>
      <c r="D351" s="23" t="inlineStr">
        <is>
          <t>Push-up (incline)</t>
        </is>
      </c>
      <c r="E351" s="22" t="n">
        <v>4</v>
      </c>
      <c r="F351" s="22" t="n">
        <v>12</v>
      </c>
      <c r="G351" s="38" t="n"/>
      <c r="H351" s="22" t="n">
        <v>8</v>
      </c>
      <c r="I351" s="25">
        <f>IF(OR(F351="",G351=""),"",F351*G351)</f>
        <v/>
      </c>
      <c r="J351" s="38">
        <f>IF(OR(F351="",G351=""),"",ROUND(G351*(1+F351/30),1))</f>
        <v/>
      </c>
      <c r="K351" s="26" t="inlineStr">
        <is>
          <t>setting 3</t>
        </is>
      </c>
    </row>
    <row r="352" ht="18" customHeight="1">
      <c r="A352" s="35" t="n">
        <v>46270</v>
      </c>
      <c r="B352" s="16">
        <f>IF(A352="","",IFERROR(INT((A352-DATE(2026,4,27))/7)+1,""))</f>
        <v/>
      </c>
      <c r="C352" s="16" t="inlineStr">
        <is>
          <t>Cali Full Body</t>
        </is>
      </c>
      <c r="D352" s="17" t="inlineStr">
        <is>
          <t>Inverted Row</t>
        </is>
      </c>
      <c r="E352" s="16" t="n">
        <v>1</v>
      </c>
      <c r="F352" s="16" t="n">
        <v>8</v>
      </c>
      <c r="G352" s="36" t="n"/>
      <c r="H352" s="16" t="n">
        <v>7</v>
      </c>
      <c r="I352" s="19">
        <f>IF(OR(F352="",G352=""),"",F352*G352)</f>
        <v/>
      </c>
      <c r="J352" s="36">
        <f>IF(OR(F352="",G352=""),"",ROUND(G352*(1+F352/30),1))</f>
        <v/>
      </c>
      <c r="K352" s="20" t="inlineStr">
        <is>
          <t>HELD setting 3 (prescription said setting 4/higher). Outcome still good: 8/8/8/8 ZERO rep decay vs 11-10-8-7 @flat RPE9 on 8/31. LESSON: capping reps at 8 fixed the decay, not bar height. S4 @RPE9 still one over. Hold setting 3 4x8 until all four &lt;=8, then reps 8-&gt;12.</t>
        </is>
      </c>
    </row>
    <row r="353" ht="18" customHeight="1">
      <c r="A353" s="37" t="n">
        <v>46270</v>
      </c>
      <c r="B353" s="22">
        <f>IF(A353="","",IFERROR(INT((A353-DATE(2026,4,27))/7)+1,""))</f>
        <v/>
      </c>
      <c r="C353" s="22" t="inlineStr">
        <is>
          <t>Cali Full Body</t>
        </is>
      </c>
      <c r="D353" s="23" t="inlineStr">
        <is>
          <t>Inverted Row</t>
        </is>
      </c>
      <c r="E353" s="22" t="n">
        <v>2</v>
      </c>
      <c r="F353" s="22" t="n">
        <v>8</v>
      </c>
      <c r="G353" s="38" t="n"/>
      <c r="H353" s="22" t="n">
        <v>8</v>
      </c>
      <c r="I353" s="25">
        <f>IF(OR(F353="",G353=""),"",F353*G353)</f>
        <v/>
      </c>
      <c r="J353" s="38">
        <f>IF(OR(F353="",G353=""),"",ROUND(G353*(1+F353/30),1))</f>
        <v/>
      </c>
      <c r="K353" s="26" t="inlineStr">
        <is>
          <t>setting 3</t>
        </is>
      </c>
    </row>
    <row r="354" ht="18" customHeight="1">
      <c r="A354" s="35" t="n">
        <v>46270</v>
      </c>
      <c r="B354" s="16">
        <f>IF(A354="","",IFERROR(INT((A354-DATE(2026,4,27))/7)+1,""))</f>
        <v/>
      </c>
      <c r="C354" s="16" t="inlineStr">
        <is>
          <t>Cali Full Body</t>
        </is>
      </c>
      <c r="D354" s="17" t="inlineStr">
        <is>
          <t>Inverted Row</t>
        </is>
      </c>
      <c r="E354" s="16" t="n">
        <v>3</v>
      </c>
      <c r="F354" s="16" t="n">
        <v>8</v>
      </c>
      <c r="G354" s="36" t="n"/>
      <c r="H354" s="16" t="n">
        <v>8</v>
      </c>
      <c r="I354" s="19">
        <f>IF(OR(F354="",G354=""),"",F354*G354)</f>
        <v/>
      </c>
      <c r="J354" s="36">
        <f>IF(OR(F354="",G354=""),"",ROUND(G354*(1+F354/30),1))</f>
        <v/>
      </c>
      <c r="K354" s="20" t="inlineStr">
        <is>
          <t>setting 3</t>
        </is>
      </c>
    </row>
    <row r="355" ht="18" customHeight="1">
      <c r="A355" s="37" t="n">
        <v>46270</v>
      </c>
      <c r="B355" s="22">
        <f>IF(A355="","",IFERROR(INT((A355-DATE(2026,4,27))/7)+1,""))</f>
        <v/>
      </c>
      <c r="C355" s="22" t="inlineStr">
        <is>
          <t>Cali Full Body</t>
        </is>
      </c>
      <c r="D355" s="23" t="inlineStr">
        <is>
          <t>Inverted Row</t>
        </is>
      </c>
      <c r="E355" s="22" t="n">
        <v>4</v>
      </c>
      <c r="F355" s="22" t="n">
        <v>8</v>
      </c>
      <c r="G355" s="38" t="n"/>
      <c r="H355" s="22" t="n">
        <v>9</v>
      </c>
      <c r="I355" s="25">
        <f>IF(OR(F355="",G355=""),"",F355*G355)</f>
        <v/>
      </c>
      <c r="J355" s="38">
        <f>IF(OR(F355="",G355=""),"",ROUND(G355*(1+F355/30),1))</f>
        <v/>
      </c>
      <c r="K355" s="26" t="inlineStr">
        <is>
          <t>setting 3 — one over target</t>
        </is>
      </c>
    </row>
    <row r="356" ht="18" customHeight="1">
      <c r="A356" s="35" t="n">
        <v>46270</v>
      </c>
      <c r="B356" s="16">
        <f>IF(A356="","",IFERROR(INT((A356-DATE(2026,4,27))/7)+1,""))</f>
        <v/>
      </c>
      <c r="C356" s="16" t="inlineStr">
        <is>
          <t>Cali Full Body</t>
        </is>
      </c>
      <c r="D356" s="17" t="inlineStr">
        <is>
          <t>Pull-up (low bar, feet-assisted)</t>
        </is>
      </c>
      <c r="E356" s="16" t="n">
        <v>1</v>
      </c>
      <c r="F356" s="16" t="n">
        <v>5</v>
      </c>
      <c r="G356" s="36" t="n"/>
      <c r="H356" s="16" t="n">
        <v>8</v>
      </c>
      <c r="I356" s="19">
        <f>IF(OR(F356="",G356=""),"",F356*G356)</f>
        <v/>
      </c>
      <c r="J356" s="36">
        <f>IF(OR(F356="",G356=""),"",ROUND(G356*(1+F356/30),1))</f>
        <v/>
      </c>
      <c r="K356" s="20" t="inlineStr">
        <is>
          <t>FOOT ASSIST WORKED: RPE 10/10/10 on 8/31 -&gt; 8/9/9 at same 5 reps. One more notch of assist to land all three at 8. Anchor stays 3x5. NO leverage progression until 3x5 @RPE&lt;=7.</t>
        </is>
      </c>
    </row>
    <row r="357" ht="18" customHeight="1">
      <c r="A357" s="37" t="n">
        <v>46270</v>
      </c>
      <c r="B357" s="22">
        <f>IF(A357="","",IFERROR(INT((A357-DATE(2026,4,27))/7)+1,""))</f>
        <v/>
      </c>
      <c r="C357" s="22" t="inlineStr">
        <is>
          <t>Cali Full Body</t>
        </is>
      </c>
      <c r="D357" s="23" t="inlineStr">
        <is>
          <t>Pull-up (low bar, feet-assisted)</t>
        </is>
      </c>
      <c r="E357" s="22" t="n">
        <v>2</v>
      </c>
      <c r="F357" s="22" t="n">
        <v>5</v>
      </c>
      <c r="G357" s="38" t="n"/>
      <c r="H357" s="22" t="n">
        <v>9</v>
      </c>
      <c r="I357" s="25">
        <f>IF(OR(F357="",G357=""),"",F357*G357)</f>
        <v/>
      </c>
      <c r="J357" s="38">
        <f>IF(OR(F357="",G357=""),"",ROUND(G357*(1+F357/30),1))</f>
        <v/>
      </c>
      <c r="K357" s="26" t="n"/>
    </row>
    <row r="358" ht="18" customHeight="1">
      <c r="A358" s="35" t="n">
        <v>46270</v>
      </c>
      <c r="B358" s="16">
        <f>IF(A358="","",IFERROR(INT((A358-DATE(2026,4,27))/7)+1,""))</f>
        <v/>
      </c>
      <c r="C358" s="16" t="inlineStr">
        <is>
          <t>Cali Full Body</t>
        </is>
      </c>
      <c r="D358" s="17" t="inlineStr">
        <is>
          <t>Pull-up (low bar, feet-assisted)</t>
        </is>
      </c>
      <c r="E358" s="16" t="n">
        <v>3</v>
      </c>
      <c r="F358" s="16" t="n">
        <v>5</v>
      </c>
      <c r="G358" s="36" t="n"/>
      <c r="H358" s="16" t="n">
        <v>9</v>
      </c>
      <c r="I358" s="19">
        <f>IF(OR(F358="",G358=""),"",F358*G358)</f>
        <v/>
      </c>
      <c r="J358" s="36">
        <f>IF(OR(F358="",G358=""),"",ROUND(G358*(1+F358/30),1))</f>
        <v/>
      </c>
      <c r="K358" s="20" t="n"/>
    </row>
    <row r="359" ht="18" customHeight="1">
      <c r="A359" s="37" t="n">
        <v>46270</v>
      </c>
      <c r="B359" s="22">
        <f>IF(A359="","",IFERROR(INT((A359-DATE(2026,4,27))/7)+1,""))</f>
        <v/>
      </c>
      <c r="C359" s="22" t="inlineStr">
        <is>
          <t>Cali Full Body</t>
        </is>
      </c>
      <c r="D359" s="23" t="inlineStr">
        <is>
          <t>Pike Push-up</t>
        </is>
      </c>
      <c r="E359" s="22" t="n">
        <v>1</v>
      </c>
      <c r="F359" s="22" t="n">
        <v>6</v>
      </c>
      <c r="G359" s="38" t="n"/>
      <c r="H359" s="22" t="n">
        <v>8</v>
      </c>
      <c r="I359" s="25">
        <f>IF(OR(F359="",G359=""),"",F359*G359)</f>
        <v/>
      </c>
      <c r="J359" s="38">
        <f>IF(OR(F359="",G359=""),"",ROUND(G359*(1+F359/30),1))</f>
        <v/>
      </c>
      <c r="K359" s="26" t="inlineStr">
        <is>
          <t>High box held. 7@RPE7 -&gt; 6@RPE8 = REGRESSED from upstream fatigue (harder push-up + pull work came first), not detraining. Hold high box, rebuild 6-&gt;10.</t>
        </is>
      </c>
    </row>
    <row r="360" ht="18" customHeight="1">
      <c r="A360" s="35" t="n">
        <v>46270</v>
      </c>
      <c r="B360" s="16">
        <f>IF(A360="","",IFERROR(INT((A360-DATE(2026,4,27))/7)+1,""))</f>
        <v/>
      </c>
      <c r="C360" s="16" t="inlineStr">
        <is>
          <t>Cali Full Body</t>
        </is>
      </c>
      <c r="D360" s="17" t="inlineStr">
        <is>
          <t>Pike Push-up</t>
        </is>
      </c>
      <c r="E360" s="16" t="n">
        <v>2</v>
      </c>
      <c r="F360" s="16" t="n">
        <v>6</v>
      </c>
      <c r="G360" s="36" t="n"/>
      <c r="H360" s="16" t="n">
        <v>8</v>
      </c>
      <c r="I360" s="19">
        <f>IF(OR(F360="",G360=""),"",F360*G360)</f>
        <v/>
      </c>
      <c r="J360" s="36">
        <f>IF(OR(F360="",G360=""),"",ROUND(G360*(1+F360/30),1))</f>
        <v/>
      </c>
      <c r="K360" s="20" t="n"/>
    </row>
    <row r="361" ht="18" customHeight="1">
      <c r="A361" s="37" t="n">
        <v>46270</v>
      </c>
      <c r="B361" s="22">
        <f>IF(A361="","",IFERROR(INT((A361-DATE(2026,4,27))/7)+1,""))</f>
        <v/>
      </c>
      <c r="C361" s="22" t="inlineStr">
        <is>
          <t>Cali Full Body</t>
        </is>
      </c>
      <c r="D361" s="23" t="inlineStr">
        <is>
          <t>Pike Push-up</t>
        </is>
      </c>
      <c r="E361" s="22" t="n">
        <v>3</v>
      </c>
      <c r="F361" s="22" t="n">
        <v>6</v>
      </c>
      <c r="G361" s="38" t="n"/>
      <c r="H361" s="22" t="n">
        <v>8</v>
      </c>
      <c r="I361" s="25">
        <f>IF(OR(F361="",G361=""),"",F361*G361)</f>
        <v/>
      </c>
      <c r="J361" s="38">
        <f>IF(OR(F361="",G361=""),"",ROUND(G361*(1+F361/30),1))</f>
        <v/>
      </c>
      <c r="K361" s="26" t="n"/>
    </row>
    <row r="362" ht="18" customHeight="1">
      <c r="A362" s="35" t="n">
        <v>46270</v>
      </c>
      <c r="B362" s="16">
        <f>IF(A362="","",IFERROR(INT((A362-DATE(2026,4,27))/7)+1,""))</f>
        <v/>
      </c>
      <c r="C362" s="16" t="inlineStr">
        <is>
          <t>Cali Full Body</t>
        </is>
      </c>
      <c r="D362" s="17" t="inlineStr">
        <is>
          <t>Bulgarian Split Squat (BW)</t>
        </is>
      </c>
      <c r="E362" s="16" t="n">
        <v>1</v>
      </c>
      <c r="F362" s="16" t="n">
        <v>10</v>
      </c>
      <c r="G362" s="36" t="n"/>
      <c r="H362" s="16" t="n">
        <v>6</v>
      </c>
      <c r="I362" s="19">
        <f>IF(OR(F362="",G362=""),"",F362*G362)</f>
        <v/>
      </c>
      <c r="J362" s="36">
        <f>IF(OR(F362="",G362=""),"",ROUND(G362*(1+F362/30),1))</f>
        <v/>
      </c>
      <c r="K362" s="20" t="inlineStr">
        <is>
          <t>reps col = per leg. LEGS RPE 6 HARD-HARD CAP RESPECTED (24h before Sun 10k long, not 48h). Reps ROSE at identical cap: 6-7/leg on 8/31 -&gt; 10/10/7 = leg endurance improving, cap is not costing adaptation. Minor: Sat rule said stop 2 SHORT of 6, sat on 6; BW-only at RPE6 is low absolute load, not a threat to Sunday.</t>
        </is>
      </c>
    </row>
    <row r="363" ht="18" customHeight="1">
      <c r="A363" s="37" t="n">
        <v>46270</v>
      </c>
      <c r="B363" s="22">
        <f>IF(A363="","",IFERROR(INT((A363-DATE(2026,4,27))/7)+1,""))</f>
        <v/>
      </c>
      <c r="C363" s="22" t="inlineStr">
        <is>
          <t>Cali Full Body</t>
        </is>
      </c>
      <c r="D363" s="23" t="inlineStr">
        <is>
          <t>Bulgarian Split Squat (BW)</t>
        </is>
      </c>
      <c r="E363" s="22" t="n">
        <v>2</v>
      </c>
      <c r="F363" s="22" t="n">
        <v>10</v>
      </c>
      <c r="G363" s="38" t="n"/>
      <c r="H363" s="22" t="n">
        <v>6</v>
      </c>
      <c r="I363" s="25">
        <f>IF(OR(F363="",G363=""),"",F363*G363)</f>
        <v/>
      </c>
      <c r="J363" s="38">
        <f>IF(OR(F363="",G363=""),"",ROUND(G363*(1+F363/30),1))</f>
        <v/>
      </c>
      <c r="K363" s="26" t="n"/>
    </row>
    <row r="364" ht="18" customHeight="1">
      <c r="A364" s="35" t="n">
        <v>46270</v>
      </c>
      <c r="B364" s="16">
        <f>IF(A364="","",IFERROR(INT((A364-DATE(2026,4,27))/7)+1,""))</f>
        <v/>
      </c>
      <c r="C364" s="16" t="inlineStr">
        <is>
          <t>Cali Full Body</t>
        </is>
      </c>
      <c r="D364" s="17" t="inlineStr">
        <is>
          <t>Bulgarian Split Squat (BW)</t>
        </is>
      </c>
      <c r="E364" s="16" t="n">
        <v>3</v>
      </c>
      <c r="F364" s="16" t="n">
        <v>7</v>
      </c>
      <c r="G364" s="36" t="n"/>
      <c r="H364" s="16" t="n">
        <v>6</v>
      </c>
      <c r="I364" s="19">
        <f>IF(OR(F364="",G364=""),"",F364*G364)</f>
        <v/>
      </c>
      <c r="J364" s="36">
        <f>IF(OR(F364="",G364=""),"",ROUND(G364*(1+F364/30),1))</f>
        <v/>
      </c>
      <c r="K364" s="20" t="n"/>
    </row>
    <row r="365" ht="18" customHeight="1">
      <c r="A365" s="37" t="n">
        <v>46270</v>
      </c>
      <c r="B365" s="22">
        <f>IF(A365="","",IFERROR(INT((A365-DATE(2026,4,27))/7)+1,""))</f>
        <v/>
      </c>
      <c r="C365" s="22" t="inlineStr">
        <is>
          <t>Cali Full Body</t>
        </is>
      </c>
      <c r="D365" s="23" t="inlineStr">
        <is>
          <t>Single-Leg RDL (BW)</t>
        </is>
      </c>
      <c r="E365" s="22" t="n">
        <v>1</v>
      </c>
      <c r="F365" s="22" t="n">
        <v>10</v>
      </c>
      <c r="G365" s="38" t="n"/>
      <c r="H365" s="22" t="n">
        <v>6</v>
      </c>
      <c r="I365" s="25">
        <f>IF(OR(F365="",G365=""),"",F365*G365)</f>
        <v/>
      </c>
      <c r="J365" s="38">
        <f>IF(OR(F365="",G365=""),"",ROUND(G365*(1+F365/30),1))</f>
        <v/>
      </c>
      <c r="K365" s="26" t="inlineStr">
        <is>
          <t>reps col = per leg. RPE 6 cap. 7-8/leg on 8/31 -&gt; 10/7/7.</t>
        </is>
      </c>
    </row>
    <row r="366" ht="18" customHeight="1">
      <c r="A366" s="35" t="n">
        <v>46270</v>
      </c>
      <c r="B366" s="16">
        <f>IF(A366="","",IFERROR(INT((A366-DATE(2026,4,27))/7)+1,""))</f>
        <v/>
      </c>
      <c r="C366" s="16" t="inlineStr">
        <is>
          <t>Cali Full Body</t>
        </is>
      </c>
      <c r="D366" s="17" t="inlineStr">
        <is>
          <t>Single-Leg RDL (BW)</t>
        </is>
      </c>
      <c r="E366" s="16" t="n">
        <v>2</v>
      </c>
      <c r="F366" s="16" t="n">
        <v>7</v>
      </c>
      <c r="G366" s="36" t="n"/>
      <c r="H366" s="16" t="n">
        <v>6</v>
      </c>
      <c r="I366" s="19">
        <f>IF(OR(F366="",G366=""),"",F366*G366)</f>
        <v/>
      </c>
      <c r="J366" s="36">
        <f>IF(OR(F366="",G366=""),"",ROUND(G366*(1+F366/30),1))</f>
        <v/>
      </c>
      <c r="K366" s="20" t="n"/>
    </row>
    <row r="367" ht="18" customHeight="1">
      <c r="A367" s="37" t="n">
        <v>46270</v>
      </c>
      <c r="B367" s="22">
        <f>IF(A367="","",IFERROR(INT((A367-DATE(2026,4,27))/7)+1,""))</f>
        <v/>
      </c>
      <c r="C367" s="22" t="inlineStr">
        <is>
          <t>Cali Full Body</t>
        </is>
      </c>
      <c r="D367" s="23" t="inlineStr">
        <is>
          <t>Single-Leg RDL (BW)</t>
        </is>
      </c>
      <c r="E367" s="22" t="n">
        <v>3</v>
      </c>
      <c r="F367" s="22" t="n">
        <v>7</v>
      </c>
      <c r="G367" s="38" t="n"/>
      <c r="H367" s="22" t="n">
        <v>6</v>
      </c>
      <c r="I367" s="25">
        <f>IF(OR(F367="",G367=""),"",F367*G367)</f>
        <v/>
      </c>
      <c r="J367" s="38">
        <f>IF(OR(F367="",G367=""),"",ROUND(G367*(1+F367/30),1))</f>
        <v/>
      </c>
      <c r="K367" s="26" t="n"/>
    </row>
    <row r="368" ht="18" customHeight="1">
      <c r="A368" s="35" t="n">
        <v>46270</v>
      </c>
      <c r="B368" s="16">
        <f>IF(A368="","",IFERROR(INT((A368-DATE(2026,4,27))/7)+1,""))</f>
        <v/>
      </c>
      <c r="C368" s="16" t="inlineStr">
        <is>
          <t>Cali Full Body</t>
        </is>
      </c>
      <c r="D368" s="17" t="inlineStr">
        <is>
          <t>Tibialis Raise (BW)</t>
        </is>
      </c>
      <c r="E368" s="16" t="n">
        <v>1</v>
      </c>
      <c r="F368" s="16" t="n">
        <v>20</v>
      </c>
      <c r="G368" s="36" t="n"/>
      <c r="H368" s="16" t="n">
        <v>6</v>
      </c>
      <c r="I368" s="19">
        <f>IF(OR(F368="",G368=""),"",F368*G368)</f>
        <v/>
      </c>
      <c r="J368" s="36">
        <f>IF(OR(F368="",G368=""),"",ROUND(G368*(1+F368/30),1))</f>
        <v/>
      </c>
      <c r="K368" s="20" t="inlineStr">
        <is>
          <t>BEST SINGLE RESULT OF THE DAY. 20/15/15 @RPE 8-&gt;7 on 8/31 -&gt; 20/20/15 @RPE 6 five days later = more reps, TWO RPE points cheaper. ONE SET SHORT of the 3x20 @RPE&lt;=7 gate. Hold BW, NO load. Anterior tib is arming up = the bone lever working; the tibia gates the block.</t>
        </is>
      </c>
    </row>
    <row r="369" ht="18" customHeight="1">
      <c r="A369" s="37" t="n">
        <v>46270</v>
      </c>
      <c r="B369" s="22">
        <f>IF(A369="","",IFERROR(INT((A369-DATE(2026,4,27))/7)+1,""))</f>
        <v/>
      </c>
      <c r="C369" s="22" t="inlineStr">
        <is>
          <t>Cali Full Body</t>
        </is>
      </c>
      <c r="D369" s="23" t="inlineStr">
        <is>
          <t>Tibialis Raise (BW)</t>
        </is>
      </c>
      <c r="E369" s="22" t="n">
        <v>2</v>
      </c>
      <c r="F369" s="22" t="n">
        <v>20</v>
      </c>
      <c r="G369" s="38" t="n"/>
      <c r="H369" s="22" t="n">
        <v>6</v>
      </c>
      <c r="I369" s="25">
        <f>IF(OR(F369="",G369=""),"",F369*G369)</f>
        <v/>
      </c>
      <c r="J369" s="38">
        <f>IF(OR(F369="",G369=""),"",ROUND(G369*(1+F369/30),1))</f>
        <v/>
      </c>
      <c r="K369" s="26" t="n"/>
    </row>
    <row r="370" ht="18" customHeight="1">
      <c r="A370" s="35" t="n">
        <v>46270</v>
      </c>
      <c r="B370" s="16">
        <f>IF(A370="","",IFERROR(INT((A370-DATE(2026,4,27))/7)+1,""))</f>
        <v/>
      </c>
      <c r="C370" s="16" t="inlineStr">
        <is>
          <t>Cali Full Body</t>
        </is>
      </c>
      <c r="D370" s="17" t="inlineStr">
        <is>
          <t>Tibialis Raise (BW)</t>
        </is>
      </c>
      <c r="E370" s="16" t="n">
        <v>3</v>
      </c>
      <c r="F370" s="16" t="n">
        <v>15</v>
      </c>
      <c r="G370" s="36" t="n"/>
      <c r="H370" s="16" t="n">
        <v>6</v>
      </c>
      <c r="I370" s="19">
        <f>IF(OR(F370="",G370=""),"",F370*G370)</f>
        <v/>
      </c>
      <c r="J370" s="36">
        <f>IF(OR(F370="",G370=""),"",ROUND(G370*(1+F370/30),1))</f>
        <v/>
      </c>
      <c r="K370" s="20" t="n"/>
    </row>
    <row r="371" ht="18" customHeight="1">
      <c r="A371" s="37" t="n">
        <v>46270</v>
      </c>
      <c r="B371" s="22">
        <f>IF(A371="","",IFERROR(INT((A371-DATE(2026,4,27))/7)+1,""))</f>
        <v/>
      </c>
      <c r="C371" s="22" t="inlineStr">
        <is>
          <t>Cali Full Body</t>
        </is>
      </c>
      <c r="D371" s="23" t="inlineStr">
        <is>
          <t>Hanging Knee Raise (BW)</t>
        </is>
      </c>
      <c r="E371" s="22" t="n">
        <v>1</v>
      </c>
      <c r="F371" s="22" t="n">
        <v>10</v>
      </c>
      <c r="G371" s="38" t="n"/>
      <c r="H371" s="22" t="n">
        <v>8</v>
      </c>
      <c r="I371" s="25">
        <f>IF(OR(F371="",G371=""),"",F371*G371)</f>
        <v/>
      </c>
      <c r="J371" s="38">
        <f>IF(OR(F371="",G371=""),"",ROUND(G371*(1+F371/30),1))</f>
        <v/>
      </c>
      <c r="K371" s="26" t="inlineStr">
        <is>
          <t>8 -&gt; 10 reps. RPE 8 is one over target 7. Hold BW, build 10-&gt;12; reps come when RPE drops.</t>
        </is>
      </c>
    </row>
    <row r="372" ht="18" customHeight="1">
      <c r="A372" s="35" t="n">
        <v>46270</v>
      </c>
      <c r="B372" s="16">
        <f>IF(A372="","",IFERROR(INT((A372-DATE(2026,4,27))/7)+1,""))</f>
        <v/>
      </c>
      <c r="C372" s="16" t="inlineStr">
        <is>
          <t>Cali Full Body</t>
        </is>
      </c>
      <c r="D372" s="17" t="inlineStr">
        <is>
          <t>Hanging Knee Raise (BW)</t>
        </is>
      </c>
      <c r="E372" s="16" t="n">
        <v>2</v>
      </c>
      <c r="F372" s="16" t="n">
        <v>10</v>
      </c>
      <c r="G372" s="36" t="n"/>
      <c r="H372" s="16" t="n">
        <v>8</v>
      </c>
      <c r="I372" s="19">
        <f>IF(OR(F372="",G372=""),"",F372*G372)</f>
        <v/>
      </c>
      <c r="J372" s="36">
        <f>IF(OR(F372="",G372=""),"",ROUND(G372*(1+F372/30),1))</f>
        <v/>
      </c>
      <c r="K372" s="20" t="n"/>
    </row>
    <row r="373" ht="18" customHeight="1">
      <c r="A373" s="37" t="n">
        <v>46270</v>
      </c>
      <c r="B373" s="22">
        <f>IF(A373="","",IFERROR(INT((A373-DATE(2026,4,27))/7)+1,""))</f>
        <v/>
      </c>
      <c r="C373" s="22" t="inlineStr">
        <is>
          <t>Cali Full Body</t>
        </is>
      </c>
      <c r="D373" s="23" t="inlineStr">
        <is>
          <t>Hanging Knee Raise (BW)</t>
        </is>
      </c>
      <c r="E373" s="22" t="n">
        <v>3</v>
      </c>
      <c r="F373" s="22" t="n">
        <v>10</v>
      </c>
      <c r="G373" s="38" t="n"/>
      <c r="H373" s="22" t="n">
        <v>8</v>
      </c>
      <c r="I373" s="25">
        <f>IF(OR(F373="",G373=""),"",F373*G373)</f>
        <v/>
      </c>
      <c r="J373" s="38">
        <f>IF(OR(F373="",G373=""),"",ROUND(G373*(1+F373/30),1))</f>
        <v/>
      </c>
      <c r="K373" s="26" t="n"/>
    </row>
    <row r="374" ht="18" customHeight="1">
      <c r="A374" s="35" t="n">
        <v>46270</v>
      </c>
      <c r="B374" s="16">
        <f>IF(A374="","",IFERROR(INT((A374-DATE(2026,4,27))/7)+1,""))</f>
        <v/>
      </c>
      <c r="C374" s="16" t="inlineStr">
        <is>
          <t>Cali Full Body</t>
        </is>
      </c>
      <c r="D374" s="17" t="inlineStr">
        <is>
          <t>Side Plank (BW)</t>
        </is>
      </c>
      <c r="E374" s="16" t="n">
        <v>1</v>
      </c>
      <c r="F374" s="16" t="n">
        <v>30</v>
      </c>
      <c r="G374" s="36" t="n"/>
      <c r="H374" s="16" t="n">
        <v>8</v>
      </c>
      <c r="I374" s="19">
        <f>IF(OR(F374="",G374=""),"",F374*G374)</f>
        <v/>
      </c>
      <c r="J374" s="36">
        <f>IF(OR(F374="",G374=""),"",ROUND(G374*(1+F374/30),1))</f>
        <v/>
      </c>
      <c r="K374" s="20" t="inlineStr">
        <is>
          <t>reps col = seconds PER SIDE. 2x30s @RPE8 -&gt; 30s@8 / 20s@9 = REGRESSED from end-of-session fatigue, not detraining. Hold 2x30s until both sets RPE&lt;=7, then 2x45s.</t>
        </is>
      </c>
    </row>
    <row r="375" ht="18" customHeight="1">
      <c r="A375" s="37" t="n">
        <v>46270</v>
      </c>
      <c r="B375" s="22">
        <f>IF(A375="","",IFERROR(INT((A375-DATE(2026,4,27))/7)+1,""))</f>
        <v/>
      </c>
      <c r="C375" s="22" t="inlineStr">
        <is>
          <t>Cali Full Body</t>
        </is>
      </c>
      <c r="D375" s="23" t="inlineStr">
        <is>
          <t>Side Plank (BW)</t>
        </is>
      </c>
      <c r="E375" s="22" t="n">
        <v>2</v>
      </c>
      <c r="F375" s="22" t="n">
        <v>20</v>
      </c>
      <c r="G375" s="38" t="n"/>
      <c r="H375" s="22" t="n">
        <v>9</v>
      </c>
      <c r="I375" s="25">
        <f>IF(OR(F375="",G375=""),"",F375*G375)</f>
        <v/>
      </c>
      <c r="J375" s="38">
        <f>IF(OR(F375="",G375=""),"",ROUND(G375*(1+F375/30),1))</f>
        <v/>
      </c>
      <c r="K375" s="26" t="n"/>
    </row>
    <row r="376" ht="18" customHeight="1">
      <c r="A376" s="35" t="n">
        <v>46274</v>
      </c>
      <c r="B376" s="16">
        <f>IF(A376="","",IFERROR(INT((A376-DATE(2026,4,27))/7)+1,""))</f>
        <v/>
      </c>
      <c r="C376" s="16" t="inlineStr">
        <is>
          <t>Cali Full Body</t>
        </is>
      </c>
      <c r="D376" s="17" t="inlineStr">
        <is>
          <t>Push-up (incline)</t>
        </is>
      </c>
      <c r="E376" s="16" t="n">
        <v>1</v>
      </c>
      <c r="F376" s="16" t="n">
        <v>8</v>
      </c>
      <c r="G376" s="36" t="n"/>
      <c r="H376" s="16" t="n">
        <v>7</v>
      </c>
      <c r="I376" s="19">
        <f>IF(OR(F376="",G376=""),"",F376*G376)</f>
        <v/>
      </c>
      <c r="J376" s="36">
        <f>IF(OR(F376="",G376=""),"",ROUND(G376*(1+F376/30),1))</f>
        <v/>
      </c>
      <c r="K376" s="20" t="inlineStr">
        <is>
          <t>Cali #3. DEVIATION: prescribed S1-S2 @ setting 2, S3-S4 @ setting 3 -&gt; ALL FOUR ran at setting 3, setting 2 not attempted. Decay 7-8-9-9. NOT detraining: the new B2 second push-up block took weekly push sets 4 -&gt; 7 in one session and A1 now sits upstream of 3 more push sets, so the body pre-emptively down-regulated. Correct call by the athlete. SPLIT LADDER WITHDRAWN - hold all four sets at setting 3; gate to reopen setting 2 = 4x8 @ RPE &lt;=8.</t>
        </is>
      </c>
    </row>
    <row r="377" ht="18" customHeight="1">
      <c r="A377" s="37" t="n">
        <v>46274</v>
      </c>
      <c r="B377" s="22">
        <f>IF(A377="","",IFERROR(INT((A377-DATE(2026,4,27))/7)+1,""))</f>
        <v/>
      </c>
      <c r="C377" s="22" t="inlineStr">
        <is>
          <t>Cali Full Body</t>
        </is>
      </c>
      <c r="D377" s="23" t="inlineStr">
        <is>
          <t>Push-up (incline)</t>
        </is>
      </c>
      <c r="E377" s="22" t="n">
        <v>2</v>
      </c>
      <c r="F377" s="22" t="n">
        <v>8</v>
      </c>
      <c r="G377" s="38" t="n"/>
      <c r="H377" s="22" t="n">
        <v>8</v>
      </c>
      <c r="I377" s="25">
        <f>IF(OR(F377="",G377=""),"",F377*G377)</f>
        <v/>
      </c>
      <c r="J377" s="38">
        <f>IF(OR(F377="",G377=""),"",ROUND(G377*(1+F377/30),1))</f>
        <v/>
      </c>
      <c r="K377" s="26" t="n"/>
    </row>
    <row r="378" ht="18" customHeight="1">
      <c r="A378" s="35" t="n">
        <v>46274</v>
      </c>
      <c r="B378" s="16">
        <f>IF(A378="","",IFERROR(INT((A378-DATE(2026,4,27))/7)+1,""))</f>
        <v/>
      </c>
      <c r="C378" s="16" t="inlineStr">
        <is>
          <t>Cali Full Body</t>
        </is>
      </c>
      <c r="D378" s="17" t="inlineStr">
        <is>
          <t>Push-up (incline)</t>
        </is>
      </c>
      <c r="E378" s="16" t="n">
        <v>3</v>
      </c>
      <c r="F378" s="16" t="n">
        <v>8</v>
      </c>
      <c r="G378" s="36" t="n"/>
      <c r="H378" s="16" t="n">
        <v>9</v>
      </c>
      <c r="I378" s="19">
        <f>IF(OR(F378="",G378=""),"",F378*G378)</f>
        <v/>
      </c>
      <c r="J378" s="36">
        <f>IF(OR(F378="",G378=""),"",ROUND(G378*(1+F378/30),1))</f>
        <v/>
      </c>
      <c r="K378" s="20" t="n"/>
    </row>
    <row r="379" ht="18" customHeight="1">
      <c r="A379" s="37" t="n">
        <v>46274</v>
      </c>
      <c r="B379" s="22">
        <f>IF(A379="","",IFERROR(INT((A379-DATE(2026,4,27))/7)+1,""))</f>
        <v/>
      </c>
      <c r="C379" s="22" t="inlineStr">
        <is>
          <t>Cali Full Body</t>
        </is>
      </c>
      <c r="D379" s="23" t="inlineStr">
        <is>
          <t>Push-up (incline)</t>
        </is>
      </c>
      <c r="E379" s="22" t="n">
        <v>4</v>
      </c>
      <c r="F379" s="22" t="n">
        <v>8</v>
      </c>
      <c r="G379" s="38" t="n"/>
      <c r="H379" s="22" t="n">
        <v>9</v>
      </c>
      <c r="I379" s="25">
        <f>IF(OR(F379="",G379=""),"",F379*G379)</f>
        <v/>
      </c>
      <c r="J379" s="38">
        <f>IF(OR(F379="",G379=""),"",ROUND(G379*(1+F379/30),1))</f>
        <v/>
      </c>
      <c r="K379" s="26" t="n"/>
    </row>
    <row r="380" ht="18" customHeight="1">
      <c r="A380" s="35" t="n">
        <v>46274</v>
      </c>
      <c r="B380" s="16">
        <f>IF(A380="","",IFERROR(INT((A380-DATE(2026,4,27))/7)+1,""))</f>
        <v/>
      </c>
      <c r="C380" s="16" t="inlineStr">
        <is>
          <t>Cali Full Body</t>
        </is>
      </c>
      <c r="D380" s="17" t="inlineStr">
        <is>
          <t>Inverted Row</t>
        </is>
      </c>
      <c r="E380" s="16" t="n">
        <v>1</v>
      </c>
      <c r="F380" s="16" t="n">
        <v>8</v>
      </c>
      <c r="G380" s="36" t="n"/>
      <c r="H380" s="16" t="n">
        <v>7</v>
      </c>
      <c r="I380" s="19">
        <f>IF(OR(F380="",G380=""),"",F380*G380)</f>
        <v/>
      </c>
      <c r="J380" s="36">
        <f>IF(OR(F380="",G380=""),"",ROUND(G380*(1+F380/30),1))</f>
        <v/>
      </c>
      <c r="K380" s="20" t="inlineStr">
        <is>
          <t>Setting 3, 8-rep cap held: 8/8/8/8, zero rep decay (was 11-10-8-7 before the cap). Gate NOT cleared - S4 at RPE 9 for the 2nd session running. Hold setting 3 and the cap; reps build 8 -&gt; 12 only once all four sets land &lt;=8.</t>
        </is>
      </c>
    </row>
    <row r="381" ht="18" customHeight="1">
      <c r="A381" s="37" t="n">
        <v>46274</v>
      </c>
      <c r="B381" s="22">
        <f>IF(A381="","",IFERROR(INT((A381-DATE(2026,4,27))/7)+1,""))</f>
        <v/>
      </c>
      <c r="C381" s="22" t="inlineStr">
        <is>
          <t>Cali Full Body</t>
        </is>
      </c>
      <c r="D381" s="23" t="inlineStr">
        <is>
          <t>Inverted Row</t>
        </is>
      </c>
      <c r="E381" s="22" t="n">
        <v>2</v>
      </c>
      <c r="F381" s="22" t="n">
        <v>8</v>
      </c>
      <c r="G381" s="38" t="n"/>
      <c r="H381" s="22" t="n">
        <v>7</v>
      </c>
      <c r="I381" s="25">
        <f>IF(OR(F381="",G381=""),"",F381*G381)</f>
        <v/>
      </c>
      <c r="J381" s="38">
        <f>IF(OR(F381="",G381=""),"",ROUND(G381*(1+F381/30),1))</f>
        <v/>
      </c>
      <c r="K381" s="26" t="n"/>
    </row>
    <row r="382" ht="18" customHeight="1">
      <c r="A382" s="35" t="n">
        <v>46274</v>
      </c>
      <c r="B382" s="16">
        <f>IF(A382="","",IFERROR(INT((A382-DATE(2026,4,27))/7)+1,""))</f>
        <v/>
      </c>
      <c r="C382" s="16" t="inlineStr">
        <is>
          <t>Cali Full Body</t>
        </is>
      </c>
      <c r="D382" s="17" t="inlineStr">
        <is>
          <t>Inverted Row</t>
        </is>
      </c>
      <c r="E382" s="16" t="n">
        <v>3</v>
      </c>
      <c r="F382" s="16" t="n">
        <v>8</v>
      </c>
      <c r="G382" s="36" t="n"/>
      <c r="H382" s="16" t="n">
        <v>8</v>
      </c>
      <c r="I382" s="19">
        <f>IF(OR(F382="",G382=""),"",F382*G382)</f>
        <v/>
      </c>
      <c r="J382" s="36">
        <f>IF(OR(F382="",G382=""),"",ROUND(G382*(1+F382/30),1))</f>
        <v/>
      </c>
      <c r="K382" s="20" t="n"/>
    </row>
    <row r="383" ht="18" customHeight="1">
      <c r="A383" s="37" t="n">
        <v>46274</v>
      </c>
      <c r="B383" s="22">
        <f>IF(A383="","",IFERROR(INT((A383-DATE(2026,4,27))/7)+1,""))</f>
        <v/>
      </c>
      <c r="C383" s="22" t="inlineStr">
        <is>
          <t>Cali Full Body</t>
        </is>
      </c>
      <c r="D383" s="23" t="inlineStr">
        <is>
          <t>Inverted Row</t>
        </is>
      </c>
      <c r="E383" s="22" t="n">
        <v>4</v>
      </c>
      <c r="F383" s="22" t="n">
        <v>8</v>
      </c>
      <c r="G383" s="38" t="n"/>
      <c r="H383" s="22" t="n">
        <v>9</v>
      </c>
      <c r="I383" s="25">
        <f>IF(OR(F383="",G383=""),"",F383*G383)</f>
        <v/>
      </c>
      <c r="J383" s="38">
        <f>IF(OR(F383="",G383=""),"",ROUND(G383*(1+F383/30),1))</f>
        <v/>
      </c>
      <c r="K383" s="26" t="n"/>
    </row>
    <row r="384" ht="18" customHeight="1">
      <c r="A384" s="35" t="n">
        <v>46274</v>
      </c>
      <c r="B384" s="16">
        <f>IF(A384="","",IFERROR(INT((A384-DATE(2026,4,27))/7)+1,""))</f>
        <v/>
      </c>
      <c r="C384" s="16" t="inlineStr">
        <is>
          <t>Cali Full Body</t>
        </is>
      </c>
      <c r="D384" s="17" t="inlineStr">
        <is>
          <t>Pull-up (low bar, feet-assisted)</t>
        </is>
      </c>
      <c r="E384" s="16" t="n">
        <v>1</v>
      </c>
      <c r="F384" s="16" t="n">
        <v>5</v>
      </c>
      <c r="G384" s="36" t="n"/>
      <c r="H384" s="16" t="n">
        <v>8</v>
      </c>
      <c r="I384" s="19">
        <f>IF(OR(F384="",G384=""),"",F384*G384)</f>
        <v/>
      </c>
      <c r="J384" s="36">
        <f>IF(OR(F384="",G384=""),"",ROUND(G384*(1+F384/30),1))</f>
        <v/>
      </c>
      <c r="K384" s="20" t="inlineStr">
        <is>
          <t>Assist 4/3/3. The extra notch of foot assist WORKED: 8/9/9 -&gt; 8/8/8. Still above the 3x5 @ RPE &lt;=7 gate. Hold - open at assist 4, settle to 3. No leverage progression.</t>
        </is>
      </c>
    </row>
    <row r="385" ht="18" customHeight="1">
      <c r="A385" s="37" t="n">
        <v>46274</v>
      </c>
      <c r="B385" s="22">
        <f>IF(A385="","",IFERROR(INT((A385-DATE(2026,4,27))/7)+1,""))</f>
        <v/>
      </c>
      <c r="C385" s="22" t="inlineStr">
        <is>
          <t>Cali Full Body</t>
        </is>
      </c>
      <c r="D385" s="23" t="inlineStr">
        <is>
          <t>Pull-up (low bar, feet-assisted)</t>
        </is>
      </c>
      <c r="E385" s="22" t="n">
        <v>2</v>
      </c>
      <c r="F385" s="22" t="n">
        <v>5</v>
      </c>
      <c r="G385" s="38" t="n"/>
      <c r="H385" s="22" t="n">
        <v>8</v>
      </c>
      <c r="I385" s="25">
        <f>IF(OR(F385="",G385=""),"",F385*G385)</f>
        <v/>
      </c>
      <c r="J385" s="38">
        <f>IF(OR(F385="",G385=""),"",ROUND(G385*(1+F385/30),1))</f>
        <v/>
      </c>
      <c r="K385" s="26" t="n"/>
    </row>
    <row r="386" ht="18" customHeight="1">
      <c r="A386" s="35" t="n">
        <v>46274</v>
      </c>
      <c r="B386" s="16">
        <f>IF(A386="","",IFERROR(INT((A386-DATE(2026,4,27))/7)+1,""))</f>
        <v/>
      </c>
      <c r="C386" s="16" t="inlineStr">
        <is>
          <t>Cali Full Body</t>
        </is>
      </c>
      <c r="D386" s="17" t="inlineStr">
        <is>
          <t>Pull-up (low bar, feet-assisted)</t>
        </is>
      </c>
      <c r="E386" s="16" t="n">
        <v>3</v>
      </c>
      <c r="F386" s="16" t="n">
        <v>5</v>
      </c>
      <c r="G386" s="36" t="n"/>
      <c r="H386" s="16" t="n">
        <v>8</v>
      </c>
      <c r="I386" s="19">
        <f>IF(OR(F386="",G386=""),"",F386*G386)</f>
        <v/>
      </c>
      <c r="J386" s="36">
        <f>IF(OR(F386="",G386=""),"",ROUND(G386*(1+F386/30),1))</f>
        <v/>
      </c>
      <c r="K386" s="20" t="n"/>
    </row>
    <row r="387" ht="18" customHeight="1">
      <c r="A387" s="37" t="n">
        <v>46274</v>
      </c>
      <c r="B387" s="22">
        <f>IF(A387="","",IFERROR(INT((A387-DATE(2026,4,27))/7)+1,""))</f>
        <v/>
      </c>
      <c r="C387" s="22" t="inlineStr">
        <is>
          <t>Cali Full Body</t>
        </is>
      </c>
      <c r="D387" s="23" t="inlineStr">
        <is>
          <t>Push-up (2nd block, incline)</t>
        </is>
      </c>
      <c r="E387" s="22" t="n">
        <v>1</v>
      </c>
      <c r="F387" s="22" t="n">
        <v>6</v>
      </c>
      <c r="G387" s="38" t="n"/>
      <c r="H387" s="22" t="n">
        <v>7</v>
      </c>
      <c r="I387" s="25">
        <f>IF(OR(F387="",G387=""),"",F387*G387)</f>
        <v/>
      </c>
      <c r="J387" s="38">
        <f>IF(OR(F387="",G387=""),"",ROUND(G387*(1+F387/30),1))</f>
        <v/>
      </c>
      <c r="K387" s="26" t="inlineStr">
        <is>
          <t>NEW SLOT, seed session - replaces Pike Push-up (rejected and closed 9/7 along with dips and close-grip). 3x6 @ setting 3, RPE 7/7/8 on pre-fatigued triceps at the SAME setting as A1 = better than modeled. SEED PASSED. Next: hold setting 3, build reps 6 -&gt; 8. Tracks one setting behind A1 in principle; both sit at 3 until A1 clears its gate.</t>
        </is>
      </c>
    </row>
    <row r="388" ht="18" customHeight="1">
      <c r="A388" s="35" t="n">
        <v>46274</v>
      </c>
      <c r="B388" s="16">
        <f>IF(A388="","",IFERROR(INT((A388-DATE(2026,4,27))/7)+1,""))</f>
        <v/>
      </c>
      <c r="C388" s="16" t="inlineStr">
        <is>
          <t>Cali Full Body</t>
        </is>
      </c>
      <c r="D388" s="17" t="inlineStr">
        <is>
          <t>Push-up (2nd block, incline)</t>
        </is>
      </c>
      <c r="E388" s="16" t="n">
        <v>2</v>
      </c>
      <c r="F388" s="16" t="n">
        <v>6</v>
      </c>
      <c r="G388" s="36" t="n"/>
      <c r="H388" s="16" t="n">
        <v>7</v>
      </c>
      <c r="I388" s="19">
        <f>IF(OR(F388="",G388=""),"",F388*G388)</f>
        <v/>
      </c>
      <c r="J388" s="36">
        <f>IF(OR(F388="",G388=""),"",ROUND(G388*(1+F388/30),1))</f>
        <v/>
      </c>
      <c r="K388" s="20" t="n"/>
    </row>
    <row r="389" ht="18" customHeight="1">
      <c r="A389" s="37" t="n">
        <v>46274</v>
      </c>
      <c r="B389" s="22">
        <f>IF(A389="","",IFERROR(INT((A389-DATE(2026,4,27))/7)+1,""))</f>
        <v/>
      </c>
      <c r="C389" s="22" t="inlineStr">
        <is>
          <t>Cali Full Body</t>
        </is>
      </c>
      <c r="D389" s="23" t="inlineStr">
        <is>
          <t>Push-up (2nd block, incline)</t>
        </is>
      </c>
      <c r="E389" s="22" t="n">
        <v>3</v>
      </c>
      <c r="F389" s="22" t="n">
        <v>6</v>
      </c>
      <c r="G389" s="38" t="n"/>
      <c r="H389" s="22" t="n">
        <v>8</v>
      </c>
      <c r="I389" s="25">
        <f>IF(OR(F389="",G389=""),"",F389*G389)</f>
        <v/>
      </c>
      <c r="J389" s="38">
        <f>IF(OR(F389="",G389=""),"",ROUND(G389*(1+F389/30),1))</f>
        <v/>
      </c>
      <c r="K389" s="26" t="n"/>
    </row>
    <row r="390" ht="18" customHeight="1">
      <c r="A390" s="35" t="n">
        <v>46274</v>
      </c>
      <c r="B390" s="16">
        <f>IF(A390="","",IFERROR(INT((A390-DATE(2026,4,27))/7)+1,""))</f>
        <v/>
      </c>
      <c r="C390" s="16" t="inlineStr">
        <is>
          <t>Cali Full Body</t>
        </is>
      </c>
      <c r="D390" s="17" t="inlineStr">
        <is>
          <t>Bulgarian Split Squat (BW)</t>
        </is>
      </c>
      <c r="E390" s="16" t="n">
        <v>1</v>
      </c>
      <c r="F390" s="16" t="n">
        <v>10</v>
      </c>
      <c r="G390" s="36" t="n"/>
      <c r="H390" s="16" t="n">
        <v>6</v>
      </c>
      <c r="I390" s="19">
        <f>IF(OR(F390="",G390=""),"",F390*G390)</f>
        <v/>
      </c>
      <c r="J390" s="36">
        <f>IF(OR(F390="",G390=""),"",ROUND(G390*(1+F390/30),1))</f>
        <v/>
      </c>
      <c r="K390" s="20" t="inlineStr">
        <is>
          <t>reps col = per leg. 10/8/8 vs 3x10 prescribed. Reps cut to hold the RPE 6 CEILING = COMPLIANCE, not a shortfall - Fri 6k run and Sun 12k long both sit downstream. HOLD BW, do not chase the reps back.</t>
        </is>
      </c>
    </row>
    <row r="391" ht="18" customHeight="1">
      <c r="A391" s="37" t="n">
        <v>46274</v>
      </c>
      <c r="B391" s="22">
        <f>IF(A391="","",IFERROR(INT((A391-DATE(2026,4,27))/7)+1,""))</f>
        <v/>
      </c>
      <c r="C391" s="22" t="inlineStr">
        <is>
          <t>Cali Full Body</t>
        </is>
      </c>
      <c r="D391" s="23" t="inlineStr">
        <is>
          <t>Bulgarian Split Squat (BW)</t>
        </is>
      </c>
      <c r="E391" s="22" t="n">
        <v>2</v>
      </c>
      <c r="F391" s="22" t="n">
        <v>8</v>
      </c>
      <c r="G391" s="38" t="n"/>
      <c r="H391" s="22" t="n">
        <v>6</v>
      </c>
      <c r="I391" s="25">
        <f>IF(OR(F391="",G391=""),"",F391*G391)</f>
        <v/>
      </c>
      <c r="J391" s="38">
        <f>IF(OR(F391="",G391=""),"",ROUND(G391*(1+F391/30),1))</f>
        <v/>
      </c>
      <c r="K391" s="26" t="n"/>
    </row>
    <row r="392" ht="18" customHeight="1">
      <c r="A392" s="35" t="n">
        <v>46274</v>
      </c>
      <c r="B392" s="16">
        <f>IF(A392="","",IFERROR(INT((A392-DATE(2026,4,27))/7)+1,""))</f>
        <v/>
      </c>
      <c r="C392" s="16" t="inlineStr">
        <is>
          <t>Cali Full Body</t>
        </is>
      </c>
      <c r="D392" s="17" t="inlineStr">
        <is>
          <t>Bulgarian Split Squat (BW)</t>
        </is>
      </c>
      <c r="E392" s="16" t="n">
        <v>3</v>
      </c>
      <c r="F392" s="16" t="n">
        <v>8</v>
      </c>
      <c r="G392" s="36" t="n"/>
      <c r="H392" s="16" t="n">
        <v>6</v>
      </c>
      <c r="I392" s="19">
        <f>IF(OR(F392="",G392=""),"",F392*G392)</f>
        <v/>
      </c>
      <c r="J392" s="36">
        <f>IF(OR(F392="",G392=""),"",ROUND(G392*(1+F392/30),1))</f>
        <v/>
      </c>
      <c r="K392" s="20" t="n"/>
    </row>
    <row r="393" ht="18" customHeight="1">
      <c r="A393" s="37" t="n">
        <v>46274</v>
      </c>
      <c r="B393" s="22">
        <f>IF(A393="","",IFERROR(INT((A393-DATE(2026,4,27))/7)+1,""))</f>
        <v/>
      </c>
      <c r="C393" s="22" t="inlineStr">
        <is>
          <t>Cali Full Body</t>
        </is>
      </c>
      <c r="D393" s="23" t="inlineStr">
        <is>
          <t>Single-Leg RDL (BW)</t>
        </is>
      </c>
      <c r="E393" s="22" t="n">
        <v>1</v>
      </c>
      <c r="F393" s="22" t="n">
        <v>10</v>
      </c>
      <c r="G393" s="38" t="n"/>
      <c r="H393" s="22" t="n">
        <v>6</v>
      </c>
      <c r="I393" s="25">
        <f>IF(OR(F393="",G393=""),"",F393*G393)</f>
        <v/>
      </c>
      <c r="J393" s="38">
        <f>IF(OR(F393="",G393=""),"",ROUND(G393*(1+F393/30),1))</f>
        <v/>
      </c>
      <c r="K393" s="26" t="inlineStr">
        <is>
          <t>reps col = per leg. 10/10/10 (was 10/7/7 on 9/5) - reps returned on their own at the same RPE 6 cap, exactly as predicted. HOLD BW.</t>
        </is>
      </c>
    </row>
    <row r="394" ht="18" customHeight="1">
      <c r="A394" s="35" t="n">
        <v>46274</v>
      </c>
      <c r="B394" s="16">
        <f>IF(A394="","",IFERROR(INT((A394-DATE(2026,4,27))/7)+1,""))</f>
        <v/>
      </c>
      <c r="C394" s="16" t="inlineStr">
        <is>
          <t>Cali Full Body</t>
        </is>
      </c>
      <c r="D394" s="17" t="inlineStr">
        <is>
          <t>Single-Leg RDL (BW)</t>
        </is>
      </c>
      <c r="E394" s="16" t="n">
        <v>2</v>
      </c>
      <c r="F394" s="16" t="n">
        <v>10</v>
      </c>
      <c r="G394" s="36" t="n"/>
      <c r="H394" s="16" t="n">
        <v>6</v>
      </c>
      <c r="I394" s="19">
        <f>IF(OR(F394="",G394=""),"",F394*G394)</f>
        <v/>
      </c>
      <c r="J394" s="36">
        <f>IF(OR(F394="",G394=""),"",ROUND(G394*(1+F394/30),1))</f>
        <v/>
      </c>
      <c r="K394" s="20" t="n"/>
    </row>
    <row r="395" ht="18" customHeight="1">
      <c r="A395" s="37" t="n">
        <v>46274</v>
      </c>
      <c r="B395" s="22">
        <f>IF(A395="","",IFERROR(INT((A395-DATE(2026,4,27))/7)+1,""))</f>
        <v/>
      </c>
      <c r="C395" s="22" t="inlineStr">
        <is>
          <t>Cali Full Body</t>
        </is>
      </c>
      <c r="D395" s="23" t="inlineStr">
        <is>
          <t>Single-Leg RDL (BW)</t>
        </is>
      </c>
      <c r="E395" s="22" t="n">
        <v>3</v>
      </c>
      <c r="F395" s="22" t="n">
        <v>10</v>
      </c>
      <c r="G395" s="38" t="n"/>
      <c r="H395" s="22" t="n">
        <v>6</v>
      </c>
      <c r="I395" s="25">
        <f>IF(OR(F395="",G395=""),"",F395*G395)</f>
        <v/>
      </c>
      <c r="J395" s="38">
        <f>IF(OR(F395="",G395=""),"",ROUND(G395*(1+F395/30),1))</f>
        <v/>
      </c>
      <c r="K395" s="26" t="n"/>
    </row>
    <row r="396" ht="18" customHeight="1">
      <c r="A396" s="35" t="n">
        <v>46274</v>
      </c>
      <c r="B396" s="16">
        <f>IF(A396="","",IFERROR(INT((A396-DATE(2026,4,27))/7)+1,""))</f>
        <v/>
      </c>
      <c r="C396" s="16" t="inlineStr">
        <is>
          <t>Cali Full Body</t>
        </is>
      </c>
      <c r="D396" s="17" t="inlineStr">
        <is>
          <t>Tibialis Raise (BW)</t>
        </is>
      </c>
      <c r="E396" s="16" t="n">
        <v>1</v>
      </c>
      <c r="F396" s="16" t="n">
        <v>20</v>
      </c>
      <c r="G396" s="36" t="n"/>
      <c r="H396" s="16" t="n">
        <v>6</v>
      </c>
      <c r="I396" s="19">
        <f>IF(OR(F396="",G396=""),"",F396*G396)</f>
        <v/>
      </c>
      <c r="J396" s="36">
        <f>IF(OR(F396="",G396=""),"",ROUND(G396*(1+F396/30),1))</f>
        <v/>
      </c>
      <c r="K396" s="20" t="inlineStr">
        <is>
          <t>GATE CLEARED, FIRST TIME: 20/20/20 @ RPE 6 (was 20/20/15 @ 6, and 20/15/15 @ 8 before that). ADVANCE to SLOW-ECCENTRIC 3x20, 3 s lower, next session; expect RPE back to 7-8, that is the point. Anterior tib is the shin armour and the tibia gates the block - highest-value bump available in this session. Survives every cut, always.</t>
        </is>
      </c>
    </row>
    <row r="397" ht="18" customHeight="1">
      <c r="A397" s="37" t="n">
        <v>46274</v>
      </c>
      <c r="B397" s="22">
        <f>IF(A397="","",IFERROR(INT((A397-DATE(2026,4,27))/7)+1,""))</f>
        <v/>
      </c>
      <c r="C397" s="22" t="inlineStr">
        <is>
          <t>Cali Full Body</t>
        </is>
      </c>
      <c r="D397" s="23" t="inlineStr">
        <is>
          <t>Tibialis Raise (BW)</t>
        </is>
      </c>
      <c r="E397" s="22" t="n">
        <v>2</v>
      </c>
      <c r="F397" s="22" t="n">
        <v>20</v>
      </c>
      <c r="G397" s="38" t="n"/>
      <c r="H397" s="22" t="n">
        <v>6</v>
      </c>
      <c r="I397" s="25">
        <f>IF(OR(F397="",G397=""),"",F397*G397)</f>
        <v/>
      </c>
      <c r="J397" s="38">
        <f>IF(OR(F397="",G397=""),"",ROUND(G397*(1+F397/30),1))</f>
        <v/>
      </c>
      <c r="K397" s="26" t="n"/>
    </row>
    <row r="398" ht="18" customHeight="1">
      <c r="A398" s="35" t="n">
        <v>46274</v>
      </c>
      <c r="B398" s="16">
        <f>IF(A398="","",IFERROR(INT((A398-DATE(2026,4,27))/7)+1,""))</f>
        <v/>
      </c>
      <c r="C398" s="16" t="inlineStr">
        <is>
          <t>Cali Full Body</t>
        </is>
      </c>
      <c r="D398" s="17" t="inlineStr">
        <is>
          <t>Tibialis Raise (BW)</t>
        </is>
      </c>
      <c r="E398" s="16" t="n">
        <v>3</v>
      </c>
      <c r="F398" s="16" t="n">
        <v>20</v>
      </c>
      <c r="G398" s="36" t="n"/>
      <c r="H398" s="16" t="n">
        <v>6</v>
      </c>
      <c r="I398" s="19">
        <f>IF(OR(F398="",G398=""),"",F398*G398)</f>
        <v/>
      </c>
      <c r="J398" s="36">
        <f>IF(OR(F398="",G398=""),"",ROUND(G398*(1+F398/30),1))</f>
        <v/>
      </c>
      <c r="K398" s="20" t="n"/>
    </row>
    <row r="399" ht="18" customHeight="1">
      <c r="A399" s="37" t="n">
        <v>46274</v>
      </c>
      <c r="B399" s="22">
        <f>IF(A399="","",IFERROR(INT((A399-DATE(2026,4,27))/7)+1,""))</f>
        <v/>
      </c>
      <c r="C399" s="22" t="inlineStr">
        <is>
          <t>Cali Full Body</t>
        </is>
      </c>
      <c r="D399" s="23" t="inlineStr">
        <is>
          <t>Hanging Knee Raise (BW)</t>
        </is>
      </c>
      <c r="E399" s="22" t="n">
        <v>1</v>
      </c>
      <c r="F399" s="22" t="n">
        <v>8</v>
      </c>
      <c r="G399" s="38" t="n"/>
      <c r="H399" s="22" t="n">
        <v>8</v>
      </c>
      <c r="I399" s="25">
        <f>IF(OR(F399="",G399=""),"",F399*G399)</f>
        <v/>
      </c>
      <c r="J399" s="38">
        <f>IF(OR(F399="",G399=""),"",ROUND(G399*(1+F399/30),1))</f>
        <v/>
      </c>
      <c r="K399" s="26" t="inlineStr">
        <is>
          <t>8 reps at RPE 8 (was 10 @ 8). Hold 3x8; build to 10 when RPE drops off 8.</t>
        </is>
      </c>
    </row>
    <row r="400" ht="18" customHeight="1">
      <c r="A400" s="35" t="n">
        <v>46274</v>
      </c>
      <c r="B400" s="16">
        <f>IF(A400="","",IFERROR(INT((A400-DATE(2026,4,27))/7)+1,""))</f>
        <v/>
      </c>
      <c r="C400" s="16" t="inlineStr">
        <is>
          <t>Cali Full Body</t>
        </is>
      </c>
      <c r="D400" s="17" t="inlineStr">
        <is>
          <t>Hanging Knee Raise (BW)</t>
        </is>
      </c>
      <c r="E400" s="16" t="n">
        <v>2</v>
      </c>
      <c r="F400" s="16" t="n">
        <v>8</v>
      </c>
      <c r="G400" s="36" t="n"/>
      <c r="H400" s="16" t="n">
        <v>8</v>
      </c>
      <c r="I400" s="19">
        <f>IF(OR(F400="",G400=""),"",F400*G400)</f>
        <v/>
      </c>
      <c r="J400" s="36">
        <f>IF(OR(F400="",G400=""),"",ROUND(G400*(1+F400/30),1))</f>
        <v/>
      </c>
      <c r="K400" s="20" t="n"/>
    </row>
    <row r="401" ht="18" customHeight="1">
      <c r="A401" s="37" t="n">
        <v>46274</v>
      </c>
      <c r="B401" s="22">
        <f>IF(A401="","",IFERROR(INT((A401-DATE(2026,4,27))/7)+1,""))</f>
        <v/>
      </c>
      <c r="C401" s="22" t="inlineStr">
        <is>
          <t>Cali Full Body</t>
        </is>
      </c>
      <c r="D401" s="23" t="inlineStr">
        <is>
          <t>Hanging Knee Raise (BW)</t>
        </is>
      </c>
      <c r="E401" s="22" t="n">
        <v>3</v>
      </c>
      <c r="F401" s="22" t="n">
        <v>8</v>
      </c>
      <c r="G401" s="38" t="n"/>
      <c r="H401" s="22" t="n">
        <v>8</v>
      </c>
      <c r="I401" s="25">
        <f>IF(OR(F401="",G401=""),"",F401*G401)</f>
        <v/>
      </c>
      <c r="J401" s="38">
        <f>IF(OR(F401="",G401=""),"",ROUND(G401*(1+F401/30),1))</f>
        <v/>
      </c>
      <c r="K401" s="26" t="n"/>
    </row>
    <row r="402" ht="18" customHeight="1">
      <c r="A402" s="35" t="n">
        <v>46274</v>
      </c>
      <c r="B402" s="16">
        <f>IF(A402="","",IFERROR(INT((A402-DATE(2026,4,27))/7)+1,""))</f>
        <v/>
      </c>
      <c r="C402" s="16" t="inlineStr">
        <is>
          <t>Cali Full Body</t>
        </is>
      </c>
      <c r="D402" s="17" t="inlineStr">
        <is>
          <t>Side Plank (BW)</t>
        </is>
      </c>
      <c r="E402" s="16" t="n">
        <v>1</v>
      </c>
      <c r="F402" s="16" t="n">
        <v>30</v>
      </c>
      <c r="G402" s="36" t="n"/>
      <c r="H402" s="16" t="n">
        <v>4</v>
      </c>
      <c r="I402" s="19">
        <f>IF(OR(F402="",G402=""),"",F402*G402)</f>
        <v/>
      </c>
      <c r="J402" s="36">
        <f>IF(OR(F402="",G402=""),"",ROUND(G402*(1+F402/30),1))</f>
        <v/>
      </c>
      <c r="K402" s="20" t="inlineStr">
        <is>
          <t>reps col = seconds PER SIDE. GATE CLEARED: 2x30 s @ RPE 4 both sets (was 30@8 / 20@9). ADVANCE to 2x45 s/side.</t>
        </is>
      </c>
    </row>
    <row r="403" ht="18" customHeight="1">
      <c r="A403" s="37" t="n">
        <v>46274</v>
      </c>
      <c r="B403" s="22">
        <f>IF(A403="","",IFERROR(INT((A403-DATE(2026,4,27))/7)+1,""))</f>
        <v/>
      </c>
      <c r="C403" s="22" t="inlineStr">
        <is>
          <t>Cali Full Body</t>
        </is>
      </c>
      <c r="D403" s="23" t="inlineStr">
        <is>
          <t>Side Plank (BW)</t>
        </is>
      </c>
      <c r="E403" s="22" t="n">
        <v>2</v>
      </c>
      <c r="F403" s="22" t="n">
        <v>30</v>
      </c>
      <c r="G403" s="38" t="n"/>
      <c r="H403" s="22" t="n">
        <v>4</v>
      </c>
      <c r="I403" s="25">
        <f>IF(OR(F403="",G403=""),"",F403*G403)</f>
        <v/>
      </c>
      <c r="J403" s="38">
        <f>IF(OR(F403="",G403=""),"",ROUND(G403*(1+F403/30),1))</f>
        <v/>
      </c>
      <c r="K403" s="26" t="n"/>
    </row>
    <row r="404" ht="18" customHeight="1">
      <c r="A404" s="35" t="n">
        <v>46287</v>
      </c>
      <c r="B404" s="16">
        <f>IF(A404="","",IFERROR(INT((A404-DATE(2026,4,27))/7)+1,""))</f>
        <v/>
      </c>
      <c r="C404" s="16" t="inlineStr">
        <is>
          <t>Cali Full Body</t>
        </is>
      </c>
      <c r="D404" s="17" t="inlineStr">
        <is>
          <t>Push-up (incline)</t>
        </is>
      </c>
      <c r="E404" s="16" t="n">
        <v>1</v>
      </c>
      <c r="F404" s="16" t="n">
        <v>10</v>
      </c>
      <c r="G404" s="36" t="n"/>
      <c r="H404" s="16" t="n">
        <v>6</v>
      </c>
      <c r="I404" s="19">
        <f>IF(OR(F404="",G404=""),"",F404*G404)</f>
        <v/>
      </c>
      <c r="J404" s="36">
        <f>IF(OR(F404="",G404=""),"",ROUND(G404*(1+F404/30),1))</f>
        <v/>
      </c>
      <c r="K404" s="20" t="inlineStr">
        <is>
          <t>Cali #5 (Wk D Tue, swapped from Mon). Setting 3, prescribed 4x8 -&gt; ran 4x10 @ 6/7/7/9 off a 13-day layoff. S4 RPE 9 -&gt; setting-2 gate not cleared. Next: setting 3 4x10; setting 2 opens at 4x10 @ &lt;=8. Session 45 min vs 60 planned - rests compressed.</t>
        </is>
      </c>
    </row>
    <row r="405" ht="18" customHeight="1">
      <c r="A405" s="37" t="n">
        <v>46287</v>
      </c>
      <c r="B405" s="22">
        <f>IF(A405="","",IFERROR(INT((A405-DATE(2026,4,27))/7)+1,""))</f>
        <v/>
      </c>
      <c r="C405" s="22" t="inlineStr">
        <is>
          <t>Cali Full Body</t>
        </is>
      </c>
      <c r="D405" s="23" t="inlineStr">
        <is>
          <t>Push-up (incline)</t>
        </is>
      </c>
      <c r="E405" s="22" t="n">
        <v>2</v>
      </c>
      <c r="F405" s="22" t="n">
        <v>10</v>
      </c>
      <c r="G405" s="38" t="n"/>
      <c r="H405" s="22" t="n">
        <v>7</v>
      </c>
      <c r="I405" s="25">
        <f>IF(OR(F405="",G405=""),"",F405*G405)</f>
        <v/>
      </c>
      <c r="J405" s="38">
        <f>IF(OR(F405="",G405=""),"",ROUND(G405*(1+F405/30),1))</f>
        <v/>
      </c>
      <c r="K405" s="26" t="n"/>
    </row>
    <row r="406" ht="18" customHeight="1">
      <c r="A406" s="35" t="n">
        <v>46287</v>
      </c>
      <c r="B406" s="16">
        <f>IF(A406="","",IFERROR(INT((A406-DATE(2026,4,27))/7)+1,""))</f>
        <v/>
      </c>
      <c r="C406" s="16" t="inlineStr">
        <is>
          <t>Cali Full Body</t>
        </is>
      </c>
      <c r="D406" s="17" t="inlineStr">
        <is>
          <t>Push-up (incline)</t>
        </is>
      </c>
      <c r="E406" s="16" t="n">
        <v>3</v>
      </c>
      <c r="F406" s="16" t="n">
        <v>10</v>
      </c>
      <c r="G406" s="36" t="n"/>
      <c r="H406" s="16" t="n">
        <v>7</v>
      </c>
      <c r="I406" s="19">
        <f>IF(OR(F406="",G406=""),"",F406*G406)</f>
        <v/>
      </c>
      <c r="J406" s="36">
        <f>IF(OR(F406="",G406=""),"",ROUND(G406*(1+F406/30),1))</f>
        <v/>
      </c>
      <c r="K406" s="20" t="n"/>
    </row>
    <row r="407" ht="18" customHeight="1">
      <c r="A407" s="37" t="n">
        <v>46287</v>
      </c>
      <c r="B407" s="22">
        <f>IF(A407="","",IFERROR(INT((A407-DATE(2026,4,27))/7)+1,""))</f>
        <v/>
      </c>
      <c r="C407" s="22" t="inlineStr">
        <is>
          <t>Cali Full Body</t>
        </is>
      </c>
      <c r="D407" s="23" t="inlineStr">
        <is>
          <t>Push-up (incline)</t>
        </is>
      </c>
      <c r="E407" s="22" t="n">
        <v>4</v>
      </c>
      <c r="F407" s="22" t="n">
        <v>10</v>
      </c>
      <c r="G407" s="38" t="n"/>
      <c r="H407" s="22" t="n">
        <v>9</v>
      </c>
      <c r="I407" s="25">
        <f>IF(OR(F407="",G407=""),"",F407*G407)</f>
        <v/>
      </c>
      <c r="J407" s="38">
        <f>IF(OR(F407="",G407=""),"",ROUND(G407*(1+F407/30),1))</f>
        <v/>
      </c>
      <c r="K407" s="26" t="n"/>
    </row>
    <row r="408" ht="18" customHeight="1">
      <c r="A408" s="35" t="n">
        <v>46287</v>
      </c>
      <c r="B408" s="16">
        <f>IF(A408="","",IFERROR(INT((A408-DATE(2026,4,27))/7)+1,""))</f>
        <v/>
      </c>
      <c r="C408" s="16" t="inlineStr">
        <is>
          <t>Cali Full Body</t>
        </is>
      </c>
      <c r="D408" s="17" t="inlineStr">
        <is>
          <t>Inverted Row</t>
        </is>
      </c>
      <c r="E408" s="16" t="n">
        <v>1</v>
      </c>
      <c r="F408" s="16" t="n">
        <v>10</v>
      </c>
      <c r="G408" s="36" t="n"/>
      <c r="H408" s="16" t="n">
        <v>8</v>
      </c>
      <c r="I408" s="19">
        <f>IF(OR(F408="",G408=""),"",F408*G408)</f>
        <v/>
      </c>
      <c r="J408" s="36">
        <f>IF(OR(F408="",G408=""),"",ROUND(G408*(1+F408/30),1))</f>
        <v/>
      </c>
      <c r="K408" s="20" t="inlineStr">
        <is>
          <t>Setting 3. 8-REP CAP BROKEN -&gt; 10/9/9/7 @ 8/9/9/10, decay returned exactly as 9/5. Push/pull RPE gap 0.0 -&gt; 1.14 from this alone. Next: 4x8 HARD STOP.</t>
        </is>
      </c>
    </row>
    <row r="409" ht="18" customHeight="1">
      <c r="A409" s="37" t="n">
        <v>46287</v>
      </c>
      <c r="B409" s="22">
        <f>IF(A409="","",IFERROR(INT((A409-DATE(2026,4,27))/7)+1,""))</f>
        <v/>
      </c>
      <c r="C409" s="22" t="inlineStr">
        <is>
          <t>Cali Full Body</t>
        </is>
      </c>
      <c r="D409" s="23" t="inlineStr">
        <is>
          <t>Inverted Row</t>
        </is>
      </c>
      <c r="E409" s="22" t="n">
        <v>2</v>
      </c>
      <c r="F409" s="22" t="n">
        <v>9</v>
      </c>
      <c r="G409" s="38" t="n"/>
      <c r="H409" s="22" t="n">
        <v>9</v>
      </c>
      <c r="I409" s="25">
        <f>IF(OR(F409="",G409=""),"",F409*G409)</f>
        <v/>
      </c>
      <c r="J409" s="38">
        <f>IF(OR(F409="",G409=""),"",ROUND(G409*(1+F409/30),1))</f>
        <v/>
      </c>
      <c r="K409" s="26" t="n"/>
    </row>
    <row r="410" ht="18" customHeight="1">
      <c r="A410" s="35" t="n">
        <v>46287</v>
      </c>
      <c r="B410" s="16">
        <f>IF(A410="","",IFERROR(INT((A410-DATE(2026,4,27))/7)+1,""))</f>
        <v/>
      </c>
      <c r="C410" s="16" t="inlineStr">
        <is>
          <t>Cali Full Body</t>
        </is>
      </c>
      <c r="D410" s="17" t="inlineStr">
        <is>
          <t>Inverted Row</t>
        </is>
      </c>
      <c r="E410" s="16" t="n">
        <v>3</v>
      </c>
      <c r="F410" s="16" t="n">
        <v>9</v>
      </c>
      <c r="G410" s="36" t="n"/>
      <c r="H410" s="16" t="n">
        <v>9</v>
      </c>
      <c r="I410" s="19">
        <f>IF(OR(F410="",G410=""),"",F410*G410)</f>
        <v/>
      </c>
      <c r="J410" s="36">
        <f>IF(OR(F410="",G410=""),"",ROUND(G410*(1+F410/30),1))</f>
        <v/>
      </c>
      <c r="K410" s="20" t="n"/>
    </row>
    <row r="411" ht="18" customHeight="1">
      <c r="A411" s="37" t="n">
        <v>46287</v>
      </c>
      <c r="B411" s="22">
        <f>IF(A411="","",IFERROR(INT((A411-DATE(2026,4,27))/7)+1,""))</f>
        <v/>
      </c>
      <c r="C411" s="22" t="inlineStr">
        <is>
          <t>Cali Full Body</t>
        </is>
      </c>
      <c r="D411" s="23" t="inlineStr">
        <is>
          <t>Inverted Row</t>
        </is>
      </c>
      <c r="E411" s="22" t="n">
        <v>4</v>
      </c>
      <c r="F411" s="22" t="n">
        <v>7</v>
      </c>
      <c r="G411" s="38" t="n"/>
      <c r="H411" s="22" t="n">
        <v>10</v>
      </c>
      <c r="I411" s="25">
        <f>IF(OR(F411="",G411=""),"",F411*G411)</f>
        <v/>
      </c>
      <c r="J411" s="38">
        <f>IF(OR(F411="",G411=""),"",ROUND(G411*(1+F411/30),1))</f>
        <v/>
      </c>
      <c r="K411" s="26" t="n"/>
    </row>
    <row r="412" ht="18" customHeight="1">
      <c r="A412" s="35" t="n">
        <v>46287</v>
      </c>
      <c r="B412" s="16">
        <f>IF(A412="","",IFERROR(INT((A412-DATE(2026,4,27))/7)+1,""))</f>
        <v/>
      </c>
      <c r="C412" s="16" t="inlineStr">
        <is>
          <t>Cali Full Body</t>
        </is>
      </c>
      <c r="D412" s="17" t="inlineStr">
        <is>
          <t>Pull-up (negatives)</t>
        </is>
      </c>
      <c r="E412" s="16" t="n">
        <v>1</v>
      </c>
      <c r="F412" s="16" t="n">
        <v>9</v>
      </c>
      <c r="G412" s="36" t="n"/>
      <c r="H412" s="16" t="n">
        <v>8</v>
      </c>
      <c r="I412" s="19">
        <f>IF(OR(F412="",G412=""),"",F412*G412)</f>
        <v/>
      </c>
      <c r="J412" s="36">
        <f>IF(OR(F412="",G412=""),"",ROUND(G412*(1+F412/30),1))</f>
        <v/>
      </c>
      <c r="K412" s="20" t="inlineStr">
        <is>
          <t>Variation switched from feet-assisted to negatives by athlete. S1 overshoot (9) spent S3 (RPE 10). Next: negatives 3x5, stop at 5.</t>
        </is>
      </c>
    </row>
    <row r="413" ht="18" customHeight="1">
      <c r="A413" s="37" t="n">
        <v>46287</v>
      </c>
      <c r="B413" s="22">
        <f>IF(A413="","",IFERROR(INT((A413-DATE(2026,4,27))/7)+1,""))</f>
        <v/>
      </c>
      <c r="C413" s="22" t="inlineStr">
        <is>
          <t>Cali Full Body</t>
        </is>
      </c>
      <c r="D413" s="23" t="inlineStr">
        <is>
          <t>Pull-up (negatives)</t>
        </is>
      </c>
      <c r="E413" s="22" t="n">
        <v>2</v>
      </c>
      <c r="F413" s="22" t="n">
        <v>5</v>
      </c>
      <c r="G413" s="38" t="n"/>
      <c r="H413" s="22" t="n">
        <v>8</v>
      </c>
      <c r="I413" s="25">
        <f>IF(OR(F413="",G413=""),"",F413*G413)</f>
        <v/>
      </c>
      <c r="J413" s="38">
        <f>IF(OR(F413="",G413=""),"",ROUND(G413*(1+F413/30),1))</f>
        <v/>
      </c>
      <c r="K413" s="26" t="n"/>
    </row>
    <row r="414" ht="18" customHeight="1">
      <c r="A414" s="35" t="n">
        <v>46287</v>
      </c>
      <c r="B414" s="16">
        <f>IF(A414="","",IFERROR(INT((A414-DATE(2026,4,27))/7)+1,""))</f>
        <v/>
      </c>
      <c r="C414" s="16" t="inlineStr">
        <is>
          <t>Cali Full Body</t>
        </is>
      </c>
      <c r="D414" s="17" t="inlineStr">
        <is>
          <t>Pull-up (negatives)</t>
        </is>
      </c>
      <c r="E414" s="16" t="n">
        <v>3</v>
      </c>
      <c r="F414" s="16" t="n">
        <v>5</v>
      </c>
      <c r="G414" s="36" t="n"/>
      <c r="H414" s="16" t="n">
        <v>10</v>
      </c>
      <c r="I414" s="19">
        <f>IF(OR(F414="",G414=""),"",F414*G414)</f>
        <v/>
      </c>
      <c r="J414" s="36">
        <f>IF(OR(F414="",G414=""),"",ROUND(G414*(1+F414/30),1))</f>
        <v/>
      </c>
      <c r="K414" s="20" t="n"/>
    </row>
    <row r="415" ht="18" customHeight="1">
      <c r="A415" s="37" t="n">
        <v>46287</v>
      </c>
      <c r="B415" s="22">
        <f>IF(A415="","",IFERROR(INT((A415-DATE(2026,4,27))/7)+1,""))</f>
        <v/>
      </c>
      <c r="C415" s="22" t="inlineStr">
        <is>
          <t>Cali Full Body</t>
        </is>
      </c>
      <c r="D415" s="23" t="inlineStr">
        <is>
          <t>Push-up (2nd block, incline)</t>
        </is>
      </c>
      <c r="E415" s="22" t="n">
        <v>1</v>
      </c>
      <c r="F415" s="22" t="n">
        <v>7</v>
      </c>
      <c r="G415" s="38" t="n"/>
      <c r="H415" s="22" t="n">
        <v>7</v>
      </c>
      <c r="I415" s="25">
        <f>IF(OR(F415="",G415=""),"",F415*G415)</f>
        <v/>
      </c>
      <c r="J415" s="38">
        <f>IF(OR(F415="",G415=""),"",ROUND(G415*(1+F415/30),1))</f>
        <v/>
      </c>
      <c r="K415" s="26" t="inlineStr">
        <is>
          <t>Setting 3, prescribed 3x6. S3 to failure. Next: hold 3x6.</t>
        </is>
      </c>
    </row>
    <row r="416" ht="18" customHeight="1">
      <c r="A416" s="35" t="n">
        <v>46287</v>
      </c>
      <c r="B416" s="16">
        <f>IF(A416="","",IFERROR(INT((A416-DATE(2026,4,27))/7)+1,""))</f>
        <v/>
      </c>
      <c r="C416" s="16" t="inlineStr">
        <is>
          <t>Cali Full Body</t>
        </is>
      </c>
      <c r="D416" s="17" t="inlineStr">
        <is>
          <t>Push-up (2nd block, incline)</t>
        </is>
      </c>
      <c r="E416" s="16" t="n">
        <v>2</v>
      </c>
      <c r="F416" s="16" t="n">
        <v>7</v>
      </c>
      <c r="G416" s="36" t="n"/>
      <c r="H416" s="16" t="n">
        <v>8</v>
      </c>
      <c r="I416" s="19">
        <f>IF(OR(F416="",G416=""),"",F416*G416)</f>
        <v/>
      </c>
      <c r="J416" s="36">
        <f>IF(OR(F416="",G416=""),"",ROUND(G416*(1+F416/30),1))</f>
        <v/>
      </c>
      <c r="K416" s="20" t="n"/>
    </row>
    <row r="417" ht="18" customHeight="1">
      <c r="A417" s="37" t="n">
        <v>46287</v>
      </c>
      <c r="B417" s="22">
        <f>IF(A417="","",IFERROR(INT((A417-DATE(2026,4,27))/7)+1,""))</f>
        <v/>
      </c>
      <c r="C417" s="22" t="inlineStr">
        <is>
          <t>Cali Full Body</t>
        </is>
      </c>
      <c r="D417" s="23" t="inlineStr">
        <is>
          <t>Push-up (2nd block, incline)</t>
        </is>
      </c>
      <c r="E417" s="22" t="n">
        <v>3</v>
      </c>
      <c r="F417" s="22" t="n">
        <v>5</v>
      </c>
      <c r="G417" s="38" t="n"/>
      <c r="H417" s="22" t="n">
        <v>10</v>
      </c>
      <c r="I417" s="25">
        <f>IF(OR(F417="",G417=""),"",F417*G417)</f>
        <v/>
      </c>
      <c r="J417" s="38">
        <f>IF(OR(F417="",G417=""),"",ROUND(G417*(1+F417/30),1))</f>
        <v/>
      </c>
      <c r="K417" s="26" t="n"/>
    </row>
    <row r="418" ht="18" customHeight="1">
      <c r="A418" s="35" t="n">
        <v>46287</v>
      </c>
      <c r="B418" s="16">
        <f>IF(A418="","",IFERROR(INT((A418-DATE(2026,4,27))/7)+1,""))</f>
        <v/>
      </c>
      <c r="C418" s="16" t="inlineStr">
        <is>
          <t>Cali Full Body</t>
        </is>
      </c>
      <c r="D418" s="17" t="inlineStr">
        <is>
          <t>Bulgarian Split Squat (BW)</t>
        </is>
      </c>
      <c r="E418" s="16" t="n">
        <v>1</v>
      </c>
      <c r="F418" s="16" t="n">
        <v>8</v>
      </c>
      <c r="G418" s="36" t="n"/>
      <c r="H418" s="16" t="n">
        <v>6</v>
      </c>
      <c r="I418" s="19">
        <f>IF(OR(F418="",G418=""),"",F418*G418)</f>
        <v/>
      </c>
      <c r="J418" s="36">
        <f>IF(OR(F418="",G418=""),"",ROUND(G418*(1+F418/30),1))</f>
        <v/>
      </c>
      <c r="K418" s="20" t="inlineStr">
        <is>
          <t>reps per leg. RPE 6 cap held every set. Cut Fri 9/25 (benchmark); next Mon 9/28 3x8.</t>
        </is>
      </c>
    </row>
    <row r="419" ht="18" customHeight="1">
      <c r="A419" s="37" t="n">
        <v>46287</v>
      </c>
      <c r="B419" s="22">
        <f>IF(A419="","",IFERROR(INT((A419-DATE(2026,4,27))/7)+1,""))</f>
        <v/>
      </c>
      <c r="C419" s="22" t="inlineStr">
        <is>
          <t>Cali Full Body</t>
        </is>
      </c>
      <c r="D419" s="23" t="inlineStr">
        <is>
          <t>Bulgarian Split Squat (BW)</t>
        </is>
      </c>
      <c r="E419" s="22" t="n">
        <v>2</v>
      </c>
      <c r="F419" s="22" t="n">
        <v>6</v>
      </c>
      <c r="G419" s="38" t="n"/>
      <c r="H419" s="22" t="n">
        <v>6</v>
      </c>
      <c r="I419" s="25">
        <f>IF(OR(F419="",G419=""),"",F419*G419)</f>
        <v/>
      </c>
      <c r="J419" s="38">
        <f>IF(OR(F419="",G419=""),"",ROUND(G419*(1+F419/30),1))</f>
        <v/>
      </c>
      <c r="K419" s="26" t="n"/>
    </row>
    <row r="420" ht="18" customHeight="1">
      <c r="A420" s="35" t="n">
        <v>46287</v>
      </c>
      <c r="B420" s="16">
        <f>IF(A420="","",IFERROR(INT((A420-DATE(2026,4,27))/7)+1,""))</f>
        <v/>
      </c>
      <c r="C420" s="16" t="inlineStr">
        <is>
          <t>Cali Full Body</t>
        </is>
      </c>
      <c r="D420" s="17" t="inlineStr">
        <is>
          <t>Bulgarian Split Squat (BW)</t>
        </is>
      </c>
      <c r="E420" s="16" t="n">
        <v>3</v>
      </c>
      <c r="F420" s="16" t="n">
        <v>6</v>
      </c>
      <c r="G420" s="36" t="n"/>
      <c r="H420" s="16" t="n">
        <v>6</v>
      </c>
      <c r="I420" s="19">
        <f>IF(OR(F420="",G420=""),"",F420*G420)</f>
        <v/>
      </c>
      <c r="J420" s="36">
        <f>IF(OR(F420="",G420=""),"",ROUND(G420*(1+F420/30),1))</f>
        <v/>
      </c>
      <c r="K420" s="20" t="n"/>
    </row>
    <row r="421" ht="18" customHeight="1">
      <c r="A421" s="37" t="n">
        <v>46287</v>
      </c>
      <c r="B421" s="22">
        <f>IF(A421="","",IFERROR(INT((A421-DATE(2026,4,27))/7)+1,""))</f>
        <v/>
      </c>
      <c r="C421" s="22" t="inlineStr">
        <is>
          <t>Cali Full Body</t>
        </is>
      </c>
      <c r="D421" s="23" t="inlineStr">
        <is>
          <t>Single-Leg RDL (BW)</t>
        </is>
      </c>
      <c r="E421" s="22" t="n">
        <v>1</v>
      </c>
      <c r="F421" s="22" t="n">
        <v>8</v>
      </c>
      <c r="G421" s="38" t="n"/>
      <c r="H421" s="22" t="n">
        <v>6</v>
      </c>
      <c r="I421" s="25">
        <f>IF(OR(F421="",G421=""),"",F421*G421)</f>
        <v/>
      </c>
      <c r="J421" s="38">
        <f>IF(OR(F421="",G421=""),"",ROUND(G421*(1+F421/30),1))</f>
        <v/>
      </c>
      <c r="K421" s="26" t="inlineStr">
        <is>
          <t>reps per leg. RPE 6 cap held every set.</t>
        </is>
      </c>
    </row>
    <row r="422" ht="18" customHeight="1">
      <c r="A422" s="35" t="n">
        <v>46287</v>
      </c>
      <c r="B422" s="16">
        <f>IF(A422="","",IFERROR(INT((A422-DATE(2026,4,27))/7)+1,""))</f>
        <v/>
      </c>
      <c r="C422" s="16" t="inlineStr">
        <is>
          <t>Cali Full Body</t>
        </is>
      </c>
      <c r="D422" s="17" t="inlineStr">
        <is>
          <t>Single-Leg RDL (BW)</t>
        </is>
      </c>
      <c r="E422" s="16" t="n">
        <v>2</v>
      </c>
      <c r="F422" s="16" t="n">
        <v>6</v>
      </c>
      <c r="G422" s="36" t="n"/>
      <c r="H422" s="16" t="n">
        <v>6</v>
      </c>
      <c r="I422" s="19">
        <f>IF(OR(F422="",G422=""),"",F422*G422)</f>
        <v/>
      </c>
      <c r="J422" s="36">
        <f>IF(OR(F422="",G422=""),"",ROUND(G422*(1+F422/30),1))</f>
        <v/>
      </c>
      <c r="K422" s="20" t="n"/>
    </row>
    <row r="423" ht="18" customHeight="1">
      <c r="A423" s="37" t="n">
        <v>46287</v>
      </c>
      <c r="B423" s="22">
        <f>IF(A423="","",IFERROR(INT((A423-DATE(2026,4,27))/7)+1,""))</f>
        <v/>
      </c>
      <c r="C423" s="22" t="inlineStr">
        <is>
          <t>Cali Full Body</t>
        </is>
      </c>
      <c r="D423" s="23" t="inlineStr">
        <is>
          <t>Single-Leg RDL (BW)</t>
        </is>
      </c>
      <c r="E423" s="22" t="n">
        <v>3</v>
      </c>
      <c r="F423" s="22" t="n">
        <v>6</v>
      </c>
      <c r="G423" s="38" t="n"/>
      <c r="H423" s="22" t="n">
        <v>6</v>
      </c>
      <c r="I423" s="25">
        <f>IF(OR(F423="",G423=""),"",F423*G423)</f>
        <v/>
      </c>
      <c r="J423" s="38">
        <f>IF(OR(F423="",G423=""),"",ROUND(G423*(1+F423/30),1))</f>
        <v/>
      </c>
      <c r="K423" s="26" t="n"/>
    </row>
    <row r="424" ht="18" customHeight="1">
      <c r="A424" s="35" t="n">
        <v>46287</v>
      </c>
      <c r="B424" s="16">
        <f>IF(A424="","",IFERROR(INT((A424-DATE(2026,4,27))/7)+1,""))</f>
        <v/>
      </c>
      <c r="C424" s="16" t="inlineStr">
        <is>
          <t>Cali Full Body</t>
        </is>
      </c>
      <c r="D424" s="17" t="inlineStr">
        <is>
          <t>Tibialis Raise (slow ecc, BW)</t>
        </is>
      </c>
      <c r="E424" s="16" t="n">
        <v>1</v>
      </c>
      <c r="F424" s="16" t="n">
        <v>15</v>
      </c>
      <c r="G424" s="36" t="n"/>
      <c r="H424" s="16" t="n">
        <v>5</v>
      </c>
      <c r="I424" s="19">
        <f>IF(OR(F424="",G424=""),"",F424*G424)</f>
        <v/>
      </c>
      <c r="J424" s="36">
        <f>IF(OR(F424="",G424=""),"",ROUND(G424*(1+F424/30),1))</f>
        <v/>
      </c>
      <c r="K424" s="20" t="inlineStr">
        <is>
          <t>First session slow eccentric 3 s. Prescribed 3x20 - ran 15s at RPE 5-5.5, far under target. Next: full 3x20, Fri PM post-run.</t>
        </is>
      </c>
    </row>
    <row r="425" ht="18" customHeight="1">
      <c r="A425" s="37" t="n">
        <v>46287</v>
      </c>
      <c r="B425" s="22">
        <f>IF(A425="","",IFERROR(INT((A425-DATE(2026,4,27))/7)+1,""))</f>
        <v/>
      </c>
      <c r="C425" s="22" t="inlineStr">
        <is>
          <t>Cali Full Body</t>
        </is>
      </c>
      <c r="D425" s="23" t="inlineStr">
        <is>
          <t>Tibialis Raise (slow ecc, BW)</t>
        </is>
      </c>
      <c r="E425" s="22" t="n">
        <v>2</v>
      </c>
      <c r="F425" s="22" t="n">
        <v>15</v>
      </c>
      <c r="G425" s="38" t="n"/>
      <c r="H425" s="22" t="n">
        <v>5.5</v>
      </c>
      <c r="I425" s="25">
        <f>IF(OR(F425="",G425=""),"",F425*G425)</f>
        <v/>
      </c>
      <c r="J425" s="38">
        <f>IF(OR(F425="",G425=""),"",ROUND(G425*(1+F425/30),1))</f>
        <v/>
      </c>
      <c r="K425" s="26" t="n"/>
    </row>
    <row r="426" ht="18" customHeight="1">
      <c r="A426" s="35" t="n">
        <v>46287</v>
      </c>
      <c r="B426" s="16">
        <f>IF(A426="","",IFERROR(INT((A426-DATE(2026,4,27))/7)+1,""))</f>
        <v/>
      </c>
      <c r="C426" s="16" t="inlineStr">
        <is>
          <t>Cali Full Body</t>
        </is>
      </c>
      <c r="D426" s="17" t="inlineStr">
        <is>
          <t>Tibialis Raise (slow ecc, BW)</t>
        </is>
      </c>
      <c r="E426" s="16" t="n">
        <v>3</v>
      </c>
      <c r="F426" s="16" t="n">
        <v>15</v>
      </c>
      <c r="G426" s="36" t="n"/>
      <c r="H426" s="16" t="n">
        <v>5.5</v>
      </c>
      <c r="I426" s="19">
        <f>IF(OR(F426="",G426=""),"",F426*G426)</f>
        <v/>
      </c>
      <c r="J426" s="36">
        <f>IF(OR(F426="",G426=""),"",ROUND(G426*(1+F426/30),1))</f>
        <v/>
      </c>
      <c r="K426" s="20" t="n"/>
    </row>
    <row r="427" ht="18" customHeight="1">
      <c r="A427" s="37" t="n">
        <v>46287</v>
      </c>
      <c r="B427" s="22">
        <f>IF(A427="","",IFERROR(INT((A427-DATE(2026,4,27))/7)+1,""))</f>
        <v/>
      </c>
      <c r="C427" s="22" t="inlineStr">
        <is>
          <t>Cali Full Body</t>
        </is>
      </c>
      <c r="D427" s="23" t="inlineStr">
        <is>
          <t>Hanging Knee Raise (BW)</t>
        </is>
      </c>
      <c r="E427" s="22" t="n">
        <v>1</v>
      </c>
      <c r="F427" s="22" t="n">
        <v>5</v>
      </c>
      <c r="G427" s="38" t="n"/>
      <c r="H427" s="22" t="n">
        <v>7</v>
      </c>
      <c r="I427" s="25">
        <f>IF(OR(F427="",G427=""),"",F427*G427)</f>
        <v/>
      </c>
      <c r="J427" s="38">
        <f>IF(OR(F427="",G427=""),"",ROUND(G427*(1+F427/30),1))</f>
        <v/>
      </c>
      <c r="K427" s="26" t="inlineStr">
        <is>
          <t>Down from 8/8/8 on 9/9 - grip spent after B1 RPE 10. Next: 3x6, rebuild to 8.</t>
        </is>
      </c>
    </row>
    <row r="428" ht="18" customHeight="1">
      <c r="A428" s="35" t="n">
        <v>46287</v>
      </c>
      <c r="B428" s="16">
        <f>IF(A428="","",IFERROR(INT((A428-DATE(2026,4,27))/7)+1,""))</f>
        <v/>
      </c>
      <c r="C428" s="16" t="inlineStr">
        <is>
          <t>Cali Full Body</t>
        </is>
      </c>
      <c r="D428" s="17" t="inlineStr">
        <is>
          <t>Hanging Knee Raise (BW)</t>
        </is>
      </c>
      <c r="E428" s="16" t="n">
        <v>2</v>
      </c>
      <c r="F428" s="16" t="n">
        <v>5</v>
      </c>
      <c r="G428" s="36" t="n"/>
      <c r="H428" s="16" t="n">
        <v>7.5</v>
      </c>
      <c r="I428" s="19">
        <f>IF(OR(F428="",G428=""),"",F428*G428)</f>
        <v/>
      </c>
      <c r="J428" s="36">
        <f>IF(OR(F428="",G428=""),"",ROUND(G428*(1+F428/30),1))</f>
        <v/>
      </c>
      <c r="K428" s="20" t="n"/>
    </row>
    <row r="429" ht="18" customHeight="1">
      <c r="A429" s="37" t="n">
        <v>46287</v>
      </c>
      <c r="B429" s="22">
        <f>IF(A429="","",IFERROR(INT((A429-DATE(2026,4,27))/7)+1,""))</f>
        <v/>
      </c>
      <c r="C429" s="22" t="inlineStr">
        <is>
          <t>Cali Full Body</t>
        </is>
      </c>
      <c r="D429" s="23" t="inlineStr">
        <is>
          <t>Hanging Knee Raise (BW)</t>
        </is>
      </c>
      <c r="E429" s="22" t="n">
        <v>3</v>
      </c>
      <c r="F429" s="22" t="n">
        <v>5</v>
      </c>
      <c r="G429" s="38" t="n"/>
      <c r="H429" s="22" t="n">
        <v>8</v>
      </c>
      <c r="I429" s="25">
        <f>IF(OR(F429="",G429=""),"",F429*G429)</f>
        <v/>
      </c>
      <c r="J429" s="38">
        <f>IF(OR(F429="",G429=""),"",ROUND(G429*(1+F429/30),1))</f>
        <v/>
      </c>
      <c r="K429" s="26" t="n"/>
    </row>
    <row r="430" ht="18" customHeight="1">
      <c r="A430" s="35" t="n">
        <v>46287</v>
      </c>
      <c r="B430" s="16">
        <f>IF(A430="","",IFERROR(INT((A430-DATE(2026,4,27))/7)+1,""))</f>
        <v/>
      </c>
      <c r="C430" s="16" t="inlineStr">
        <is>
          <t>Cali Full Body</t>
        </is>
      </c>
      <c r="D430" s="17" t="inlineStr">
        <is>
          <t>Side Plank (BW)</t>
        </is>
      </c>
      <c r="E430" s="16" t="n">
        <v>1</v>
      </c>
      <c r="F430" s="16" t="n">
        <v>20</v>
      </c>
      <c r="G430" s="36" t="n"/>
      <c r="H430" s="16" t="n">
        <v>8</v>
      </c>
      <c r="I430" s="19">
        <f>IF(OR(F430="",G430=""),"",F430*G430)</f>
        <v/>
      </c>
      <c r="J430" s="36">
        <f>IF(OR(F430="",G430=""),"",ROUND(G430*(1+F430/30),1))</f>
        <v/>
      </c>
      <c r="K430" s="20" t="inlineStr">
        <is>
          <t>reps col = seconds PER SIDE. 45 s rung FAILED -&gt; 20 s @ 8/9. REGRESS to 2x30 s.</t>
        </is>
      </c>
    </row>
    <row r="431" ht="18" customHeight="1">
      <c r="A431" s="37" t="n">
        <v>46287</v>
      </c>
      <c r="B431" s="22">
        <f>IF(A431="","",IFERROR(INT((A431-DATE(2026,4,27))/7)+1,""))</f>
        <v/>
      </c>
      <c r="C431" s="22" t="inlineStr">
        <is>
          <t>Cali Full Body</t>
        </is>
      </c>
      <c r="D431" s="23" t="inlineStr">
        <is>
          <t>Side Plank (BW)</t>
        </is>
      </c>
      <c r="E431" s="22" t="n">
        <v>2</v>
      </c>
      <c r="F431" s="22" t="n">
        <v>20</v>
      </c>
      <c r="G431" s="38" t="n"/>
      <c r="H431" s="22" t="n">
        <v>9</v>
      </c>
      <c r="I431" s="25">
        <f>IF(OR(F431="",G431=""),"",F431*G431)</f>
        <v/>
      </c>
      <c r="J431" s="38">
        <f>IF(OR(F431="",G431=""),"",ROUND(G431*(1+F431/30),1))</f>
        <v/>
      </c>
      <c r="K431" s="26" t="n"/>
    </row>
    <row r="432" ht="18" customHeight="1">
      <c r="A432" s="35" t="n">
        <v>46291</v>
      </c>
      <c r="B432" s="16">
        <f>IF(A432="","",IFERROR(INT((A432-DATE(2026,4,27))/7)+1,""))</f>
        <v/>
      </c>
      <c r="C432" s="16" t="inlineStr">
        <is>
          <t>Cali Full Body</t>
        </is>
      </c>
      <c r="D432" s="17" t="inlineStr">
        <is>
          <t>Push-up (incline)</t>
        </is>
      </c>
      <c r="E432" s="16" t="n">
        <v>1</v>
      </c>
      <c r="F432" s="16" t="n">
        <v>10</v>
      </c>
      <c r="G432" s="36" t="n"/>
      <c r="H432" s="16" t="n">
        <v>7</v>
      </c>
      <c r="I432" s="19">
        <f>IF(OR(F432="",G432=""),"",F432*G432)</f>
        <v/>
      </c>
      <c r="J432" s="36">
        <f>IF(OR(F432="",G432=""),"",ROUND(G432*(1+F432/30),1))</f>
        <v/>
      </c>
      <c r="K432" s="20" t="inlineStr">
        <is>
          <t>Cali #6 UPPER ONLY (Sat, day before long), setting 3. S4 9-&gt;8 vs 9/22. Not all &lt;=7 -&gt; HOLD 4x10.</t>
        </is>
      </c>
    </row>
    <row r="433" ht="18" customHeight="1">
      <c r="A433" s="37" t="n">
        <v>46291</v>
      </c>
      <c r="B433" s="22">
        <f>IF(A433="","",IFERROR(INT((A433-DATE(2026,4,27))/7)+1,""))</f>
        <v/>
      </c>
      <c r="C433" s="22" t="inlineStr">
        <is>
          <t>Cali Full Body</t>
        </is>
      </c>
      <c r="D433" s="23" t="inlineStr">
        <is>
          <t>Push-up (incline)</t>
        </is>
      </c>
      <c r="E433" s="22" t="n">
        <v>2</v>
      </c>
      <c r="F433" s="22" t="n">
        <v>10</v>
      </c>
      <c r="G433" s="38" t="n"/>
      <c r="H433" s="22" t="n">
        <v>8</v>
      </c>
      <c r="I433" s="25">
        <f>IF(OR(F433="",G433=""),"",F433*G433)</f>
        <v/>
      </c>
      <c r="J433" s="38">
        <f>IF(OR(F433="",G433=""),"",ROUND(G433*(1+F433/30),1))</f>
        <v/>
      </c>
      <c r="K433" s="26" t="n"/>
    </row>
    <row r="434" ht="18" customHeight="1">
      <c r="A434" s="35" t="n">
        <v>46291</v>
      </c>
      <c r="B434" s="16">
        <f>IF(A434="","",IFERROR(INT((A434-DATE(2026,4,27))/7)+1,""))</f>
        <v/>
      </c>
      <c r="C434" s="16" t="inlineStr">
        <is>
          <t>Cali Full Body</t>
        </is>
      </c>
      <c r="D434" s="17" t="inlineStr">
        <is>
          <t>Push-up (incline)</t>
        </is>
      </c>
      <c r="E434" s="16" t="n">
        <v>3</v>
      </c>
      <c r="F434" s="16" t="n">
        <v>10</v>
      </c>
      <c r="G434" s="36" t="n"/>
      <c r="H434" s="16" t="n">
        <v>7</v>
      </c>
      <c r="I434" s="19">
        <f>IF(OR(F434="",G434=""),"",F434*G434)</f>
        <v/>
      </c>
      <c r="J434" s="36">
        <f>IF(OR(F434="",G434=""),"",ROUND(G434*(1+F434/30),1))</f>
        <v/>
      </c>
      <c r="K434" s="20" t="n"/>
    </row>
    <row r="435" ht="18" customHeight="1">
      <c r="A435" s="37" t="n">
        <v>46291</v>
      </c>
      <c r="B435" s="22">
        <f>IF(A435="","",IFERROR(INT((A435-DATE(2026,4,27))/7)+1,""))</f>
        <v/>
      </c>
      <c r="C435" s="22" t="inlineStr">
        <is>
          <t>Cali Full Body</t>
        </is>
      </c>
      <c r="D435" s="23" t="inlineStr">
        <is>
          <t>Push-up (incline)</t>
        </is>
      </c>
      <c r="E435" s="22" t="n">
        <v>4</v>
      </c>
      <c r="F435" s="22" t="n">
        <v>10</v>
      </c>
      <c r="G435" s="38" t="n"/>
      <c r="H435" s="22" t="n">
        <v>8</v>
      </c>
      <c r="I435" s="25">
        <f>IF(OR(F435="",G435=""),"",F435*G435)</f>
        <v/>
      </c>
      <c r="J435" s="38">
        <f>IF(OR(F435="",G435=""),"",ROUND(G435*(1+F435/30),1))</f>
        <v/>
      </c>
      <c r="K435" s="26" t="n"/>
    </row>
    <row r="436" ht="18" customHeight="1">
      <c r="A436" s="35" t="n">
        <v>46291</v>
      </c>
      <c r="B436" s="16">
        <f>IF(A436="","",IFERROR(INT((A436-DATE(2026,4,27))/7)+1,""))</f>
        <v/>
      </c>
      <c r="C436" s="16" t="inlineStr">
        <is>
          <t>Cali Full Body</t>
        </is>
      </c>
      <c r="D436" s="17" t="inlineStr">
        <is>
          <t>Inverted Row</t>
        </is>
      </c>
      <c r="E436" s="16" t="n">
        <v>1</v>
      </c>
      <c r="F436" s="16" t="n">
        <v>8</v>
      </c>
      <c r="G436" s="36" t="n"/>
      <c r="H436" s="16" t="n">
        <v>8</v>
      </c>
      <c r="I436" s="19">
        <f>IF(OR(F436="",G436=""),"",F436*G436)</f>
        <v/>
      </c>
      <c r="J436" s="36">
        <f>IF(OR(F436="",G436=""),"",ROUND(G436*(1+F436/30),1))</f>
        <v/>
      </c>
      <c r="K436" s="20" t="inlineStr">
        <is>
          <t>Setting 3, 8-rep HARD STOP OBEYED (9/22: 10/9/9/7 @ ..10). Hold 4x8 cap.</t>
        </is>
      </c>
    </row>
    <row r="437" ht="18" customHeight="1">
      <c r="A437" s="37" t="n">
        <v>46291</v>
      </c>
      <c r="B437" s="22">
        <f>IF(A437="","",IFERROR(INT((A437-DATE(2026,4,27))/7)+1,""))</f>
        <v/>
      </c>
      <c r="C437" s="22" t="inlineStr">
        <is>
          <t>Cali Full Body</t>
        </is>
      </c>
      <c r="D437" s="23" t="inlineStr">
        <is>
          <t>Inverted Row</t>
        </is>
      </c>
      <c r="E437" s="22" t="n">
        <v>2</v>
      </c>
      <c r="F437" s="22" t="n">
        <v>8</v>
      </c>
      <c r="G437" s="38" t="n"/>
      <c r="H437" s="22" t="n">
        <v>8</v>
      </c>
      <c r="I437" s="25">
        <f>IF(OR(F437="",G437=""),"",F437*G437)</f>
        <v/>
      </c>
      <c r="J437" s="38">
        <f>IF(OR(F437="",G437=""),"",ROUND(G437*(1+F437/30),1))</f>
        <v/>
      </c>
      <c r="K437" s="26" t="n"/>
    </row>
    <row r="438" ht="18" customHeight="1">
      <c r="A438" s="35" t="n">
        <v>46291</v>
      </c>
      <c r="B438" s="16">
        <f>IF(A438="","",IFERROR(INT((A438-DATE(2026,4,27))/7)+1,""))</f>
        <v/>
      </c>
      <c r="C438" s="16" t="inlineStr">
        <is>
          <t>Cali Full Body</t>
        </is>
      </c>
      <c r="D438" s="17" t="inlineStr">
        <is>
          <t>Inverted Row</t>
        </is>
      </c>
      <c r="E438" s="16" t="n">
        <v>3</v>
      </c>
      <c r="F438" s="16" t="n">
        <v>8</v>
      </c>
      <c r="G438" s="36" t="n"/>
      <c r="H438" s="16" t="n">
        <v>7</v>
      </c>
      <c r="I438" s="19">
        <f>IF(OR(F438="",G438=""),"",F438*G438)</f>
        <v/>
      </c>
      <c r="J438" s="36">
        <f>IF(OR(F438="",G438=""),"",ROUND(G438*(1+F438/30),1))</f>
        <v/>
      </c>
      <c r="K438" s="20" t="n"/>
    </row>
    <row r="439" ht="18" customHeight="1">
      <c r="A439" s="37" t="n">
        <v>46291</v>
      </c>
      <c r="B439" s="22">
        <f>IF(A439="","",IFERROR(INT((A439-DATE(2026,4,27))/7)+1,""))</f>
        <v/>
      </c>
      <c r="C439" s="22" t="inlineStr">
        <is>
          <t>Cali Full Body</t>
        </is>
      </c>
      <c r="D439" s="23" t="inlineStr">
        <is>
          <t>Inverted Row</t>
        </is>
      </c>
      <c r="E439" s="22" t="n">
        <v>4</v>
      </c>
      <c r="F439" s="22" t="n">
        <v>8</v>
      </c>
      <c r="G439" s="38" t="n"/>
      <c r="H439" s="22" t="n">
        <v>8</v>
      </c>
      <c r="I439" s="25">
        <f>IF(OR(F439="",G439=""),"",F439*G439)</f>
        <v/>
      </c>
      <c r="J439" s="38">
        <f>IF(OR(F439="",G439=""),"",ROUND(G439*(1+F439/30),1))</f>
        <v/>
      </c>
      <c r="K439" s="26" t="n"/>
    </row>
    <row r="440" ht="18" customHeight="1">
      <c r="A440" s="35" t="n">
        <v>46291</v>
      </c>
      <c r="B440" s="16">
        <f>IF(A440="","",IFERROR(INT((A440-DATE(2026,4,27))/7)+1,""))</f>
        <v/>
      </c>
      <c r="C440" s="16" t="inlineStr">
        <is>
          <t>Cali Full Body</t>
        </is>
      </c>
      <c r="D440" s="17" t="inlineStr">
        <is>
          <t>Pull-up (negatives)</t>
        </is>
      </c>
      <c r="E440" s="16" t="n">
        <v>1</v>
      </c>
      <c r="F440" s="16" t="n">
        <v>5</v>
      </c>
      <c r="G440" s="36" t="n"/>
      <c r="H440" s="16" t="n">
        <v>8</v>
      </c>
      <c r="I440" s="19">
        <f>IF(OR(F440="",G440=""),"",F440*G440)</f>
        <v/>
      </c>
      <c r="J440" s="36">
        <f>IF(OR(F440="",G440=""),"",ROUND(G440*(1+F440/30),1))</f>
        <v/>
      </c>
      <c r="K440" s="20" t="inlineStr">
        <is>
          <t>Cap 5 held. S2 RPE 9 over &lt;=8 cap. Hold 3x5.</t>
        </is>
      </c>
    </row>
    <row r="441" ht="18" customHeight="1">
      <c r="A441" s="37" t="n">
        <v>46291</v>
      </c>
      <c r="B441" s="22">
        <f>IF(A441="","",IFERROR(INT((A441-DATE(2026,4,27))/7)+1,""))</f>
        <v/>
      </c>
      <c r="C441" s="22" t="inlineStr">
        <is>
          <t>Cali Full Body</t>
        </is>
      </c>
      <c r="D441" s="23" t="inlineStr">
        <is>
          <t>Pull-up (negatives)</t>
        </is>
      </c>
      <c r="E441" s="22" t="n">
        <v>2</v>
      </c>
      <c r="F441" s="22" t="n">
        <v>5</v>
      </c>
      <c r="G441" s="38" t="n"/>
      <c r="H441" s="22" t="n">
        <v>9</v>
      </c>
      <c r="I441" s="25">
        <f>IF(OR(F441="",G441=""),"",F441*G441)</f>
        <v/>
      </c>
      <c r="J441" s="38">
        <f>IF(OR(F441="",G441=""),"",ROUND(G441*(1+F441/30),1))</f>
        <v/>
      </c>
      <c r="K441" s="26" t="n"/>
    </row>
    <row r="442" ht="18" customHeight="1">
      <c r="A442" s="35" t="n">
        <v>46291</v>
      </c>
      <c r="B442" s="16">
        <f>IF(A442="","",IFERROR(INT((A442-DATE(2026,4,27))/7)+1,""))</f>
        <v/>
      </c>
      <c r="C442" s="16" t="inlineStr">
        <is>
          <t>Cali Full Body</t>
        </is>
      </c>
      <c r="D442" s="17" t="inlineStr">
        <is>
          <t>Pull-up (negatives)</t>
        </is>
      </c>
      <c r="E442" s="16" t="n">
        <v>3</v>
      </c>
      <c r="F442" s="16" t="n">
        <v>5</v>
      </c>
      <c r="G442" s="36" t="n"/>
      <c r="H442" s="16" t="n">
        <v>8</v>
      </c>
      <c r="I442" s="19">
        <f>IF(OR(F442="",G442=""),"",F442*G442)</f>
        <v/>
      </c>
      <c r="J442" s="36">
        <f>IF(OR(F442="",G442=""),"",ROUND(G442*(1+F442/30),1))</f>
        <v/>
      </c>
      <c r="K442" s="20" t="n"/>
    </row>
    <row r="443" ht="18" customHeight="1">
      <c r="A443" s="37" t="n">
        <v>46291</v>
      </c>
      <c r="B443" s="22">
        <f>IF(A443="","",IFERROR(INT((A443-DATE(2026,4,27))/7)+1,""))</f>
        <v/>
      </c>
      <c r="C443" s="22" t="inlineStr">
        <is>
          <t>Cali Full Body</t>
        </is>
      </c>
      <c r="D443" s="23" t="inlineStr">
        <is>
          <t>Push-up (2nd block, incline)</t>
        </is>
      </c>
      <c r="E443" s="22" t="n">
        <v>1</v>
      </c>
      <c r="F443" s="22" t="n">
        <v>6</v>
      </c>
      <c r="G443" s="38" t="n"/>
      <c r="H443" s="22" t="n">
        <v>7</v>
      </c>
      <c r="I443" s="25">
        <f>IF(OR(F443="",G443=""),"",F443*G443)</f>
        <v/>
      </c>
      <c r="J443" s="38">
        <f>IF(OR(F443="",G443=""),"",ROUND(G443*(1+F443/30),1))</f>
        <v/>
      </c>
      <c r="K443" s="26" t="inlineStr">
        <is>
          <t>Setting 3. Gate cleared -&gt; 3x7 next.</t>
        </is>
      </c>
    </row>
    <row r="444" ht="18" customHeight="1">
      <c r="A444" s="35" t="n">
        <v>46291</v>
      </c>
      <c r="B444" s="16">
        <f>IF(A444="","",IFERROR(INT((A444-DATE(2026,4,27))/7)+1,""))</f>
        <v/>
      </c>
      <c r="C444" s="16" t="inlineStr">
        <is>
          <t>Cali Full Body</t>
        </is>
      </c>
      <c r="D444" s="17" t="inlineStr">
        <is>
          <t>Push-up (2nd block, incline)</t>
        </is>
      </c>
      <c r="E444" s="16" t="n">
        <v>2</v>
      </c>
      <c r="F444" s="16" t="n">
        <v>6</v>
      </c>
      <c r="G444" s="36" t="n"/>
      <c r="H444" s="16" t="n">
        <v>7</v>
      </c>
      <c r="I444" s="19">
        <f>IF(OR(F444="",G444=""),"",F444*G444)</f>
        <v/>
      </c>
      <c r="J444" s="36">
        <f>IF(OR(F444="",G444=""),"",ROUND(G444*(1+F444/30),1))</f>
        <v/>
      </c>
      <c r="K444" s="20" t="n"/>
    </row>
    <row r="445" ht="18" customHeight="1">
      <c r="A445" s="37" t="n">
        <v>46291</v>
      </c>
      <c r="B445" s="22">
        <f>IF(A445="","",IFERROR(INT((A445-DATE(2026,4,27))/7)+1,""))</f>
        <v/>
      </c>
      <c r="C445" s="22" t="inlineStr">
        <is>
          <t>Cali Full Body</t>
        </is>
      </c>
      <c r="D445" s="23" t="inlineStr">
        <is>
          <t>Push-up (2nd block, incline)</t>
        </is>
      </c>
      <c r="E445" s="22" t="n">
        <v>3</v>
      </c>
      <c r="F445" s="22" t="n">
        <v>6</v>
      </c>
      <c r="G445" s="38" t="n"/>
      <c r="H445" s="22" t="n">
        <v>7</v>
      </c>
      <c r="I445" s="25">
        <f>IF(OR(F445="",G445=""),"",F445*G445)</f>
        <v/>
      </c>
      <c r="J445" s="38">
        <f>IF(OR(F445="",G445=""),"",ROUND(G445*(1+F445/30),1))</f>
        <v/>
      </c>
      <c r="K445" s="26" t="n"/>
    </row>
    <row r="446" ht="18" customHeight="1">
      <c r="A446" s="35" t="n">
        <v>46291</v>
      </c>
      <c r="B446" s="16">
        <f>IF(A446="","",IFERROR(INT((A446-DATE(2026,4,27))/7)+1,""))</f>
        <v/>
      </c>
      <c r="C446" s="16" t="inlineStr">
        <is>
          <t>Cali Full Body</t>
        </is>
      </c>
      <c r="D446" s="17" t="inlineStr">
        <is>
          <t>Tibialis Raise (BW)</t>
        </is>
      </c>
      <c r="E446" s="16" t="n">
        <v>1</v>
      </c>
      <c r="F446" s="16" t="n">
        <v>20</v>
      </c>
      <c r="G446" s="36" t="n"/>
      <c r="H446" s="16" t="n">
        <v>7</v>
      </c>
      <c r="I446" s="19">
        <f>IF(OR(F446="",G446=""),"",F446*G446)</f>
        <v/>
      </c>
      <c r="J446" s="36">
        <f>IF(OR(F446="",G446=""),"",ROUND(G446*(1+F446/30),1))</f>
        <v/>
      </c>
      <c r="K446" s="20" t="inlineStr">
        <is>
          <t>NORMAL tempo (carried from Fri, no slow ecc pre-long). Over &lt;=6 cap on DOMS-2 legs. Next: slow ecc 3x20.</t>
        </is>
      </c>
    </row>
    <row r="447" ht="18" customHeight="1">
      <c r="A447" s="37" t="n">
        <v>46291</v>
      </c>
      <c r="B447" s="22">
        <f>IF(A447="","",IFERROR(INT((A447-DATE(2026,4,27))/7)+1,""))</f>
        <v/>
      </c>
      <c r="C447" s="22" t="inlineStr">
        <is>
          <t>Cali Full Body</t>
        </is>
      </c>
      <c r="D447" s="23" t="inlineStr">
        <is>
          <t>Tibialis Raise (BW)</t>
        </is>
      </c>
      <c r="E447" s="22" t="n">
        <v>2</v>
      </c>
      <c r="F447" s="22" t="n">
        <v>20</v>
      </c>
      <c r="G447" s="38" t="n"/>
      <c r="H447" s="22" t="n">
        <v>7</v>
      </c>
      <c r="I447" s="25">
        <f>IF(OR(F447="",G447=""),"",F447*G447)</f>
        <v/>
      </c>
      <c r="J447" s="38">
        <f>IF(OR(F447="",G447=""),"",ROUND(G447*(1+F447/30),1))</f>
        <v/>
      </c>
      <c r="K447" s="26" t="n"/>
    </row>
    <row r="448" ht="18" customHeight="1">
      <c r="A448" s="35" t="n">
        <v>46291</v>
      </c>
      <c r="B448" s="16">
        <f>IF(A448="","",IFERROR(INT((A448-DATE(2026,4,27))/7)+1,""))</f>
        <v/>
      </c>
      <c r="C448" s="16" t="inlineStr">
        <is>
          <t>Cali Full Body</t>
        </is>
      </c>
      <c r="D448" s="17" t="inlineStr">
        <is>
          <t>Tibialis Raise (BW)</t>
        </is>
      </c>
      <c r="E448" s="16" t="n">
        <v>3</v>
      </c>
      <c r="F448" s="16" t="n">
        <v>20</v>
      </c>
      <c r="G448" s="36" t="n"/>
      <c r="H448" s="16" t="n">
        <v>8</v>
      </c>
      <c r="I448" s="19">
        <f>IF(OR(F448="",G448=""),"",F448*G448)</f>
        <v/>
      </c>
      <c r="J448" s="36">
        <f>IF(OR(F448="",G448=""),"",ROUND(G448*(1+F448/30),1))</f>
        <v/>
      </c>
      <c r="K448" s="20" t="n"/>
    </row>
    <row r="449" ht="18" customHeight="1">
      <c r="A449" s="37" t="n">
        <v>46291</v>
      </c>
      <c r="B449" s="22">
        <f>IF(A449="","",IFERROR(INT((A449-DATE(2026,4,27))/7)+1,""))</f>
        <v/>
      </c>
      <c r="C449" s="22" t="inlineStr">
        <is>
          <t>Cali Full Body</t>
        </is>
      </c>
      <c r="D449" s="23" t="inlineStr">
        <is>
          <t>Hanging Knee Raise (BW)</t>
        </is>
      </c>
      <c r="E449" s="22" t="n">
        <v>1</v>
      </c>
      <c r="F449" s="22" t="n">
        <v>6</v>
      </c>
      <c r="G449" s="38" t="n"/>
      <c r="H449" s="22" t="n">
        <v>6</v>
      </c>
      <c r="I449" s="25">
        <f>IF(OR(F449="",G449=""),"",F449*G449)</f>
        <v/>
      </c>
      <c r="J449" s="38">
        <f>IF(OR(F449="",G449=""),"",ROUND(G449*(1+F449/30),1))</f>
        <v/>
      </c>
      <c r="K449" s="26" t="inlineStr">
        <is>
          <t>Rebuilding. Hold 3x6.</t>
        </is>
      </c>
    </row>
    <row r="450" ht="18" customHeight="1">
      <c r="A450" s="35" t="n">
        <v>46291</v>
      </c>
      <c r="B450" s="16">
        <f>IF(A450="","",IFERROR(INT((A450-DATE(2026,4,27))/7)+1,""))</f>
        <v/>
      </c>
      <c r="C450" s="16" t="inlineStr">
        <is>
          <t>Cali Full Body</t>
        </is>
      </c>
      <c r="D450" s="17" t="inlineStr">
        <is>
          <t>Hanging Knee Raise (BW)</t>
        </is>
      </c>
      <c r="E450" s="16" t="n">
        <v>2</v>
      </c>
      <c r="F450" s="16" t="n">
        <v>6</v>
      </c>
      <c r="G450" s="36" t="n"/>
      <c r="H450" s="16" t="n">
        <v>7</v>
      </c>
      <c r="I450" s="19">
        <f>IF(OR(F450="",G450=""),"",F450*G450)</f>
        <v/>
      </c>
      <c r="J450" s="36">
        <f>IF(OR(F450="",G450=""),"",ROUND(G450*(1+F450/30),1))</f>
        <v/>
      </c>
      <c r="K450" s="20" t="n"/>
    </row>
    <row r="451" ht="18" customHeight="1">
      <c r="A451" s="37" t="n">
        <v>46291</v>
      </c>
      <c r="B451" s="22">
        <f>IF(A451="","",IFERROR(INT((A451-DATE(2026,4,27))/7)+1,""))</f>
        <v/>
      </c>
      <c r="C451" s="22" t="inlineStr">
        <is>
          <t>Cali Full Body</t>
        </is>
      </c>
      <c r="D451" s="23" t="inlineStr">
        <is>
          <t>Hanging Knee Raise (BW)</t>
        </is>
      </c>
      <c r="E451" s="22" t="n">
        <v>3</v>
      </c>
      <c r="F451" s="22" t="n">
        <v>6</v>
      </c>
      <c r="G451" s="38" t="n"/>
      <c r="H451" s="22" t="n">
        <v>8</v>
      </c>
      <c r="I451" s="25">
        <f>IF(OR(F451="",G451=""),"",F451*G451)</f>
        <v/>
      </c>
      <c r="J451" s="38">
        <f>IF(OR(F451="",G451=""),"",ROUND(G451*(1+F451/30),1))</f>
        <v/>
      </c>
      <c r="K451" s="26" t="n"/>
    </row>
    <row r="452" ht="18" customHeight="1">
      <c r="A452" s="35" t="n">
        <v>46291</v>
      </c>
      <c r="B452" s="16">
        <f>IF(A452="","",IFERROR(INT((A452-DATE(2026,4,27))/7)+1,""))</f>
        <v/>
      </c>
      <c r="C452" s="16" t="inlineStr">
        <is>
          <t>Cali Full Body</t>
        </is>
      </c>
      <c r="D452" s="17" t="inlineStr">
        <is>
          <t>Side Plank (BW)</t>
        </is>
      </c>
      <c r="E452" s="16" t="n">
        <v>1</v>
      </c>
      <c r="F452" s="16" t="n">
        <v>30</v>
      </c>
      <c r="G452" s="36" t="n"/>
      <c r="H452" s="16" t="n">
        <v>9</v>
      </c>
      <c r="I452" s="19">
        <f>IF(OR(F452="",G452=""),"",F452*G452)</f>
        <v/>
      </c>
      <c r="J452" s="36">
        <f>IF(OR(F452="",G452=""),"",ROUND(G452*(1+F452/30),1))</f>
        <v/>
      </c>
      <c r="K452" s="20" t="inlineStr">
        <is>
          <t>reps col = seconds PER SIDE. 30 s rung FAILED (30/20 @ 9). REGRESS to 2x20 s.</t>
        </is>
      </c>
    </row>
    <row r="453" ht="18" customHeight="1">
      <c r="A453" s="37" t="n">
        <v>46291</v>
      </c>
      <c r="B453" s="22">
        <f>IF(A453="","",IFERROR(INT((A453-DATE(2026,4,27))/7)+1,""))</f>
        <v/>
      </c>
      <c r="C453" s="22" t="inlineStr">
        <is>
          <t>Cali Full Body</t>
        </is>
      </c>
      <c r="D453" s="23" t="inlineStr">
        <is>
          <t>Side Plank (BW)</t>
        </is>
      </c>
      <c r="E453" s="22" t="n">
        <v>2</v>
      </c>
      <c r="F453" s="22" t="n">
        <v>20</v>
      </c>
      <c r="G453" s="38" t="n"/>
      <c r="H453" s="22" t="n">
        <v>9</v>
      </c>
      <c r="I453" s="25">
        <f>IF(OR(F453="",G453=""),"",F453*G453)</f>
        <v/>
      </c>
      <c r="J453" s="38">
        <f>IF(OR(F453="",G453=""),"",ROUND(G453*(1+F453/30),1))</f>
        <v/>
      </c>
      <c r="K453" s="26" t="n"/>
    </row>
    <row r="454" ht="18" customHeight="1">
      <c r="A454" s="35" t="n">
        <v>46293</v>
      </c>
      <c r="B454" s="16">
        <f>IF(A454="","",IFERROR(INT((A454-DATE(2026,4,27))/7)+1,""))</f>
        <v/>
      </c>
      <c r="C454" s="16" t="inlineStr">
        <is>
          <t>Cali Full Body</t>
        </is>
      </c>
      <c r="D454" s="17" t="inlineStr">
        <is>
          <t>Push-up (incline)</t>
        </is>
      </c>
      <c r="E454" s="16" t="n">
        <v>1</v>
      </c>
      <c r="F454" s="16" t="n">
        <v>10</v>
      </c>
      <c r="G454" s="36" t="n"/>
      <c r="H454" s="16" t="n">
        <v>7</v>
      </c>
      <c r="I454" s="19">
        <f>IF(OR(F454="",G454=""),"",F454*G454)</f>
        <v/>
      </c>
      <c r="J454" s="36">
        <f>IF(OR(F454="",G454=""),"",ROUND(G454*(1+F454/30),1))</f>
        <v/>
      </c>
      <c r="K454" s="20" t="inlineStr">
        <is>
          <t>Cali #7 FULL BODY (Mon, day after 13 k long), setting 3. S4 8-&gt;7 vs 9/26. S2 8 -&gt; HOLD 4x10.</t>
        </is>
      </c>
    </row>
    <row r="455" ht="18" customHeight="1">
      <c r="A455" s="37" t="n">
        <v>46293</v>
      </c>
      <c r="B455" s="22">
        <f>IF(A455="","",IFERROR(INT((A455-DATE(2026,4,27))/7)+1,""))</f>
        <v/>
      </c>
      <c r="C455" s="22" t="inlineStr">
        <is>
          <t>Cali Full Body</t>
        </is>
      </c>
      <c r="D455" s="23" t="inlineStr">
        <is>
          <t>Push-up (incline)</t>
        </is>
      </c>
      <c r="E455" s="22" t="n">
        <v>2</v>
      </c>
      <c r="F455" s="22" t="n">
        <v>10</v>
      </c>
      <c r="G455" s="38" t="n"/>
      <c r="H455" s="22" t="n">
        <v>8</v>
      </c>
      <c r="I455" s="25">
        <f>IF(OR(F455="",G455=""),"",F455*G455)</f>
        <v/>
      </c>
      <c r="J455" s="38">
        <f>IF(OR(F455="",G455=""),"",ROUND(G455*(1+F455/30),1))</f>
        <v/>
      </c>
      <c r="K455" s="26" t="n"/>
    </row>
    <row r="456" ht="18" customHeight="1">
      <c r="A456" s="35" t="n">
        <v>46293</v>
      </c>
      <c r="B456" s="16">
        <f>IF(A456="","",IFERROR(INT((A456-DATE(2026,4,27))/7)+1,""))</f>
        <v/>
      </c>
      <c r="C456" s="16" t="inlineStr">
        <is>
          <t>Cali Full Body</t>
        </is>
      </c>
      <c r="D456" s="17" t="inlineStr">
        <is>
          <t>Push-up (incline)</t>
        </is>
      </c>
      <c r="E456" s="16" t="n">
        <v>3</v>
      </c>
      <c r="F456" s="16" t="n">
        <v>10</v>
      </c>
      <c r="G456" s="36" t="n"/>
      <c r="H456" s="16" t="n">
        <v>7</v>
      </c>
      <c r="I456" s="19">
        <f>IF(OR(F456="",G456=""),"",F456*G456)</f>
        <v/>
      </c>
      <c r="J456" s="36">
        <f>IF(OR(F456="",G456=""),"",ROUND(G456*(1+F456/30),1))</f>
        <v/>
      </c>
      <c r="K456" s="20" t="n"/>
    </row>
    <row r="457" ht="18" customHeight="1">
      <c r="A457" s="37" t="n">
        <v>46293</v>
      </c>
      <c r="B457" s="22">
        <f>IF(A457="","",IFERROR(INT((A457-DATE(2026,4,27))/7)+1,""))</f>
        <v/>
      </c>
      <c r="C457" s="22" t="inlineStr">
        <is>
          <t>Cali Full Body</t>
        </is>
      </c>
      <c r="D457" s="23" t="inlineStr">
        <is>
          <t>Push-up (incline)</t>
        </is>
      </c>
      <c r="E457" s="22" t="n">
        <v>4</v>
      </c>
      <c r="F457" s="22" t="n">
        <v>10</v>
      </c>
      <c r="G457" s="38" t="n"/>
      <c r="H457" s="22" t="n">
        <v>7</v>
      </c>
      <c r="I457" s="25">
        <f>IF(OR(F457="",G457=""),"",F457*G457)</f>
        <v/>
      </c>
      <c r="J457" s="38">
        <f>IF(OR(F457="",G457=""),"",ROUND(G457*(1+F457/30),1))</f>
        <v/>
      </c>
      <c r="K457" s="26" t="n"/>
    </row>
    <row r="458" ht="18" customHeight="1">
      <c r="A458" s="35" t="n">
        <v>46293</v>
      </c>
      <c r="B458" s="16">
        <f>IF(A458="","",IFERROR(INT((A458-DATE(2026,4,27))/7)+1,""))</f>
        <v/>
      </c>
      <c r="C458" s="16" t="inlineStr">
        <is>
          <t>Cali Full Body</t>
        </is>
      </c>
      <c r="D458" s="17" t="inlineStr">
        <is>
          <t>Inverted Row</t>
        </is>
      </c>
      <c r="E458" s="16" t="n">
        <v>1</v>
      </c>
      <c r="F458" s="16" t="n">
        <v>8</v>
      </c>
      <c r="G458" s="36" t="n"/>
      <c r="H458" s="16" t="n">
        <v>8</v>
      </c>
      <c r="I458" s="19">
        <f>IF(OR(F458="",G458=""),"",F458*G458)</f>
        <v/>
      </c>
      <c r="J458" s="36">
        <f>IF(OR(F458="",G458=""),"",ROUND(G458*(1+F458/30),1))</f>
        <v/>
      </c>
      <c r="K458" s="20" t="inlineStr">
        <is>
          <t>Setting 3, 8-rep HARD STOP held. S1 8 -&gt; hold 4x8 cap.</t>
        </is>
      </c>
    </row>
    <row r="459" ht="18" customHeight="1">
      <c r="A459" s="37" t="n">
        <v>46293</v>
      </c>
      <c r="B459" s="22">
        <f>IF(A459="","",IFERROR(INT((A459-DATE(2026,4,27))/7)+1,""))</f>
        <v/>
      </c>
      <c r="C459" s="22" t="inlineStr">
        <is>
          <t>Cali Full Body</t>
        </is>
      </c>
      <c r="D459" s="23" t="inlineStr">
        <is>
          <t>Inverted Row</t>
        </is>
      </c>
      <c r="E459" s="22" t="n">
        <v>2</v>
      </c>
      <c r="F459" s="22" t="n">
        <v>8</v>
      </c>
      <c r="G459" s="38" t="n"/>
      <c r="H459" s="22" t="n">
        <v>7</v>
      </c>
      <c r="I459" s="25">
        <f>IF(OR(F459="",G459=""),"",F459*G459)</f>
        <v/>
      </c>
      <c r="J459" s="38">
        <f>IF(OR(F459="",G459=""),"",ROUND(G459*(1+F459/30),1))</f>
        <v/>
      </c>
      <c r="K459" s="26" t="n"/>
    </row>
    <row r="460" ht="18" customHeight="1">
      <c r="A460" s="35" t="n">
        <v>46293</v>
      </c>
      <c r="B460" s="16">
        <f>IF(A460="","",IFERROR(INT((A460-DATE(2026,4,27))/7)+1,""))</f>
        <v/>
      </c>
      <c r="C460" s="16" t="inlineStr">
        <is>
          <t>Cali Full Body</t>
        </is>
      </c>
      <c r="D460" s="17" t="inlineStr">
        <is>
          <t>Inverted Row</t>
        </is>
      </c>
      <c r="E460" s="16" t="n">
        <v>3</v>
      </c>
      <c r="F460" s="16" t="n">
        <v>8</v>
      </c>
      <c r="G460" s="36" t="n"/>
      <c r="H460" s="16" t="n">
        <v>7</v>
      </c>
      <c r="I460" s="19">
        <f>IF(OR(F460="",G460=""),"",F460*G460)</f>
        <v/>
      </c>
      <c r="J460" s="36">
        <f>IF(OR(F460="",G460=""),"",ROUND(G460*(1+F460/30),1))</f>
        <v/>
      </c>
      <c r="K460" s="20" t="n"/>
    </row>
    <row r="461" ht="18" customHeight="1">
      <c r="A461" s="37" t="n">
        <v>46293</v>
      </c>
      <c r="B461" s="22">
        <f>IF(A461="","",IFERROR(INT((A461-DATE(2026,4,27))/7)+1,""))</f>
        <v/>
      </c>
      <c r="C461" s="22" t="inlineStr">
        <is>
          <t>Cali Full Body</t>
        </is>
      </c>
      <c r="D461" s="23" t="inlineStr">
        <is>
          <t>Inverted Row</t>
        </is>
      </c>
      <c r="E461" s="22" t="n">
        <v>4</v>
      </c>
      <c r="F461" s="22" t="n">
        <v>8</v>
      </c>
      <c r="G461" s="38" t="n"/>
      <c r="H461" s="22" t="n">
        <v>7</v>
      </c>
      <c r="I461" s="25">
        <f>IF(OR(F461="",G461=""),"",F461*G461)</f>
        <v/>
      </c>
      <c r="J461" s="38">
        <f>IF(OR(F461="",G461=""),"",ROUND(G461*(1+F461/30),1))</f>
        <v/>
      </c>
      <c r="K461" s="26" t="n"/>
    </row>
    <row r="462" ht="18" customHeight="1">
      <c r="A462" s="35" t="n">
        <v>46293</v>
      </c>
      <c r="B462" s="16">
        <f>IF(A462="","",IFERROR(INT((A462-DATE(2026,4,27))/7)+1,""))</f>
        <v/>
      </c>
      <c r="C462" s="16" t="inlineStr">
        <is>
          <t>Cali Full Body</t>
        </is>
      </c>
      <c r="D462" s="17" t="inlineStr">
        <is>
          <t>Pull-up (negatives)</t>
        </is>
      </c>
      <c r="E462" s="16" t="n">
        <v>1</v>
      </c>
      <c r="F462" s="16" t="n">
        <v>5</v>
      </c>
      <c r="G462" s="36" t="n"/>
      <c r="H462" s="16" t="n">
        <v>8</v>
      </c>
      <c r="I462" s="19">
        <f>IF(OR(F462="",G462=""),"",F462*G462)</f>
        <v/>
      </c>
      <c r="J462" s="36">
        <f>IF(OR(F462="",G462=""),"",ROUND(G462*(1+F462/30),1))</f>
        <v/>
      </c>
      <c r="K462" s="20" t="inlineStr">
        <is>
          <t>S3 RPE 10 over &lt;=8 cap (3rd session w/ set &gt;=9). Hold 3x5.</t>
        </is>
      </c>
    </row>
    <row r="463" ht="18" customHeight="1">
      <c r="A463" s="37" t="n">
        <v>46293</v>
      </c>
      <c r="B463" s="22">
        <f>IF(A463="","",IFERROR(INT((A463-DATE(2026,4,27))/7)+1,""))</f>
        <v/>
      </c>
      <c r="C463" s="22" t="inlineStr">
        <is>
          <t>Cali Full Body</t>
        </is>
      </c>
      <c r="D463" s="23" t="inlineStr">
        <is>
          <t>Pull-up (negatives)</t>
        </is>
      </c>
      <c r="E463" s="22" t="n">
        <v>2</v>
      </c>
      <c r="F463" s="22" t="n">
        <v>5</v>
      </c>
      <c r="G463" s="38" t="n"/>
      <c r="H463" s="22" t="n">
        <v>8</v>
      </c>
      <c r="I463" s="25">
        <f>IF(OR(F463="",G463=""),"",F463*G463)</f>
        <v/>
      </c>
      <c r="J463" s="38">
        <f>IF(OR(F463="",G463=""),"",ROUND(G463*(1+F463/30),1))</f>
        <v/>
      </c>
      <c r="K463" s="26" t="n"/>
    </row>
    <row r="464" ht="18" customHeight="1">
      <c r="A464" s="35" t="n">
        <v>46293</v>
      </c>
      <c r="B464" s="16">
        <f>IF(A464="","",IFERROR(INT((A464-DATE(2026,4,27))/7)+1,""))</f>
        <v/>
      </c>
      <c r="C464" s="16" t="inlineStr">
        <is>
          <t>Cali Full Body</t>
        </is>
      </c>
      <c r="D464" s="17" t="inlineStr">
        <is>
          <t>Pull-up (negatives)</t>
        </is>
      </c>
      <c r="E464" s="16" t="n">
        <v>3</v>
      </c>
      <c r="F464" s="16" t="n">
        <v>5</v>
      </c>
      <c r="G464" s="36" t="n"/>
      <c r="H464" s="16" t="n">
        <v>10</v>
      </c>
      <c r="I464" s="19">
        <f>IF(OR(F464="",G464=""),"",F464*G464)</f>
        <v/>
      </c>
      <c r="J464" s="36">
        <f>IF(OR(F464="",G464=""),"",ROUND(G464*(1+F464/30),1))</f>
        <v/>
      </c>
      <c r="K464" s="20" t="n"/>
    </row>
    <row r="465" ht="18" customHeight="1">
      <c r="A465" s="37" t="n">
        <v>46293</v>
      </c>
      <c r="B465" s="22">
        <f>IF(A465="","",IFERROR(INT((A465-DATE(2026,4,27))/7)+1,""))</f>
        <v/>
      </c>
      <c r="C465" s="22" t="inlineStr">
        <is>
          <t>Cali Full Body</t>
        </is>
      </c>
      <c r="D465" s="23" t="inlineStr">
        <is>
          <t>Push-up (2nd block, incline)</t>
        </is>
      </c>
      <c r="E465" s="22" t="n">
        <v>1</v>
      </c>
      <c r="F465" s="22" t="n">
        <v>7</v>
      </c>
      <c r="G465" s="38" t="n"/>
      <c r="H465" s="22" t="n">
        <v>7</v>
      </c>
      <c r="I465" s="25">
        <f>IF(OR(F465="",G465=""),"",F465*G465)</f>
        <v/>
      </c>
      <c r="J465" s="38">
        <f>IF(OR(F465="",G465=""),"",ROUND(G465*(1+F465/30),1))</f>
        <v/>
      </c>
      <c r="K465" s="26" t="inlineStr">
        <is>
          <t>Setting 3, first session at 7 reps. Hold 3x7.</t>
        </is>
      </c>
    </row>
    <row r="466" ht="18" customHeight="1">
      <c r="A466" s="35" t="n">
        <v>46293</v>
      </c>
      <c r="B466" s="16">
        <f>IF(A466="","",IFERROR(INT((A466-DATE(2026,4,27))/7)+1,""))</f>
        <v/>
      </c>
      <c r="C466" s="16" t="inlineStr">
        <is>
          <t>Cali Full Body</t>
        </is>
      </c>
      <c r="D466" s="17" t="inlineStr">
        <is>
          <t>Push-up (2nd block, incline)</t>
        </is>
      </c>
      <c r="E466" s="16" t="n">
        <v>2</v>
      </c>
      <c r="F466" s="16" t="n">
        <v>7</v>
      </c>
      <c r="G466" s="36" t="n"/>
      <c r="H466" s="16" t="n">
        <v>8</v>
      </c>
      <c r="I466" s="19">
        <f>IF(OR(F466="",G466=""),"",F466*G466)</f>
        <v/>
      </c>
      <c r="J466" s="36">
        <f>IF(OR(F466="",G466=""),"",ROUND(G466*(1+F466/30),1))</f>
        <v/>
      </c>
      <c r="K466" s="20" t="n"/>
    </row>
    <row r="467" ht="18" customHeight="1">
      <c r="A467" s="37" t="n">
        <v>46293</v>
      </c>
      <c r="B467" s="22">
        <f>IF(A467="","",IFERROR(INT((A467-DATE(2026,4,27))/7)+1,""))</f>
        <v/>
      </c>
      <c r="C467" s="22" t="inlineStr">
        <is>
          <t>Cali Full Body</t>
        </is>
      </c>
      <c r="D467" s="23" t="inlineStr">
        <is>
          <t>Push-up (2nd block, incline)</t>
        </is>
      </c>
      <c r="E467" s="22" t="n">
        <v>3</v>
      </c>
      <c r="F467" s="22" t="n">
        <v>7</v>
      </c>
      <c r="G467" s="38" t="n"/>
      <c r="H467" s="22" t="n">
        <v>8</v>
      </c>
      <c r="I467" s="25">
        <f>IF(OR(F467="",G467=""),"",F467*G467)</f>
        <v/>
      </c>
      <c r="J467" s="38">
        <f>IF(OR(F467="",G467=""),"",ROUND(G467*(1+F467/30),1))</f>
        <v/>
      </c>
      <c r="K467" s="26" t="n"/>
    </row>
    <row r="468" ht="18" customHeight="1">
      <c r="A468" s="35" t="n">
        <v>46293</v>
      </c>
      <c r="B468" s="16">
        <f>IF(A468="","",IFERROR(INT((A468-DATE(2026,4,27))/7)+1,""))</f>
        <v/>
      </c>
      <c r="C468" s="16" t="inlineStr">
        <is>
          <t>Cali Full Body</t>
        </is>
      </c>
      <c r="D468" s="17" t="inlineStr">
        <is>
          <t>Bulgarian Split Squat (BW)</t>
        </is>
      </c>
      <c r="E468" s="16" t="n">
        <v>1</v>
      </c>
      <c r="F468" s="16" t="n">
        <v>8</v>
      </c>
      <c r="G468" s="36" t="n"/>
      <c r="H468" s="16" t="n">
        <v>6</v>
      </c>
      <c r="I468" s="19">
        <f>IF(OR(F468="",G468=""),"",F468*G468)</f>
        <v/>
      </c>
      <c r="J468" s="36">
        <f>IF(OR(F468="",G468=""),"",ROUND(G468*(1+F468/30),1))</f>
        <v/>
      </c>
      <c r="K468" s="20" t="inlineStr">
        <is>
          <t>reps PER LEG. Gate 1 (calf 2) -&gt; 2x8 RPE 6 cap; S2 stopped at cap.</t>
        </is>
      </c>
    </row>
    <row r="469" ht="18" customHeight="1">
      <c r="A469" s="37" t="n">
        <v>46293</v>
      </c>
      <c r="B469" s="22">
        <f>IF(A469="","",IFERROR(INT((A469-DATE(2026,4,27))/7)+1,""))</f>
        <v/>
      </c>
      <c r="C469" s="22" t="inlineStr">
        <is>
          <t>Cali Full Body</t>
        </is>
      </c>
      <c r="D469" s="23" t="inlineStr">
        <is>
          <t>Bulgarian Split Squat (BW)</t>
        </is>
      </c>
      <c r="E469" s="22" t="n">
        <v>2</v>
      </c>
      <c r="F469" s="22" t="n">
        <v>6</v>
      </c>
      <c r="G469" s="38" t="n"/>
      <c r="H469" s="22" t="n">
        <v>6</v>
      </c>
      <c r="I469" s="25">
        <f>IF(OR(F469="",G469=""),"",F469*G469)</f>
        <v/>
      </c>
      <c r="J469" s="38">
        <f>IF(OR(F469="",G469=""),"",ROUND(G469*(1+F469/30),1))</f>
        <v/>
      </c>
      <c r="K469" s="26" t="n"/>
    </row>
    <row r="470" ht="18" customHeight="1">
      <c r="A470" s="35" t="n">
        <v>46293</v>
      </c>
      <c r="B470" s="16">
        <f>IF(A470="","",IFERROR(INT((A470-DATE(2026,4,27))/7)+1,""))</f>
        <v/>
      </c>
      <c r="C470" s="16" t="inlineStr">
        <is>
          <t>Cali Full Body</t>
        </is>
      </c>
      <c r="D470" s="17" t="inlineStr">
        <is>
          <t>Single-Leg RDL (BW)</t>
        </is>
      </c>
      <c r="E470" s="16" t="n">
        <v>1</v>
      </c>
      <c r="F470" s="16" t="n">
        <v>8</v>
      </c>
      <c r="G470" s="36" t="n"/>
      <c r="H470" s="16" t="n">
        <v>6</v>
      </c>
      <c r="I470" s="19">
        <f>IF(OR(F470="",G470=""),"",F470*G470)</f>
        <v/>
      </c>
      <c r="J470" s="36">
        <f>IF(OR(F470="",G470=""),"",ROUND(G470*(1+F470/30),1))</f>
        <v/>
      </c>
      <c r="K470" s="20" t="inlineStr">
        <is>
          <t>reps PER LEG. RPE 6 cap on ham/glute DOMS 2; S2 stopped at cap.</t>
        </is>
      </c>
    </row>
    <row r="471" ht="18" customHeight="1">
      <c r="A471" s="37" t="n">
        <v>46293</v>
      </c>
      <c r="B471" s="22">
        <f>IF(A471="","",IFERROR(INT((A471-DATE(2026,4,27))/7)+1,""))</f>
        <v/>
      </c>
      <c r="C471" s="22" t="inlineStr">
        <is>
          <t>Cali Full Body</t>
        </is>
      </c>
      <c r="D471" s="23" t="inlineStr">
        <is>
          <t>Single-Leg RDL (BW)</t>
        </is>
      </c>
      <c r="E471" s="22" t="n">
        <v>2</v>
      </c>
      <c r="F471" s="22" t="n">
        <v>6</v>
      </c>
      <c r="G471" s="38" t="n"/>
      <c r="H471" s="22" t="n">
        <v>6</v>
      </c>
      <c r="I471" s="25">
        <f>IF(OR(F471="",G471=""),"",F471*G471)</f>
        <v/>
      </c>
      <c r="J471" s="38">
        <f>IF(OR(F471="",G471=""),"",ROUND(G471*(1+F471/30),1))</f>
        <v/>
      </c>
      <c r="K471" s="26" t="n"/>
    </row>
    <row r="472" ht="18" customHeight="1">
      <c r="A472" s="35" t="n">
        <v>46293</v>
      </c>
      <c r="B472" s="16">
        <f>IF(A472="","",IFERROR(INT((A472-DATE(2026,4,27))/7)+1,""))</f>
        <v/>
      </c>
      <c r="C472" s="16" t="inlineStr">
        <is>
          <t>Cali Full Body</t>
        </is>
      </c>
      <c r="D472" s="17" t="inlineStr">
        <is>
          <t>Tibialis Raise (slow ecc, BW)</t>
        </is>
      </c>
      <c r="E472" s="16" t="n">
        <v>1</v>
      </c>
      <c r="F472" s="16" t="n">
        <v>20</v>
      </c>
      <c r="G472" s="36" t="n"/>
      <c r="H472" s="16" t="n">
        <v>6</v>
      </c>
      <c r="I472" s="19">
        <f>IF(OR(F472="",G472=""),"",F472*G472)</f>
        <v/>
      </c>
      <c r="J472" s="36">
        <f>IF(OR(F472="",G472=""),"",ROUND(G472*(1+F472/30),1))</f>
        <v/>
      </c>
      <c r="K472" s="20" t="inlineStr">
        <is>
          <t>SLOW ECC 3 s. Jumped 15-&gt;20 (9/22 15s @&lt;=5.5); S3 failed 14 @10. Next slow ecc 3x18.</t>
        </is>
      </c>
    </row>
    <row r="473" ht="18" customHeight="1">
      <c r="A473" s="37" t="n">
        <v>46293</v>
      </c>
      <c r="B473" s="22">
        <f>IF(A473="","",IFERROR(INT((A473-DATE(2026,4,27))/7)+1,""))</f>
        <v/>
      </c>
      <c r="C473" s="22" t="inlineStr">
        <is>
          <t>Cali Full Body</t>
        </is>
      </c>
      <c r="D473" s="23" t="inlineStr">
        <is>
          <t>Tibialis Raise (slow ecc, BW)</t>
        </is>
      </c>
      <c r="E473" s="22" t="n">
        <v>2</v>
      </c>
      <c r="F473" s="22" t="n">
        <v>20</v>
      </c>
      <c r="G473" s="38" t="n"/>
      <c r="H473" s="22" t="n">
        <v>8</v>
      </c>
      <c r="I473" s="25">
        <f>IF(OR(F473="",G473=""),"",F473*G473)</f>
        <v/>
      </c>
      <c r="J473" s="38">
        <f>IF(OR(F473="",G473=""),"",ROUND(G473*(1+F473/30),1))</f>
        <v/>
      </c>
      <c r="K473" s="26" t="n"/>
    </row>
    <row r="474" ht="18" customHeight="1">
      <c r="A474" s="35" t="n">
        <v>46293</v>
      </c>
      <c r="B474" s="16">
        <f>IF(A474="","",IFERROR(INT((A474-DATE(2026,4,27))/7)+1,""))</f>
        <v/>
      </c>
      <c r="C474" s="16" t="inlineStr">
        <is>
          <t>Cali Full Body</t>
        </is>
      </c>
      <c r="D474" s="17" t="inlineStr">
        <is>
          <t>Tibialis Raise (slow ecc, BW)</t>
        </is>
      </c>
      <c r="E474" s="16" t="n">
        <v>3</v>
      </c>
      <c r="F474" s="16" t="n">
        <v>14</v>
      </c>
      <c r="G474" s="36" t="n"/>
      <c r="H474" s="16" t="n">
        <v>10</v>
      </c>
      <c r="I474" s="19">
        <f>IF(OR(F474="",G474=""),"",F474*G474)</f>
        <v/>
      </c>
      <c r="J474" s="36">
        <f>IF(OR(F474="",G474=""),"",ROUND(G474*(1+F474/30),1))</f>
        <v/>
      </c>
      <c r="K474" s="20" t="n"/>
    </row>
    <row r="475" ht="18" customHeight="1">
      <c r="A475" s="37" t="n">
        <v>46293</v>
      </c>
      <c r="B475" s="22">
        <f>IF(A475="","",IFERROR(INT((A475-DATE(2026,4,27))/7)+1,""))</f>
        <v/>
      </c>
      <c r="C475" s="22" t="inlineStr">
        <is>
          <t>Cali Full Body</t>
        </is>
      </c>
      <c r="D475" s="23" t="inlineStr">
        <is>
          <t>Hanging Knee Raise (BW)</t>
        </is>
      </c>
      <c r="E475" s="22" t="n">
        <v>1</v>
      </c>
      <c r="F475" s="22" t="n">
        <v>6</v>
      </c>
      <c r="G475" s="38" t="n"/>
      <c r="H475" s="22" t="n">
        <v>6</v>
      </c>
      <c r="I475" s="25">
        <f>IF(OR(F475="",G475=""),"",F475*G475)</f>
        <v/>
      </c>
      <c r="J475" s="38">
        <f>IF(OR(F475="",G475=""),"",ROUND(G475*(1+F475/30),1))</f>
        <v/>
      </c>
      <c r="K475" s="26" t="inlineStr">
        <is>
          <t>All top of range &amp; &lt;=7 -&gt; GATE CLEARED, 3x7.</t>
        </is>
      </c>
    </row>
    <row r="476" ht="18" customHeight="1">
      <c r="A476" s="35" t="n">
        <v>46293</v>
      </c>
      <c r="B476" s="16">
        <f>IF(A476="","",IFERROR(INT((A476-DATE(2026,4,27))/7)+1,""))</f>
        <v/>
      </c>
      <c r="C476" s="16" t="inlineStr">
        <is>
          <t>Cali Full Body</t>
        </is>
      </c>
      <c r="D476" s="17" t="inlineStr">
        <is>
          <t>Hanging Knee Raise (BW)</t>
        </is>
      </c>
      <c r="E476" s="16" t="n">
        <v>2</v>
      </c>
      <c r="F476" s="16" t="n">
        <v>6</v>
      </c>
      <c r="G476" s="36" t="n"/>
      <c r="H476" s="16" t="n">
        <v>6</v>
      </c>
      <c r="I476" s="19">
        <f>IF(OR(F476="",G476=""),"",F476*G476)</f>
        <v/>
      </c>
      <c r="J476" s="36">
        <f>IF(OR(F476="",G476=""),"",ROUND(G476*(1+F476/30),1))</f>
        <v/>
      </c>
      <c r="K476" s="20" t="n"/>
    </row>
    <row r="477" ht="18" customHeight="1">
      <c r="A477" s="37" t="n">
        <v>46293</v>
      </c>
      <c r="B477" s="22">
        <f>IF(A477="","",IFERROR(INT((A477-DATE(2026,4,27))/7)+1,""))</f>
        <v/>
      </c>
      <c r="C477" s="22" t="inlineStr">
        <is>
          <t>Cali Full Body</t>
        </is>
      </c>
      <c r="D477" s="23" t="inlineStr">
        <is>
          <t>Hanging Knee Raise (BW)</t>
        </is>
      </c>
      <c r="E477" s="22" t="n">
        <v>3</v>
      </c>
      <c r="F477" s="22" t="n">
        <v>6</v>
      </c>
      <c r="G477" s="38" t="n"/>
      <c r="H477" s="22" t="n">
        <v>7</v>
      </c>
      <c r="I477" s="25">
        <f>IF(OR(F477="",G477=""),"",F477*G477)</f>
        <v/>
      </c>
      <c r="J477" s="38">
        <f>IF(OR(F477="",G477=""),"",ROUND(G477*(1+F477/30),1))</f>
        <v/>
      </c>
      <c r="K477" s="26" t="n"/>
    </row>
    <row r="478" ht="18" customHeight="1">
      <c r="A478" s="35" t="n">
        <v>46293</v>
      </c>
      <c r="B478" s="16">
        <f>IF(A478="","",IFERROR(INT((A478-DATE(2026,4,27))/7)+1,""))</f>
        <v/>
      </c>
      <c r="C478" s="16" t="inlineStr">
        <is>
          <t>Cali Full Body</t>
        </is>
      </c>
      <c r="D478" s="17" t="inlineStr">
        <is>
          <t>Side Plank (BW)</t>
        </is>
      </c>
      <c r="E478" s="16" t="n">
        <v>1</v>
      </c>
      <c r="F478" s="16" t="n">
        <v>20</v>
      </c>
      <c r="G478" s="36" t="n"/>
      <c r="H478" s="16" t="n">
        <v>7</v>
      </c>
      <c r="I478" s="19">
        <f>IF(OR(F478="",G478=""),"",F478*G478)</f>
        <v/>
      </c>
      <c r="J478" s="36">
        <f>IF(OR(F478="",G478=""),"",ROUND(G478*(1+F478/30),1))</f>
        <v/>
      </c>
      <c r="K478" s="20" t="inlineStr">
        <is>
          <t>reps col = seconds PER SIDE. 20 s regression landed. Hold 2x20 s.</t>
        </is>
      </c>
    </row>
    <row r="479" ht="18" customHeight="1">
      <c r="A479" s="37" t="n">
        <v>46293</v>
      </c>
      <c r="B479" s="22">
        <f>IF(A479="","",IFERROR(INT((A479-DATE(2026,4,27))/7)+1,""))</f>
        <v/>
      </c>
      <c r="C479" s="22" t="inlineStr">
        <is>
          <t>Cali Full Body</t>
        </is>
      </c>
      <c r="D479" s="23" t="inlineStr">
        <is>
          <t>Side Plank (BW)</t>
        </is>
      </c>
      <c r="E479" s="22" t="n">
        <v>2</v>
      </c>
      <c r="F479" s="22" t="n">
        <v>20</v>
      </c>
      <c r="G479" s="38" t="n"/>
      <c r="H479" s="22" t="n">
        <v>8</v>
      </c>
      <c r="I479" s="25">
        <f>IF(OR(F479="",G479=""),"",F479*G479)</f>
        <v/>
      </c>
      <c r="J479" s="38">
        <f>IF(OR(F479="",G479=""),"",ROUND(G479*(1+F479/30),1))</f>
        <v/>
      </c>
      <c r="K479" s="26" t="n"/>
    </row>
    <row r="480" ht="18" customHeight="1">
      <c r="A480" s="35" t="n">
        <v>46300</v>
      </c>
      <c r="B480" s="16">
        <f>IF(A480="","",IFERROR(INT((A480-DATE(2026,4,27))/7)+1,""))</f>
        <v/>
      </c>
      <c r="C480" s="16" t="inlineStr">
        <is>
          <t>Gym Full Body</t>
        </is>
      </c>
      <c r="D480" s="17" t="inlineStr">
        <is>
          <t>Bench Press</t>
        </is>
      </c>
      <c r="E480" s="16" t="n">
        <v>1</v>
      </c>
      <c r="F480" s="16" t="n">
        <v>8</v>
      </c>
      <c r="G480" s="36" t="n">
        <v>25</v>
      </c>
      <c r="H480" s="16" t="n">
        <v>7</v>
      </c>
      <c r="I480" s="19">
        <f>IF(OR(F480="",G480=""),"",F480*G480)</f>
        <v/>
      </c>
      <c r="J480" s="36">
        <f>IF(OR(F480="",G480=""),"",ROUND(G480*(1+F480/30),1))</f>
        <v/>
      </c>
      <c r="K480" s="20" t="inlineStr">
        <is>
          <t>Gym #1, first barbell since Jun. Seeded 32.5, ran 25. Hold 25.</t>
        </is>
      </c>
    </row>
    <row r="481" ht="18" customHeight="1">
      <c r="A481" s="37" t="n">
        <v>46300</v>
      </c>
      <c r="B481" s="22">
        <f>IF(A481="","",IFERROR(INT((A481-DATE(2026,4,27))/7)+1,""))</f>
        <v/>
      </c>
      <c r="C481" s="22" t="inlineStr">
        <is>
          <t>Gym Full Body</t>
        </is>
      </c>
      <c r="D481" s="23" t="inlineStr">
        <is>
          <t>Bench Press</t>
        </is>
      </c>
      <c r="E481" s="22" t="n">
        <v>2</v>
      </c>
      <c r="F481" s="22" t="n">
        <v>8</v>
      </c>
      <c r="G481" s="38" t="n">
        <v>25</v>
      </c>
      <c r="H481" s="22" t="n">
        <v>8</v>
      </c>
      <c r="I481" s="25">
        <f>IF(OR(F481="",G481=""),"",F481*G481)</f>
        <v/>
      </c>
      <c r="J481" s="38">
        <f>IF(OR(F481="",G481=""),"",ROUND(G481*(1+F481/30),1))</f>
        <v/>
      </c>
      <c r="K481" s="26" t="n"/>
    </row>
    <row r="482" ht="18" customHeight="1">
      <c r="A482" s="35" t="n">
        <v>46300</v>
      </c>
      <c r="B482" s="16">
        <f>IF(A482="","",IFERROR(INT((A482-DATE(2026,4,27))/7)+1,""))</f>
        <v/>
      </c>
      <c r="C482" s="16" t="inlineStr">
        <is>
          <t>Gym Full Body</t>
        </is>
      </c>
      <c r="D482" s="17" t="inlineStr">
        <is>
          <t>Bench Press</t>
        </is>
      </c>
      <c r="E482" s="16" t="n">
        <v>3</v>
      </c>
      <c r="F482" s="16" t="n">
        <v>8</v>
      </c>
      <c r="G482" s="36" t="n">
        <v>25</v>
      </c>
      <c r="H482" s="16" t="n">
        <v>8</v>
      </c>
      <c r="I482" s="19">
        <f>IF(OR(F482="",G482=""),"",F482*G482)</f>
        <v/>
      </c>
      <c r="J482" s="36">
        <f>IF(OR(F482="",G482=""),"",ROUND(G482*(1+F482/30),1))</f>
        <v/>
      </c>
      <c r="K482" s="20" t="n"/>
    </row>
    <row r="483" ht="18" customHeight="1">
      <c r="A483" s="37" t="n">
        <v>46300</v>
      </c>
      <c r="B483" s="22">
        <f>IF(A483="","",IFERROR(INT((A483-DATE(2026,4,27))/7)+1,""))</f>
        <v/>
      </c>
      <c r="C483" s="22" t="inlineStr">
        <is>
          <t>Gym Full Body</t>
        </is>
      </c>
      <c r="D483" s="23" t="inlineStr">
        <is>
          <t>Bench Press</t>
        </is>
      </c>
      <c r="E483" s="22" t="n">
        <v>4</v>
      </c>
      <c r="F483" s="22" t="n">
        <v>8</v>
      </c>
      <c r="G483" s="38" t="n">
        <v>25</v>
      </c>
      <c r="H483" s="22" t="n">
        <v>8</v>
      </c>
      <c r="I483" s="25">
        <f>IF(OR(F483="",G483=""),"",F483*G483)</f>
        <v/>
      </c>
      <c r="J483" s="38">
        <f>IF(OR(F483="",G483=""),"",ROUND(G483*(1+F483/30),1))</f>
        <v/>
      </c>
      <c r="K483" s="26" t="n"/>
    </row>
    <row r="484" ht="18" customHeight="1">
      <c r="A484" s="35" t="n">
        <v>46300</v>
      </c>
      <c r="B484" s="16">
        <f>IF(A484="","",IFERROR(INT((A484-DATE(2026,4,27))/7)+1,""))</f>
        <v/>
      </c>
      <c r="C484" s="16" t="inlineStr">
        <is>
          <t>Gym Full Body</t>
        </is>
      </c>
      <c r="D484" s="17" t="inlineStr">
        <is>
          <t>Lat Pulldown</t>
        </is>
      </c>
      <c r="E484" s="16" t="n">
        <v>1</v>
      </c>
      <c r="F484" s="16" t="n">
        <v>10</v>
      </c>
      <c r="G484" s="36" t="n">
        <v>25</v>
      </c>
      <c r="H484" s="16" t="n">
        <v>6</v>
      </c>
      <c r="I484" s="19">
        <f>IF(OR(F484="",G484=""),"",F484*G484)</f>
        <v/>
      </c>
      <c r="J484" s="36">
        <f>IF(OR(F484="",G484=""),"",ROUND(G484*(1+F484/30),1))</f>
        <v/>
      </c>
      <c r="K484" s="20" t="inlineStr">
        <is>
          <t>S4 RPE 8 -&gt; hold 25.</t>
        </is>
      </c>
    </row>
    <row r="485" ht="18" customHeight="1">
      <c r="A485" s="37" t="n">
        <v>46300</v>
      </c>
      <c r="B485" s="22">
        <f>IF(A485="","",IFERROR(INT((A485-DATE(2026,4,27))/7)+1,""))</f>
        <v/>
      </c>
      <c r="C485" s="22" t="inlineStr">
        <is>
          <t>Gym Full Body</t>
        </is>
      </c>
      <c r="D485" s="23" t="inlineStr">
        <is>
          <t>Lat Pulldown</t>
        </is>
      </c>
      <c r="E485" s="22" t="n">
        <v>2</v>
      </c>
      <c r="F485" s="22" t="n">
        <v>10</v>
      </c>
      <c r="G485" s="38" t="n">
        <v>25</v>
      </c>
      <c r="H485" s="22" t="n">
        <v>7</v>
      </c>
      <c r="I485" s="25">
        <f>IF(OR(F485="",G485=""),"",F485*G485)</f>
        <v/>
      </c>
      <c r="J485" s="38">
        <f>IF(OR(F485="",G485=""),"",ROUND(G485*(1+F485/30),1))</f>
        <v/>
      </c>
      <c r="K485" s="26" t="n"/>
    </row>
    <row r="486" ht="18" customHeight="1">
      <c r="A486" s="35" t="n">
        <v>46300</v>
      </c>
      <c r="B486" s="16">
        <f>IF(A486="","",IFERROR(INT((A486-DATE(2026,4,27))/7)+1,""))</f>
        <v/>
      </c>
      <c r="C486" s="16" t="inlineStr">
        <is>
          <t>Gym Full Body</t>
        </is>
      </c>
      <c r="D486" s="17" t="inlineStr">
        <is>
          <t>Lat Pulldown</t>
        </is>
      </c>
      <c r="E486" s="16" t="n">
        <v>3</v>
      </c>
      <c r="F486" s="16" t="n">
        <v>10</v>
      </c>
      <c r="G486" s="36" t="n">
        <v>25</v>
      </c>
      <c r="H486" s="16" t="n">
        <v>7</v>
      </c>
      <c r="I486" s="19">
        <f>IF(OR(F486="",G486=""),"",F486*G486)</f>
        <v/>
      </c>
      <c r="J486" s="36">
        <f>IF(OR(F486="",G486=""),"",ROUND(G486*(1+F486/30),1))</f>
        <v/>
      </c>
      <c r="K486" s="20" t="n"/>
    </row>
    <row r="487" ht="18" customHeight="1">
      <c r="A487" s="37" t="n">
        <v>46300</v>
      </c>
      <c r="B487" s="22">
        <f>IF(A487="","",IFERROR(INT((A487-DATE(2026,4,27))/7)+1,""))</f>
        <v/>
      </c>
      <c r="C487" s="22" t="inlineStr">
        <is>
          <t>Gym Full Body</t>
        </is>
      </c>
      <c r="D487" s="23" t="inlineStr">
        <is>
          <t>Lat Pulldown</t>
        </is>
      </c>
      <c r="E487" s="22" t="n">
        <v>4</v>
      </c>
      <c r="F487" s="22" t="n">
        <v>10</v>
      </c>
      <c r="G487" s="38" t="n">
        <v>25</v>
      </c>
      <c r="H487" s="22" t="n">
        <v>8</v>
      </c>
      <c r="I487" s="25">
        <f>IF(OR(F487="",G487=""),"",F487*G487)</f>
        <v/>
      </c>
      <c r="J487" s="38">
        <f>IF(OR(F487="",G487=""),"",ROUND(G487*(1+F487/30),1))</f>
        <v/>
      </c>
      <c r="K487" s="26" t="n"/>
    </row>
    <row r="488" ht="18" customHeight="1">
      <c r="A488" s="35" t="n">
        <v>46300</v>
      </c>
      <c r="B488" s="16">
        <f>IF(A488="","",IFERROR(INT((A488-DATE(2026,4,27))/7)+1,""))</f>
        <v/>
      </c>
      <c r="C488" s="16" t="inlineStr">
        <is>
          <t>Gym Full Body</t>
        </is>
      </c>
      <c r="D488" s="17" t="inlineStr">
        <is>
          <t>Incline DB Press</t>
        </is>
      </c>
      <c r="E488" s="16" t="n">
        <v>1</v>
      </c>
      <c r="F488" s="16" t="n">
        <v>10</v>
      </c>
      <c r="G488" s="36" t="n">
        <v>5</v>
      </c>
      <c r="H488" s="16" t="n">
        <v>7</v>
      </c>
      <c r="I488" s="19">
        <f>IF(OR(F488="",G488=""),"",F488*G488)</f>
        <v/>
      </c>
      <c r="J488" s="36">
        <f>IF(OR(F488="",G488=""),"",ROUND(G488*(1+F488/30),1))</f>
        <v/>
      </c>
      <c r="K488" s="20" t="inlineStr">
        <is>
          <t>per-DB. Gate cleared -&gt; 6/DB.</t>
        </is>
      </c>
    </row>
    <row r="489" ht="18" customHeight="1">
      <c r="A489" s="37" t="n">
        <v>46300</v>
      </c>
      <c r="B489" s="22">
        <f>IF(A489="","",IFERROR(INT((A489-DATE(2026,4,27))/7)+1,""))</f>
        <v/>
      </c>
      <c r="C489" s="22" t="inlineStr">
        <is>
          <t>Gym Full Body</t>
        </is>
      </c>
      <c r="D489" s="23" t="inlineStr">
        <is>
          <t>Incline DB Press</t>
        </is>
      </c>
      <c r="E489" s="22" t="n">
        <v>2</v>
      </c>
      <c r="F489" s="22" t="n">
        <v>10</v>
      </c>
      <c r="G489" s="38" t="n">
        <v>5</v>
      </c>
      <c r="H489" s="22" t="n">
        <v>7</v>
      </c>
      <c r="I489" s="25">
        <f>IF(OR(F489="",G489=""),"",F489*G489)</f>
        <v/>
      </c>
      <c r="J489" s="38">
        <f>IF(OR(F489="",G489=""),"",ROUND(G489*(1+F489/30),1))</f>
        <v/>
      </c>
      <c r="K489" s="26" t="n"/>
    </row>
    <row r="490" ht="18" customHeight="1">
      <c r="A490" s="35" t="n">
        <v>46300</v>
      </c>
      <c r="B490" s="16">
        <f>IF(A490="","",IFERROR(INT((A490-DATE(2026,4,27))/7)+1,""))</f>
        <v/>
      </c>
      <c r="C490" s="16" t="inlineStr">
        <is>
          <t>Gym Full Body</t>
        </is>
      </c>
      <c r="D490" s="17" t="inlineStr">
        <is>
          <t>Incline DB Press</t>
        </is>
      </c>
      <c r="E490" s="16" t="n">
        <v>3</v>
      </c>
      <c r="F490" s="16" t="n">
        <v>10</v>
      </c>
      <c r="G490" s="36" t="n">
        <v>5</v>
      </c>
      <c r="H490" s="16" t="n">
        <v>7</v>
      </c>
      <c r="I490" s="19">
        <f>IF(OR(F490="",G490=""),"",F490*G490)</f>
        <v/>
      </c>
      <c r="J490" s="36">
        <f>IF(OR(F490="",G490=""),"",ROUND(G490*(1+F490/30),1))</f>
        <v/>
      </c>
      <c r="K490" s="20" t="n"/>
    </row>
    <row r="491" ht="18" customHeight="1">
      <c r="A491" s="37" t="n">
        <v>46300</v>
      </c>
      <c r="B491" s="22">
        <f>IF(A491="","",IFERROR(INT((A491-DATE(2026,4,27))/7)+1,""))</f>
        <v/>
      </c>
      <c r="C491" s="22" t="inlineStr">
        <is>
          <t>Gym Full Body</t>
        </is>
      </c>
      <c r="D491" s="23" t="inlineStr">
        <is>
          <t>Barbell Lying Row</t>
        </is>
      </c>
      <c r="E491" s="22" t="n">
        <v>1</v>
      </c>
      <c r="F491" s="22" t="n">
        <v>12</v>
      </c>
      <c r="G491" s="38" t="n">
        <v>30</v>
      </c>
      <c r="H491" s="22" t="n">
        <v>6</v>
      </c>
      <c r="I491" s="25">
        <f>IF(OR(F491="",G491=""),"",F491*G491)</f>
        <v/>
      </c>
      <c r="J491" s="38">
        <f>IF(OR(F491="",G491=""),"",ROUND(G491*(1+F491/30),1))</f>
        <v/>
      </c>
      <c r="K491" s="26" t="inlineStr">
        <is>
          <t>Sub for cable row. Gate cleared -&gt; 32.5.</t>
        </is>
      </c>
    </row>
    <row r="492" ht="18" customHeight="1">
      <c r="A492" s="35" t="n">
        <v>46300</v>
      </c>
      <c r="B492" s="16">
        <f>IF(A492="","",IFERROR(INT((A492-DATE(2026,4,27))/7)+1,""))</f>
        <v/>
      </c>
      <c r="C492" s="16" t="inlineStr">
        <is>
          <t>Gym Full Body</t>
        </is>
      </c>
      <c r="D492" s="17" t="inlineStr">
        <is>
          <t>Barbell Lying Row</t>
        </is>
      </c>
      <c r="E492" s="16" t="n">
        <v>2</v>
      </c>
      <c r="F492" s="16" t="n">
        <v>12</v>
      </c>
      <c r="G492" s="36" t="n">
        <v>30</v>
      </c>
      <c r="H492" s="16" t="n">
        <v>6</v>
      </c>
      <c r="I492" s="19">
        <f>IF(OR(F492="",G492=""),"",F492*G492)</f>
        <v/>
      </c>
      <c r="J492" s="36">
        <f>IF(OR(F492="",G492=""),"",ROUND(G492*(1+F492/30),1))</f>
        <v/>
      </c>
      <c r="K492" s="20" t="n"/>
    </row>
    <row r="493" ht="18" customHeight="1">
      <c r="A493" s="37" t="n">
        <v>46300</v>
      </c>
      <c r="B493" s="22">
        <f>IF(A493="","",IFERROR(INT((A493-DATE(2026,4,27))/7)+1,""))</f>
        <v/>
      </c>
      <c r="C493" s="22" t="inlineStr">
        <is>
          <t>Gym Full Body</t>
        </is>
      </c>
      <c r="D493" s="23" t="inlineStr">
        <is>
          <t>Barbell Lying Row</t>
        </is>
      </c>
      <c r="E493" s="22" t="n">
        <v>3</v>
      </c>
      <c r="F493" s="22" t="n">
        <v>12</v>
      </c>
      <c r="G493" s="38" t="n">
        <v>30</v>
      </c>
      <c r="H493" s="22" t="n">
        <v>7</v>
      </c>
      <c r="I493" s="25">
        <f>IF(OR(F493="",G493=""),"",F493*G493)</f>
        <v/>
      </c>
      <c r="J493" s="38">
        <f>IF(OR(F493="",G493=""),"",ROUND(G493*(1+F493/30),1))</f>
        <v/>
      </c>
      <c r="K493" s="26" t="n"/>
    </row>
    <row r="494" ht="18" customHeight="1">
      <c r="A494" s="35" t="n">
        <v>46300</v>
      </c>
      <c r="B494" s="16">
        <f>IF(A494="","",IFERROR(INT((A494-DATE(2026,4,27))/7)+1,""))</f>
        <v/>
      </c>
      <c r="C494" s="16" t="inlineStr">
        <is>
          <t>Gym Full Body</t>
        </is>
      </c>
      <c r="D494" s="17" t="inlineStr">
        <is>
          <t>Leg Extension</t>
        </is>
      </c>
      <c r="E494" s="16" t="n">
        <v>1</v>
      </c>
      <c r="F494" s="16" t="n">
        <v>10</v>
      </c>
      <c r="G494" s="36" t="n">
        <v>10</v>
      </c>
      <c r="H494" s="16" t="n">
        <v>5</v>
      </c>
      <c r="I494" s="19">
        <f>IF(OR(F494="",G494=""),"",F494*G494)</f>
        <v/>
      </c>
      <c r="J494" s="36">
        <f>IF(OR(F494="",G494=""),"",ROUND(G494*(1+F494/30),1))</f>
        <v/>
      </c>
      <c r="K494" s="20" t="inlineStr">
        <is>
          <t>Sub for leg press. RPE 6 cap (track Tue). -&gt; 12.5.</t>
        </is>
      </c>
    </row>
    <row r="495" ht="18" customHeight="1">
      <c r="A495" s="37" t="n">
        <v>46300</v>
      </c>
      <c r="B495" s="22">
        <f>IF(A495="","",IFERROR(INT((A495-DATE(2026,4,27))/7)+1,""))</f>
        <v/>
      </c>
      <c r="C495" s="22" t="inlineStr">
        <is>
          <t>Gym Full Body</t>
        </is>
      </c>
      <c r="D495" s="23" t="inlineStr">
        <is>
          <t>Leg Extension</t>
        </is>
      </c>
      <c r="E495" s="22" t="n">
        <v>2</v>
      </c>
      <c r="F495" s="22" t="n">
        <v>10</v>
      </c>
      <c r="G495" s="38" t="n">
        <v>10</v>
      </c>
      <c r="H495" s="22" t="n">
        <v>5</v>
      </c>
      <c r="I495" s="25">
        <f>IF(OR(F495="",G495=""),"",F495*G495)</f>
        <v/>
      </c>
      <c r="J495" s="38">
        <f>IF(OR(F495="",G495=""),"",ROUND(G495*(1+F495/30),1))</f>
        <v/>
      </c>
      <c r="K495" s="26" t="n"/>
    </row>
    <row r="496" ht="18" customHeight="1">
      <c r="A496" s="35" t="n">
        <v>46300</v>
      </c>
      <c r="B496" s="16">
        <f>IF(A496="","",IFERROR(INT((A496-DATE(2026,4,27))/7)+1,""))</f>
        <v/>
      </c>
      <c r="C496" s="16" t="inlineStr">
        <is>
          <t>Gym Full Body</t>
        </is>
      </c>
      <c r="D496" s="17" t="inlineStr">
        <is>
          <t>Lying Leg Curl</t>
        </is>
      </c>
      <c r="E496" s="16" t="n">
        <v>1</v>
      </c>
      <c r="F496" s="16" t="n">
        <v>10</v>
      </c>
      <c r="G496" s="36" t="n">
        <v>10</v>
      </c>
      <c r="H496" s="16" t="n">
        <v>6</v>
      </c>
      <c r="I496" s="19">
        <f>IF(OR(F496="",G496=""),"",F496*G496)</f>
        <v/>
      </c>
      <c r="J496" s="36">
        <f>IF(OR(F496="",G496=""),"",ROUND(G496*(1+F496/30),1))</f>
        <v/>
      </c>
      <c r="K496" s="20" t="inlineStr">
        <is>
          <t>At RPE 6 cap -&gt; hold 10.</t>
        </is>
      </c>
    </row>
    <row r="497" ht="18" customHeight="1">
      <c r="A497" s="37" t="n">
        <v>46300</v>
      </c>
      <c r="B497" s="22">
        <f>IF(A497="","",IFERROR(INT((A497-DATE(2026,4,27))/7)+1,""))</f>
        <v/>
      </c>
      <c r="C497" s="22" t="inlineStr">
        <is>
          <t>Gym Full Body</t>
        </is>
      </c>
      <c r="D497" s="23" t="inlineStr">
        <is>
          <t>Lying Leg Curl</t>
        </is>
      </c>
      <c r="E497" s="22" t="n">
        <v>2</v>
      </c>
      <c r="F497" s="22" t="n">
        <v>10</v>
      </c>
      <c r="G497" s="38" t="n">
        <v>10</v>
      </c>
      <c r="H497" s="22" t="n">
        <v>6</v>
      </c>
      <c r="I497" s="25">
        <f>IF(OR(F497="",G497=""),"",F497*G497)</f>
        <v/>
      </c>
      <c r="J497" s="38">
        <f>IF(OR(F497="",G497=""),"",ROUND(G497*(1+F497/30),1))</f>
        <v/>
      </c>
      <c r="K497" s="26" t="n"/>
    </row>
    <row r="498" ht="18" customHeight="1">
      <c r="A498" s="35" t="n">
        <v>46300</v>
      </c>
      <c r="B498" s="16">
        <f>IF(A498="","",IFERROR(INT((A498-DATE(2026,4,27))/7)+1,""))</f>
        <v/>
      </c>
      <c r="C498" s="16" t="inlineStr">
        <is>
          <t>Gym Full Body</t>
        </is>
      </c>
      <c r="D498" s="17" t="inlineStr">
        <is>
          <t>Tibialis Raise</t>
        </is>
      </c>
      <c r="E498" s="16" t="n">
        <v>1</v>
      </c>
      <c r="F498" s="16" t="n">
        <v>15</v>
      </c>
      <c r="G498" s="36" t="n">
        <v>5</v>
      </c>
      <c r="H498" s="16" t="n">
        <v>8</v>
      </c>
      <c r="I498" s="19">
        <f>IF(OR(F498="",G498=""),"",F498*G498)</f>
        <v/>
      </c>
      <c r="J498" s="36">
        <f>IF(OR(F498="",G498=""),"",ROUND(G498*(1+F498/30),1))</f>
        <v/>
      </c>
      <c r="K498" s="20" t="inlineStr">
        <is>
          <t>Prescribed BW 3x20, ran 5 kg 3x15: reps fell 15/10/8. -&gt; 2.5 kg 3x15.</t>
        </is>
      </c>
    </row>
    <row r="499" ht="18" customHeight="1">
      <c r="A499" s="37" t="n">
        <v>46300</v>
      </c>
      <c r="B499" s="22">
        <f>IF(A499="","",IFERROR(INT((A499-DATE(2026,4,27))/7)+1,""))</f>
        <v/>
      </c>
      <c r="C499" s="22" t="inlineStr">
        <is>
          <t>Gym Full Body</t>
        </is>
      </c>
      <c r="D499" s="23" t="inlineStr">
        <is>
          <t>Tibialis Raise</t>
        </is>
      </c>
      <c r="E499" s="22" t="n">
        <v>2</v>
      </c>
      <c r="F499" s="22" t="n">
        <v>10</v>
      </c>
      <c r="G499" s="38" t="n">
        <v>5</v>
      </c>
      <c r="H499" s="22" t="n">
        <v>8</v>
      </c>
      <c r="I499" s="25">
        <f>IF(OR(F499="",G499=""),"",F499*G499)</f>
        <v/>
      </c>
      <c r="J499" s="38">
        <f>IF(OR(F499="",G499=""),"",ROUND(G499*(1+F499/30),1))</f>
        <v/>
      </c>
      <c r="K499" s="26" t="n"/>
    </row>
    <row r="500" ht="18" customHeight="1">
      <c r="A500" s="35" t="n">
        <v>46300</v>
      </c>
      <c r="B500" s="16">
        <f>IF(A500="","",IFERROR(INT((A500-DATE(2026,4,27))/7)+1,""))</f>
        <v/>
      </c>
      <c r="C500" s="16" t="inlineStr">
        <is>
          <t>Gym Full Body</t>
        </is>
      </c>
      <c r="D500" s="17" t="inlineStr">
        <is>
          <t>Tibialis Raise</t>
        </is>
      </c>
      <c r="E500" s="16" t="n">
        <v>3</v>
      </c>
      <c r="F500" s="16" t="n">
        <v>8</v>
      </c>
      <c r="G500" s="36" t="n">
        <v>5</v>
      </c>
      <c r="H500" s="16" t="n">
        <v>7</v>
      </c>
      <c r="I500" s="19">
        <f>IF(OR(F500="",G500=""),"",F500*G500)</f>
        <v/>
      </c>
      <c r="J500" s="36">
        <f>IF(OR(F500="",G500=""),"",ROUND(G500*(1+F500/30),1))</f>
        <v/>
      </c>
      <c r="K500" s="20" t="n"/>
    </row>
    <row r="501" ht="18" customHeight="1">
      <c r="A501" s="37" t="n">
        <v>46300</v>
      </c>
      <c r="B501" s="22">
        <f>IF(A501="","",IFERROR(INT((A501-DATE(2026,4,27))/7)+1,""))</f>
        <v/>
      </c>
      <c r="C501" s="22" t="inlineStr">
        <is>
          <t>Gym Full Body</t>
        </is>
      </c>
      <c r="D501" s="23" t="inlineStr">
        <is>
          <t>Hanging Knee Raise (BW)</t>
        </is>
      </c>
      <c r="E501" s="22" t="n">
        <v>1</v>
      </c>
      <c r="F501" s="22" t="n">
        <v>8</v>
      </c>
      <c r="G501" s="38" t="n"/>
      <c r="H501" s="22" t="n">
        <v>6</v>
      </c>
      <c r="I501" s="25">
        <f>IF(OR(F501="",G501=""),"",F501*G501)</f>
        <v/>
      </c>
      <c r="J501" s="38">
        <f>IF(OR(F501="",G501=""),"",ROUND(G501*(1+F501/30),1))</f>
        <v/>
      </c>
      <c r="K501" s="26" t="inlineStr">
        <is>
          <t>Hold 3x8.</t>
        </is>
      </c>
    </row>
    <row r="502" ht="18" customHeight="1">
      <c r="A502" s="35" t="n">
        <v>46300</v>
      </c>
      <c r="B502" s="16">
        <f>IF(A502="","",IFERROR(INT((A502-DATE(2026,4,27))/7)+1,""))</f>
        <v/>
      </c>
      <c r="C502" s="16" t="inlineStr">
        <is>
          <t>Gym Full Body</t>
        </is>
      </c>
      <c r="D502" s="17" t="inlineStr">
        <is>
          <t>Hanging Knee Raise (BW)</t>
        </is>
      </c>
      <c r="E502" s="16" t="n">
        <v>2</v>
      </c>
      <c r="F502" s="16" t="n">
        <v>8</v>
      </c>
      <c r="G502" s="36" t="n"/>
      <c r="H502" s="16" t="n">
        <v>8</v>
      </c>
      <c r="I502" s="19">
        <f>IF(OR(F502="",G502=""),"",F502*G502)</f>
        <v/>
      </c>
      <c r="J502" s="36">
        <f>IF(OR(F502="",G502=""),"",ROUND(G502*(1+F502/30),1))</f>
        <v/>
      </c>
      <c r="K502" s="20" t="n"/>
    </row>
    <row r="503" ht="18" customHeight="1">
      <c r="A503" s="37" t="n">
        <v>46300</v>
      </c>
      <c r="B503" s="22">
        <f>IF(A503="","",IFERROR(INT((A503-DATE(2026,4,27))/7)+1,""))</f>
        <v/>
      </c>
      <c r="C503" s="22" t="inlineStr">
        <is>
          <t>Gym Full Body</t>
        </is>
      </c>
      <c r="D503" s="23" t="inlineStr">
        <is>
          <t>Hanging Knee Raise (BW)</t>
        </is>
      </c>
      <c r="E503" s="22" t="n">
        <v>3</v>
      </c>
      <c r="F503" s="22" t="n">
        <v>8</v>
      </c>
      <c r="G503" s="38" t="n"/>
      <c r="H503" s="22" t="n">
        <v>8</v>
      </c>
      <c r="I503" s="25">
        <f>IF(OR(F503="",G503=""),"",F503*G503)</f>
        <v/>
      </c>
      <c r="J503" s="38">
        <f>IF(OR(F503="",G503=""),"",ROUND(G503*(1+F503/30),1))</f>
        <v/>
      </c>
      <c r="K503" s="26" t="n"/>
    </row>
    <row r="504" ht="18" customHeight="1">
      <c r="A504" s="35" t="n"/>
      <c r="B504" s="16">
        <f>IF(A504="","",IFERROR(INT((A504-DATE(2026,4,27))/7)+1,""))</f>
        <v/>
      </c>
      <c r="C504" s="16" t="n"/>
      <c r="D504" s="17" t="n"/>
      <c r="E504" s="16" t="n"/>
      <c r="F504" s="16" t="n"/>
      <c r="G504" s="36" t="n"/>
      <c r="H504" s="16" t="n"/>
      <c r="I504" s="19">
        <f>IF(OR(F504="",G504=""),"",F504*G504)</f>
        <v/>
      </c>
      <c r="J504" s="36">
        <f>IF(OR(F504="",G504=""),"",ROUND(G504*(1+F504/30),1))</f>
        <v/>
      </c>
      <c r="K504" s="20" t="n"/>
    </row>
    <row r="505" ht="18" customHeight="1">
      <c r="A505" s="37" t="n"/>
      <c r="B505" s="22">
        <f>IF(A505="","",IFERROR(INT((A505-DATE(2026,4,27))/7)+1,""))</f>
        <v/>
      </c>
      <c r="C505" s="22" t="n"/>
      <c r="D505" s="23" t="n"/>
      <c r="E505" s="22" t="n"/>
      <c r="F505" s="22" t="n"/>
      <c r="G505" s="38" t="n"/>
      <c r="H505" s="22" t="n"/>
      <c r="I505" s="25">
        <f>IF(OR(F505="",G505=""),"",F505*G505)</f>
        <v/>
      </c>
      <c r="J505" s="38">
        <f>IF(OR(F505="",G505=""),"",ROUND(G505*(1+F505/30),1))</f>
        <v/>
      </c>
      <c r="K505" s="26" t="n"/>
    </row>
    <row r="506" ht="18" customHeight="1">
      <c r="A506" s="35" t="n"/>
      <c r="B506" s="16">
        <f>IF(A506="","",IFERROR(INT((A506-DATE(2026,4,27))/7)+1,""))</f>
        <v/>
      </c>
      <c r="C506" s="16" t="n"/>
      <c r="D506" s="17" t="n"/>
      <c r="E506" s="16" t="n"/>
      <c r="F506" s="16" t="n"/>
      <c r="G506" s="36" t="n"/>
      <c r="H506" s="16" t="n"/>
      <c r="I506" s="19">
        <f>IF(OR(F506="",G506=""),"",F506*G506)</f>
        <v/>
      </c>
      <c r="J506" s="36">
        <f>IF(OR(F506="",G506=""),"",ROUND(G506*(1+F506/30),1))</f>
        <v/>
      </c>
      <c r="K506" s="20" t="n"/>
    </row>
    <row r="507" ht="18" customHeight="1">
      <c r="A507" s="37" t="n"/>
      <c r="B507" s="22">
        <f>IF(A507="","",IFERROR(INT((A507-DATE(2026,4,27))/7)+1,""))</f>
        <v/>
      </c>
      <c r="C507" s="22" t="n"/>
      <c r="D507" s="23" t="n"/>
      <c r="E507" s="22" t="n"/>
      <c r="F507" s="22" t="n"/>
      <c r="G507" s="38" t="n"/>
      <c r="H507" s="22" t="n"/>
      <c r="I507" s="25">
        <f>IF(OR(F507="",G507=""),"",F507*G507)</f>
        <v/>
      </c>
      <c r="J507" s="38">
        <f>IF(OR(F507="",G507=""),"",ROUND(G507*(1+F507/30),1))</f>
        <v/>
      </c>
      <c r="K507" s="26" t="n"/>
    </row>
    <row r="508" ht="18" customHeight="1">
      <c r="A508" s="35" t="n"/>
      <c r="B508" s="16">
        <f>IF(A508="","",IFERROR(INT((A508-DATE(2026,4,27))/7)+1,""))</f>
        <v/>
      </c>
      <c r="C508" s="16" t="n"/>
      <c r="D508" s="17" t="n"/>
      <c r="E508" s="16" t="n"/>
      <c r="F508" s="16" t="n"/>
      <c r="G508" s="36" t="n"/>
      <c r="H508" s="16" t="n"/>
      <c r="I508" s="19">
        <f>IF(OR(F508="",G508=""),"",F508*G508)</f>
        <v/>
      </c>
      <c r="J508" s="36">
        <f>IF(OR(F508="",G508=""),"",ROUND(G508*(1+F508/30),1))</f>
        <v/>
      </c>
      <c r="K508" s="20" t="n"/>
    </row>
    <row r="509" ht="18" customHeight="1">
      <c r="A509" s="37" t="n"/>
      <c r="B509" s="22">
        <f>IF(A509="","",IFERROR(INT((A509-DATE(2026,4,27))/7)+1,""))</f>
        <v/>
      </c>
      <c r="C509" s="22" t="n"/>
      <c r="D509" s="23" t="n"/>
      <c r="E509" s="22" t="n"/>
      <c r="F509" s="22" t="n"/>
      <c r="G509" s="38" t="n"/>
      <c r="H509" s="22" t="n"/>
      <c r="I509" s="25">
        <f>IF(OR(F509="",G509=""),"",F509*G509)</f>
        <v/>
      </c>
      <c r="J509" s="38">
        <f>IF(OR(F509="",G509=""),"",ROUND(G509*(1+F509/30),1))</f>
        <v/>
      </c>
      <c r="K509" s="26" t="n"/>
    </row>
    <row r="510" ht="18" customHeight="1">
      <c r="A510" s="35" t="n"/>
      <c r="B510" s="16">
        <f>IF(A510="","",IFERROR(INT((A510-DATE(2026,4,27))/7)+1,""))</f>
        <v/>
      </c>
      <c r="C510" s="16" t="n"/>
      <c r="D510" s="17" t="n"/>
      <c r="E510" s="16" t="n"/>
      <c r="F510" s="16" t="n"/>
      <c r="G510" s="36" t="n"/>
      <c r="H510" s="16" t="n"/>
      <c r="I510" s="19">
        <f>IF(OR(F510="",G510=""),"",F510*G510)</f>
        <v/>
      </c>
      <c r="J510" s="36">
        <f>IF(OR(F510="",G510=""),"",ROUND(G510*(1+F510/30),1))</f>
        <v/>
      </c>
      <c r="K510" s="20" t="n"/>
    </row>
    <row r="511" ht="18" customHeight="1">
      <c r="A511" s="37" t="n"/>
      <c r="B511" s="22">
        <f>IF(A511="","",IFERROR(INT((A511-DATE(2026,4,27))/7)+1,""))</f>
        <v/>
      </c>
      <c r="C511" s="22" t="n"/>
      <c r="D511" s="23" t="n"/>
      <c r="E511" s="22" t="n"/>
      <c r="F511" s="22" t="n"/>
      <c r="G511" s="38" t="n"/>
      <c r="H511" s="22" t="n"/>
      <c r="I511" s="25">
        <f>IF(OR(F511="",G511=""),"",F511*G511)</f>
        <v/>
      </c>
      <c r="J511" s="38">
        <f>IF(OR(F511="",G511=""),"",ROUND(G511*(1+F511/30),1))</f>
        <v/>
      </c>
      <c r="K511" s="26" t="n"/>
    </row>
    <row r="512" ht="18" customHeight="1">
      <c r="A512" s="35" t="n"/>
      <c r="B512" s="16">
        <f>IF(A512="","",IFERROR(INT((A512-DATE(2026,4,27))/7)+1,""))</f>
        <v/>
      </c>
      <c r="C512" s="16" t="n"/>
      <c r="D512" s="17" t="n"/>
      <c r="E512" s="16" t="n"/>
      <c r="F512" s="16" t="n"/>
      <c r="G512" s="36" t="n"/>
      <c r="H512" s="16" t="n"/>
      <c r="I512" s="19">
        <f>IF(OR(F512="",G512=""),"",F512*G512)</f>
        <v/>
      </c>
      <c r="J512" s="36">
        <f>IF(OR(F512="",G512=""),"",ROUND(G512*(1+F512/30),1))</f>
        <v/>
      </c>
      <c r="K512" s="20" t="n"/>
    </row>
    <row r="513" ht="18" customHeight="1">
      <c r="A513" s="37" t="n"/>
      <c r="B513" s="22">
        <f>IF(A513="","",IFERROR(INT((A513-DATE(2026,4,27))/7)+1,""))</f>
        <v/>
      </c>
      <c r="C513" s="22" t="n"/>
      <c r="D513" s="23" t="n"/>
      <c r="E513" s="22" t="n"/>
      <c r="F513" s="22" t="n"/>
      <c r="G513" s="38" t="n"/>
      <c r="H513" s="22" t="n"/>
      <c r="I513" s="25">
        <f>IF(OR(F513="",G513=""),"",F513*G513)</f>
        <v/>
      </c>
      <c r="J513" s="38">
        <f>IF(OR(F513="",G513=""),"",ROUND(G513*(1+F513/30),1))</f>
        <v/>
      </c>
      <c r="K513" s="26" t="n"/>
    </row>
    <row r="514" ht="18" customHeight="1">
      <c r="A514" s="35" t="n"/>
      <c r="B514" s="16">
        <f>IF(A514="","",IFERROR(INT((A514-DATE(2026,4,27))/7)+1,""))</f>
        <v/>
      </c>
      <c r="C514" s="16" t="n"/>
      <c r="D514" s="17" t="n"/>
      <c r="E514" s="16" t="n"/>
      <c r="F514" s="16" t="n"/>
      <c r="G514" s="36" t="n"/>
      <c r="H514" s="16" t="n"/>
      <c r="I514" s="19">
        <f>IF(OR(F514="",G514=""),"",F514*G514)</f>
        <v/>
      </c>
      <c r="J514" s="36">
        <f>IF(OR(F514="",G514=""),"",ROUND(G514*(1+F514/30),1))</f>
        <v/>
      </c>
      <c r="K514" s="20" t="n"/>
    </row>
    <row r="515" ht="18" customHeight="1">
      <c r="A515" s="37" t="n"/>
      <c r="B515" s="22">
        <f>IF(A515="","",IFERROR(INT((A515-DATE(2026,4,27))/7)+1,""))</f>
        <v/>
      </c>
      <c r="C515" s="22" t="n"/>
      <c r="D515" s="23" t="n"/>
      <c r="E515" s="22" t="n"/>
      <c r="F515" s="22" t="n"/>
      <c r="G515" s="38" t="n"/>
      <c r="H515" s="22" t="n"/>
      <c r="I515" s="25">
        <f>IF(OR(F515="",G515=""),"",F515*G515)</f>
        <v/>
      </c>
      <c r="J515" s="38">
        <f>IF(OR(F515="",G515=""),"",ROUND(G515*(1+F515/30),1))</f>
        <v/>
      </c>
      <c r="K515" s="26" t="n"/>
    </row>
    <row r="516" ht="18" customHeight="1">
      <c r="A516" s="35" t="n"/>
      <c r="B516" s="16">
        <f>IF(A516="","",IFERROR(INT((A516-DATE(2026,4,27))/7)+1,""))</f>
        <v/>
      </c>
      <c r="C516" s="16" t="n"/>
      <c r="D516" s="17" t="n"/>
      <c r="E516" s="16" t="n"/>
      <c r="F516" s="16" t="n"/>
      <c r="G516" s="36" t="n"/>
      <c r="H516" s="16" t="n"/>
      <c r="I516" s="19">
        <f>IF(OR(F516="",G516=""),"",F516*G516)</f>
        <v/>
      </c>
      <c r="J516" s="36">
        <f>IF(OR(F516="",G516=""),"",ROUND(G516*(1+F516/30),1))</f>
        <v/>
      </c>
      <c r="K516" s="20" t="n"/>
    </row>
    <row r="517" ht="18" customHeight="1">
      <c r="A517" s="37" t="n"/>
      <c r="B517" s="22">
        <f>IF(A517="","",IFERROR(INT((A517-DATE(2026,4,27))/7)+1,""))</f>
        <v/>
      </c>
      <c r="C517" s="22" t="n"/>
      <c r="D517" s="23" t="n"/>
      <c r="E517" s="22" t="n"/>
      <c r="F517" s="22" t="n"/>
      <c r="G517" s="38" t="n"/>
      <c r="H517" s="22" t="n"/>
      <c r="I517" s="25">
        <f>IF(OR(F517="",G517=""),"",F517*G517)</f>
        <v/>
      </c>
      <c r="J517" s="38">
        <f>IF(OR(F517="",G517=""),"",ROUND(G517*(1+F517/30),1))</f>
        <v/>
      </c>
      <c r="K517" s="26" t="n"/>
    </row>
    <row r="518" ht="18" customHeight="1">
      <c r="A518" s="35" t="n"/>
      <c r="B518" s="16">
        <f>IF(A518="","",IFERROR(INT((A518-DATE(2026,4,27))/7)+1,""))</f>
        <v/>
      </c>
      <c r="C518" s="16" t="n"/>
      <c r="D518" s="17" t="n"/>
      <c r="E518" s="16" t="n"/>
      <c r="F518" s="16" t="n"/>
      <c r="G518" s="36" t="n"/>
      <c r="H518" s="16" t="n"/>
      <c r="I518" s="19">
        <f>IF(OR(F518="",G518=""),"",F518*G518)</f>
        <v/>
      </c>
      <c r="J518" s="36">
        <f>IF(OR(F518="",G518=""),"",ROUND(G518*(1+F518/30),1))</f>
        <v/>
      </c>
      <c r="K518" s="20" t="n"/>
    </row>
    <row r="519" ht="18" customHeight="1">
      <c r="A519" s="37" t="n"/>
      <c r="B519" s="22">
        <f>IF(A519="","",IFERROR(INT((A519-DATE(2026,4,27))/7)+1,""))</f>
        <v/>
      </c>
      <c r="C519" s="22" t="n"/>
      <c r="D519" s="23" t="n"/>
      <c r="E519" s="22" t="n"/>
      <c r="F519" s="22" t="n"/>
      <c r="G519" s="38" t="n"/>
      <c r="H519" s="22" t="n"/>
      <c r="I519" s="25">
        <f>IF(OR(F519="",G519=""),"",F519*G519)</f>
        <v/>
      </c>
      <c r="J519" s="38">
        <f>IF(OR(F519="",G519=""),"",ROUND(G519*(1+F519/30),1))</f>
        <v/>
      </c>
      <c r="K519" s="26" t="n"/>
    </row>
    <row r="520" ht="18" customHeight="1">
      <c r="A520" s="35" t="n"/>
      <c r="B520" s="16">
        <f>IF(A520="","",IFERROR(INT((A520-DATE(2026,4,27))/7)+1,""))</f>
        <v/>
      </c>
      <c r="C520" s="16" t="n"/>
      <c r="D520" s="17" t="n"/>
      <c r="E520" s="16" t="n"/>
      <c r="F520" s="16" t="n"/>
      <c r="G520" s="36" t="n"/>
      <c r="H520" s="16" t="n"/>
      <c r="I520" s="19">
        <f>IF(OR(F520="",G520=""),"",F520*G520)</f>
        <v/>
      </c>
      <c r="J520" s="36">
        <f>IF(OR(F520="",G520=""),"",ROUND(G520*(1+F520/30),1))</f>
        <v/>
      </c>
      <c r="K520" s="20" t="n"/>
    </row>
    <row r="521" ht="18" customHeight="1">
      <c r="A521" s="37" t="n"/>
      <c r="B521" s="22">
        <f>IF(A521="","",IFERROR(INT((A521-DATE(2026,4,27))/7)+1,""))</f>
        <v/>
      </c>
      <c r="C521" s="22" t="n"/>
      <c r="D521" s="23" t="n"/>
      <c r="E521" s="22" t="n"/>
      <c r="F521" s="22" t="n"/>
      <c r="G521" s="38" t="n"/>
      <c r="H521" s="22" t="n"/>
      <c r="I521" s="25">
        <f>IF(OR(F521="",G521=""),"",F521*G521)</f>
        <v/>
      </c>
      <c r="J521" s="38">
        <f>IF(OR(F521="",G521=""),"",ROUND(G521*(1+F521/30),1))</f>
        <v/>
      </c>
      <c r="K521" s="26" t="n"/>
    </row>
    <row r="522" ht="18" customHeight="1">
      <c r="A522" s="35" t="n"/>
      <c r="B522" s="16">
        <f>IF(A522="","",IFERROR(INT((A522-DATE(2026,4,27))/7)+1,""))</f>
        <v/>
      </c>
      <c r="C522" s="16" t="n"/>
      <c r="D522" s="17" t="n"/>
      <c r="E522" s="16" t="n"/>
      <c r="F522" s="16" t="n"/>
      <c r="G522" s="36" t="n"/>
      <c r="H522" s="16" t="n"/>
      <c r="I522" s="19">
        <f>IF(OR(F522="",G522=""),"",F522*G522)</f>
        <v/>
      </c>
      <c r="J522" s="36">
        <f>IF(OR(F522="",G522=""),"",ROUND(G522*(1+F522/30),1))</f>
        <v/>
      </c>
      <c r="K522" s="20" t="n"/>
    </row>
    <row r="523" ht="18" customHeight="1">
      <c r="A523" s="37" t="n"/>
      <c r="B523" s="22">
        <f>IF(A523="","",IFERROR(INT((A523-DATE(2026,4,27))/7)+1,""))</f>
        <v/>
      </c>
      <c r="C523" s="22" t="n"/>
      <c r="D523" s="23" t="n"/>
      <c r="E523" s="22" t="n"/>
      <c r="F523" s="22" t="n"/>
      <c r="G523" s="38" t="n"/>
      <c r="H523" s="22" t="n"/>
      <c r="I523" s="25">
        <f>IF(OR(F523="",G523=""),"",F523*G523)</f>
        <v/>
      </c>
      <c r="J523" s="38">
        <f>IF(OR(F523="",G523=""),"",ROUND(G523*(1+F523/30),1))</f>
        <v/>
      </c>
      <c r="K523" s="26" t="n"/>
    </row>
    <row r="524" ht="18" customHeight="1">
      <c r="A524" s="35" t="n"/>
      <c r="B524" s="16">
        <f>IF(A524="","",IFERROR(INT((A524-DATE(2026,4,27))/7)+1,""))</f>
        <v/>
      </c>
      <c r="C524" s="16" t="n"/>
      <c r="D524" s="17" t="n"/>
      <c r="E524" s="16" t="n"/>
      <c r="F524" s="16" t="n"/>
      <c r="G524" s="36" t="n"/>
      <c r="H524" s="16" t="n"/>
      <c r="I524" s="19">
        <f>IF(OR(F524="",G524=""),"",F524*G524)</f>
        <v/>
      </c>
      <c r="J524" s="36">
        <f>IF(OR(F524="",G524=""),"",ROUND(G524*(1+F524/30),1))</f>
        <v/>
      </c>
      <c r="K524" s="20" t="n"/>
    </row>
    <row r="525" ht="18" customHeight="1">
      <c r="A525" s="37" t="n"/>
      <c r="B525" s="22">
        <f>IF(A525="","",IFERROR(INT((A525-DATE(2026,4,27))/7)+1,""))</f>
        <v/>
      </c>
      <c r="C525" s="22" t="n"/>
      <c r="D525" s="23" t="n"/>
      <c r="E525" s="22" t="n"/>
      <c r="F525" s="22" t="n"/>
      <c r="G525" s="38" t="n"/>
      <c r="H525" s="22" t="n"/>
      <c r="I525" s="25">
        <f>IF(OR(F525="",G525=""),"",F525*G525)</f>
        <v/>
      </c>
      <c r="J525" s="38">
        <f>IF(OR(F525="",G525=""),"",ROUND(G525*(1+F525/30),1))</f>
        <v/>
      </c>
      <c r="K525" s="26" t="n"/>
    </row>
    <row r="526" ht="18" customHeight="1">
      <c r="A526" s="35" t="n"/>
      <c r="B526" s="16">
        <f>IF(A526="","",IFERROR(INT((A526-DATE(2026,4,27))/7)+1,""))</f>
        <v/>
      </c>
      <c r="C526" s="16" t="n"/>
      <c r="D526" s="17" t="n"/>
      <c r="E526" s="16" t="n"/>
      <c r="F526" s="16" t="n"/>
      <c r="G526" s="36" t="n"/>
      <c r="H526" s="16" t="n"/>
      <c r="I526" s="19">
        <f>IF(OR(F526="",G526=""),"",F526*G526)</f>
        <v/>
      </c>
      <c r="J526" s="36">
        <f>IF(OR(F526="",G526=""),"",ROUND(G526*(1+F526/30),1))</f>
        <v/>
      </c>
      <c r="K526" s="20" t="n"/>
    </row>
    <row r="527" ht="18" customHeight="1">
      <c r="A527" s="37" t="n"/>
      <c r="B527" s="22">
        <f>IF(A527="","",IFERROR(INT((A527-DATE(2026,4,27))/7)+1,""))</f>
        <v/>
      </c>
      <c r="C527" s="22" t="n"/>
      <c r="D527" s="23" t="n"/>
      <c r="E527" s="22" t="n"/>
      <c r="F527" s="22" t="n"/>
      <c r="G527" s="38" t="n"/>
      <c r="H527" s="22" t="n"/>
      <c r="I527" s="25">
        <f>IF(OR(F527="",G527=""),"",F527*G527)</f>
        <v/>
      </c>
      <c r="J527" s="38">
        <f>IF(OR(F527="",G527=""),"",ROUND(G527*(1+F527/30),1))</f>
        <v/>
      </c>
      <c r="K527" s="26" t="n"/>
    </row>
    <row r="528" ht="18" customHeight="1">
      <c r="A528" s="35" t="n"/>
      <c r="B528" s="16">
        <f>IF(A528="","",IFERROR(INT((A528-DATE(2026,4,27))/7)+1,""))</f>
        <v/>
      </c>
      <c r="C528" s="16" t="n"/>
      <c r="D528" s="17" t="n"/>
      <c r="E528" s="16" t="n"/>
      <c r="F528" s="16" t="n"/>
      <c r="G528" s="36" t="n"/>
      <c r="H528" s="16" t="n"/>
      <c r="I528" s="19">
        <f>IF(OR(F528="",G528=""),"",F528*G528)</f>
        <v/>
      </c>
      <c r="J528" s="36">
        <f>IF(OR(F528="",G528=""),"",ROUND(G528*(1+F528/30),1))</f>
        <v/>
      </c>
      <c r="K528" s="20" t="n"/>
    </row>
    <row r="529" ht="18" customHeight="1">
      <c r="A529" s="37" t="n"/>
      <c r="B529" s="22">
        <f>IF(A529="","",IFERROR(INT((A529-DATE(2026,4,27))/7)+1,""))</f>
        <v/>
      </c>
      <c r="C529" s="22" t="n"/>
      <c r="D529" s="23" t="n"/>
      <c r="E529" s="22" t="n"/>
      <c r="F529" s="22" t="n"/>
      <c r="G529" s="38" t="n"/>
      <c r="H529" s="22" t="n"/>
      <c r="I529" s="25">
        <f>IF(OR(F529="",G529=""),"",F529*G529)</f>
        <v/>
      </c>
      <c r="J529" s="38">
        <f>IF(OR(F529="",G529=""),"",ROUND(G529*(1+F529/30),1))</f>
        <v/>
      </c>
      <c r="K529" s="26" t="n"/>
    </row>
    <row r="530" ht="18" customHeight="1">
      <c r="A530" s="35" t="n"/>
      <c r="B530" s="16">
        <f>IF(A530="","",IFERROR(INT((A530-DATE(2026,4,27))/7)+1,""))</f>
        <v/>
      </c>
      <c r="C530" s="16" t="n"/>
      <c r="D530" s="17" t="n"/>
      <c r="E530" s="16" t="n"/>
      <c r="F530" s="16" t="n"/>
      <c r="G530" s="36" t="n"/>
      <c r="H530" s="16" t="n"/>
      <c r="I530" s="19">
        <f>IF(OR(F530="",G530=""),"",F530*G530)</f>
        <v/>
      </c>
      <c r="J530" s="36">
        <f>IF(OR(F530="",G530=""),"",ROUND(G530*(1+F530/30),1))</f>
        <v/>
      </c>
      <c r="K530" s="20" t="n"/>
    </row>
    <row r="531" ht="18" customHeight="1">
      <c r="A531" s="37" t="n"/>
      <c r="B531" s="22">
        <f>IF(A531="","",IFERROR(INT((A531-DATE(2026,4,27))/7)+1,""))</f>
        <v/>
      </c>
      <c r="C531" s="22" t="n"/>
      <c r="D531" s="23" t="n"/>
      <c r="E531" s="22" t="n"/>
      <c r="F531" s="22" t="n"/>
      <c r="G531" s="38" t="n"/>
      <c r="H531" s="22" t="n"/>
      <c r="I531" s="25">
        <f>IF(OR(F531="",G531=""),"",F531*G531)</f>
        <v/>
      </c>
      <c r="J531" s="38">
        <f>IF(OR(F531="",G531=""),"",ROUND(G531*(1+F531/30),1))</f>
        <v/>
      </c>
      <c r="K531" s="26" t="n"/>
    </row>
    <row r="532" ht="18" customHeight="1">
      <c r="A532" s="35" t="n"/>
      <c r="B532" s="16">
        <f>IF(A532="","",IFERROR(INT((A532-DATE(2026,4,27))/7)+1,""))</f>
        <v/>
      </c>
      <c r="C532" s="16" t="n"/>
      <c r="D532" s="17" t="n"/>
      <c r="E532" s="16" t="n"/>
      <c r="F532" s="16" t="n"/>
      <c r="G532" s="36" t="n"/>
      <c r="H532" s="16" t="n"/>
      <c r="I532" s="19">
        <f>IF(OR(F532="",G532=""),"",F532*G532)</f>
        <v/>
      </c>
      <c r="J532" s="36">
        <f>IF(OR(F532="",G532=""),"",ROUND(G532*(1+F532/30),1))</f>
        <v/>
      </c>
      <c r="K532" s="20" t="n"/>
    </row>
    <row r="533" ht="18" customHeight="1">
      <c r="A533" s="37" t="n"/>
      <c r="B533" s="22">
        <f>IF(A533="","",IFERROR(INT((A533-DATE(2026,4,27))/7)+1,""))</f>
        <v/>
      </c>
      <c r="C533" s="22" t="n"/>
      <c r="D533" s="23" t="n"/>
      <c r="E533" s="22" t="n"/>
      <c r="F533" s="22" t="n"/>
      <c r="G533" s="38" t="n"/>
      <c r="H533" s="22" t="n"/>
      <c r="I533" s="25">
        <f>IF(OR(F533="",G533=""),"",F533*G533)</f>
        <v/>
      </c>
      <c r="J533" s="38">
        <f>IF(OR(F533="",G533=""),"",ROUND(G533*(1+F533/30),1))</f>
        <v/>
      </c>
      <c r="K533" s="26" t="n"/>
    </row>
    <row r="534" ht="18" customHeight="1">
      <c r="A534" s="35" t="n"/>
      <c r="B534" s="16">
        <f>IF(A534="","",IFERROR(INT((A534-DATE(2026,4,27))/7)+1,""))</f>
        <v/>
      </c>
      <c r="C534" s="16" t="n"/>
      <c r="D534" s="17" t="n"/>
      <c r="E534" s="16" t="n"/>
      <c r="F534" s="16" t="n"/>
      <c r="G534" s="36" t="n"/>
      <c r="H534" s="16" t="n"/>
      <c r="I534" s="19">
        <f>IF(OR(F534="",G534=""),"",F534*G534)</f>
        <v/>
      </c>
      <c r="J534" s="36">
        <f>IF(OR(F534="",G534=""),"",ROUND(G534*(1+F534/30),1))</f>
        <v/>
      </c>
      <c r="K534" s="20" t="n"/>
    </row>
    <row r="535" ht="18" customHeight="1">
      <c r="A535" s="37" t="n"/>
      <c r="B535" s="22">
        <f>IF(A535="","",IFERROR(INT((A535-DATE(2026,4,27))/7)+1,""))</f>
        <v/>
      </c>
      <c r="C535" s="22" t="n"/>
      <c r="D535" s="23" t="n"/>
      <c r="E535" s="22" t="n"/>
      <c r="F535" s="22" t="n"/>
      <c r="G535" s="38" t="n"/>
      <c r="H535" s="22" t="n"/>
      <c r="I535" s="25">
        <f>IF(OR(F535="",G535=""),"",F535*G535)</f>
        <v/>
      </c>
      <c r="J535" s="38">
        <f>IF(OR(F535="",G535=""),"",ROUND(G535*(1+F535/30),1))</f>
        <v/>
      </c>
      <c r="K535" s="26" t="n"/>
    </row>
    <row r="536" ht="18" customHeight="1">
      <c r="A536" s="35" t="n"/>
      <c r="B536" s="16">
        <f>IF(A536="","",IFERROR(INT((A536-DATE(2026,4,27))/7)+1,""))</f>
        <v/>
      </c>
      <c r="C536" s="16" t="n"/>
      <c r="D536" s="17" t="n"/>
      <c r="E536" s="16" t="n"/>
      <c r="F536" s="16" t="n"/>
      <c r="G536" s="36" t="n"/>
      <c r="H536" s="16" t="n"/>
      <c r="I536" s="19">
        <f>IF(OR(F536="",G536=""),"",F536*G536)</f>
        <v/>
      </c>
      <c r="J536" s="36">
        <f>IF(OR(F536="",G536=""),"",ROUND(G536*(1+F536/30),1))</f>
        <v/>
      </c>
      <c r="K536" s="20" t="n"/>
    </row>
    <row r="537" ht="18" customHeight="1">
      <c r="A537" s="37" t="n"/>
      <c r="B537" s="22">
        <f>IF(A537="","",IFERROR(INT((A537-DATE(2026,4,27))/7)+1,""))</f>
        <v/>
      </c>
      <c r="C537" s="22" t="n"/>
      <c r="D537" s="23" t="n"/>
      <c r="E537" s="22" t="n"/>
      <c r="F537" s="22" t="n"/>
      <c r="G537" s="38" t="n"/>
      <c r="H537" s="22" t="n"/>
      <c r="I537" s="25">
        <f>IF(OR(F537="",G537=""),"",F537*G537)</f>
        <v/>
      </c>
      <c r="J537" s="38">
        <f>IF(OR(F537="",G537=""),"",ROUND(G537*(1+F537/30),1))</f>
        <v/>
      </c>
      <c r="K537" s="26" t="n"/>
    </row>
    <row r="538" ht="18" customHeight="1">
      <c r="A538" s="35" t="n"/>
      <c r="B538" s="16">
        <f>IF(A538="","",IFERROR(INT((A538-DATE(2026,4,27))/7)+1,""))</f>
        <v/>
      </c>
      <c r="C538" s="16" t="n"/>
      <c r="D538" s="17" t="n"/>
      <c r="E538" s="16" t="n"/>
      <c r="F538" s="16" t="n"/>
      <c r="G538" s="36" t="n"/>
      <c r="H538" s="16" t="n"/>
      <c r="I538" s="19">
        <f>IF(OR(F538="",G538=""),"",F538*G538)</f>
        <v/>
      </c>
      <c r="J538" s="36">
        <f>IF(OR(F538="",G538=""),"",ROUND(G538*(1+F538/30),1))</f>
        <v/>
      </c>
      <c r="K538" s="20" t="n"/>
    </row>
    <row r="539" ht="18" customHeight="1">
      <c r="A539" s="37" t="n"/>
      <c r="B539" s="22">
        <f>IF(A539="","",IFERROR(INT((A539-DATE(2026,4,27))/7)+1,""))</f>
        <v/>
      </c>
      <c r="C539" s="22" t="n"/>
      <c r="D539" s="23" t="n"/>
      <c r="E539" s="22" t="n"/>
      <c r="F539" s="22" t="n"/>
      <c r="G539" s="38" t="n"/>
      <c r="H539" s="22" t="n"/>
      <c r="I539" s="25">
        <f>IF(OR(F539="",G539=""),"",F539*G539)</f>
        <v/>
      </c>
      <c r="J539" s="38">
        <f>IF(OR(F539="",G539=""),"",ROUND(G539*(1+F539/30),1))</f>
        <v/>
      </c>
      <c r="K539" s="26" t="n"/>
    </row>
    <row r="540" ht="18" customHeight="1">
      <c r="A540" s="35" t="n"/>
      <c r="B540" s="16">
        <f>IF(A540="","",IFERROR(INT((A540-DATE(2026,4,27))/7)+1,""))</f>
        <v/>
      </c>
      <c r="C540" s="16" t="n"/>
      <c r="D540" s="17" t="n"/>
      <c r="E540" s="16" t="n"/>
      <c r="F540" s="16" t="n"/>
      <c r="G540" s="36" t="n"/>
      <c r="H540" s="16" t="n"/>
      <c r="I540" s="19">
        <f>IF(OR(F540="",G540=""),"",F540*G540)</f>
        <v/>
      </c>
      <c r="J540" s="36">
        <f>IF(OR(F540="",G540=""),"",ROUND(G540*(1+F540/30),1))</f>
        <v/>
      </c>
      <c r="K540" s="20" t="n"/>
    </row>
    <row r="541" ht="18" customHeight="1">
      <c r="A541" s="37" t="n"/>
      <c r="B541" s="22">
        <f>IF(A541="","",IFERROR(INT((A541-DATE(2026,4,27))/7)+1,""))</f>
        <v/>
      </c>
      <c r="C541" s="22" t="n"/>
      <c r="D541" s="23" t="n"/>
      <c r="E541" s="22" t="n"/>
      <c r="F541" s="22" t="n"/>
      <c r="G541" s="38" t="n"/>
      <c r="H541" s="22" t="n"/>
      <c r="I541" s="25">
        <f>IF(OR(F541="",G541=""),"",F541*G541)</f>
        <v/>
      </c>
      <c r="J541" s="38">
        <f>IF(OR(F541="",G541=""),"",ROUND(G541*(1+F541/30),1))</f>
        <v/>
      </c>
      <c r="K541" s="26" t="n"/>
    </row>
    <row r="542" ht="18" customHeight="1">
      <c r="A542" s="35" t="n"/>
      <c r="B542" s="16">
        <f>IF(A542="","",IFERROR(INT((A542-DATE(2026,4,27))/7)+1,""))</f>
        <v/>
      </c>
      <c r="C542" s="16" t="n"/>
      <c r="D542" s="17" t="n"/>
      <c r="E542" s="16" t="n"/>
      <c r="F542" s="16" t="n"/>
      <c r="G542" s="36" t="n"/>
      <c r="H542" s="16" t="n"/>
      <c r="I542" s="19">
        <f>IF(OR(F542="",G542=""),"",F542*G542)</f>
        <v/>
      </c>
      <c r="J542" s="36">
        <f>IF(OR(F542="",G542=""),"",ROUND(G542*(1+F542/30),1))</f>
        <v/>
      </c>
      <c r="K542" s="20" t="n"/>
    </row>
    <row r="543" ht="18" customHeight="1">
      <c r="A543" s="37" t="n"/>
      <c r="B543" s="22">
        <f>IF(A543="","",IFERROR(INT((A543-DATE(2026,4,27))/7)+1,""))</f>
        <v/>
      </c>
      <c r="C543" s="22" t="n"/>
      <c r="D543" s="23" t="n"/>
      <c r="E543" s="22" t="n"/>
      <c r="F543" s="22" t="n"/>
      <c r="G543" s="38" t="n"/>
      <c r="H543" s="22" t="n"/>
      <c r="I543" s="25">
        <f>IF(OR(F543="",G543=""),"",F543*G543)</f>
        <v/>
      </c>
      <c r="J543" s="38">
        <f>IF(OR(F543="",G543=""),"",ROUND(G543*(1+F543/30),1))</f>
        <v/>
      </c>
      <c r="K543" s="26" t="n"/>
    </row>
    <row r="544" ht="18" customHeight="1">
      <c r="A544" s="35" t="n"/>
      <c r="B544" s="16">
        <f>IF(A544="","",IFERROR(INT((A544-DATE(2026,4,27))/7)+1,""))</f>
        <v/>
      </c>
      <c r="C544" s="16" t="n"/>
      <c r="D544" s="17" t="n"/>
      <c r="E544" s="16" t="n"/>
      <c r="F544" s="16" t="n"/>
      <c r="G544" s="36" t="n"/>
      <c r="H544" s="16" t="n"/>
      <c r="I544" s="19">
        <f>IF(OR(F544="",G544=""),"",F544*G544)</f>
        <v/>
      </c>
      <c r="J544" s="36">
        <f>IF(OR(F544="",G544=""),"",ROUND(G544*(1+F544/30),1))</f>
        <v/>
      </c>
      <c r="K544" s="20" t="n"/>
    </row>
    <row r="545" ht="18" customHeight="1">
      <c r="A545" s="37" t="n"/>
      <c r="B545" s="22">
        <f>IF(A545="","",IFERROR(INT((A545-DATE(2026,4,27))/7)+1,""))</f>
        <v/>
      </c>
      <c r="C545" s="22" t="n"/>
      <c r="D545" s="23" t="n"/>
      <c r="E545" s="22" t="n"/>
      <c r="F545" s="22" t="n"/>
      <c r="G545" s="38" t="n"/>
      <c r="H545" s="22" t="n"/>
      <c r="I545" s="25">
        <f>IF(OR(F545="",G545=""),"",F545*G545)</f>
        <v/>
      </c>
      <c r="J545" s="38">
        <f>IF(OR(F545="",G545=""),"",ROUND(G545*(1+F545/30),1))</f>
        <v/>
      </c>
      <c r="K545" s="26" t="n"/>
    </row>
    <row r="546" ht="18" customHeight="1">
      <c r="A546" s="35" t="n"/>
      <c r="B546" s="16">
        <f>IF(A546="","",IFERROR(INT((A546-DATE(2026,4,27))/7)+1,""))</f>
        <v/>
      </c>
      <c r="C546" s="16" t="n"/>
      <c r="D546" s="17" t="n"/>
      <c r="E546" s="16" t="n"/>
      <c r="F546" s="16" t="n"/>
      <c r="G546" s="36" t="n"/>
      <c r="H546" s="16" t="n"/>
      <c r="I546" s="19">
        <f>IF(OR(F546="",G546=""),"",F546*G546)</f>
        <v/>
      </c>
      <c r="J546" s="36">
        <f>IF(OR(F546="",G546=""),"",ROUND(G546*(1+F546/30),1))</f>
        <v/>
      </c>
      <c r="K546" s="20" t="n"/>
    </row>
    <row r="547" ht="18" customHeight="1">
      <c r="A547" s="37" t="n"/>
      <c r="B547" s="22">
        <f>IF(A547="","",IFERROR(INT((A547-DATE(2026,4,27))/7)+1,""))</f>
        <v/>
      </c>
      <c r="C547" s="22" t="n"/>
      <c r="D547" s="23" t="n"/>
      <c r="E547" s="22" t="n"/>
      <c r="F547" s="22" t="n"/>
      <c r="G547" s="38" t="n"/>
      <c r="H547" s="22" t="n"/>
      <c r="I547" s="25">
        <f>IF(OR(F547="",G547=""),"",F547*G547)</f>
        <v/>
      </c>
      <c r="J547" s="38">
        <f>IF(OR(F547="",G547=""),"",ROUND(G547*(1+F547/30),1))</f>
        <v/>
      </c>
      <c r="K547" s="26" t="n"/>
    </row>
    <row r="548" ht="18" customHeight="1">
      <c r="A548" s="35" t="n"/>
      <c r="B548" s="16">
        <f>IF(A548="","",IFERROR(INT((A548-DATE(2026,4,27))/7)+1,""))</f>
        <v/>
      </c>
      <c r="C548" s="16" t="n"/>
      <c r="D548" s="17" t="n"/>
      <c r="E548" s="16" t="n"/>
      <c r="F548" s="16" t="n"/>
      <c r="G548" s="36" t="n"/>
      <c r="H548" s="16" t="n"/>
      <c r="I548" s="19">
        <f>IF(OR(F548="",G548=""),"",F548*G548)</f>
        <v/>
      </c>
      <c r="J548" s="36">
        <f>IF(OR(F548="",G548=""),"",ROUND(G548*(1+F548/30),1))</f>
        <v/>
      </c>
      <c r="K548" s="20" t="n"/>
    </row>
    <row r="549" ht="18" customHeight="1">
      <c r="A549" s="37" t="n"/>
      <c r="B549" s="22">
        <f>IF(A549="","",IFERROR(INT((A549-DATE(2026,4,27))/7)+1,""))</f>
        <v/>
      </c>
      <c r="C549" s="22" t="n"/>
      <c r="D549" s="23" t="n"/>
      <c r="E549" s="22" t="n"/>
      <c r="F549" s="22" t="n"/>
      <c r="G549" s="38" t="n"/>
      <c r="H549" s="22" t="n"/>
      <c r="I549" s="25">
        <f>IF(OR(F549="",G549=""),"",F549*G549)</f>
        <v/>
      </c>
      <c r="J549" s="38">
        <f>IF(OR(F549="",G549=""),"",ROUND(G549*(1+F549/30),1))</f>
        <v/>
      </c>
      <c r="K549" s="26" t="n"/>
    </row>
    <row r="550" ht="18" customHeight="1">
      <c r="A550" s="35" t="n"/>
      <c r="B550" s="16">
        <f>IF(A550="","",IFERROR(INT((A550-DATE(2026,4,27))/7)+1,""))</f>
        <v/>
      </c>
      <c r="C550" s="16" t="n"/>
      <c r="D550" s="17" t="n"/>
      <c r="E550" s="16" t="n"/>
      <c r="F550" s="16" t="n"/>
      <c r="G550" s="36" t="n"/>
      <c r="H550" s="16" t="n"/>
      <c r="I550" s="19">
        <f>IF(OR(F550="",G550=""),"",F550*G550)</f>
        <v/>
      </c>
      <c r="J550" s="36">
        <f>IF(OR(F550="",G550=""),"",ROUND(G550*(1+F550/30),1))</f>
        <v/>
      </c>
      <c r="K550" s="20" t="n"/>
    </row>
    <row r="551" ht="18" customHeight="1">
      <c r="A551" s="37" t="n"/>
      <c r="B551" s="22">
        <f>IF(A551="","",IFERROR(INT((A551-DATE(2026,4,27))/7)+1,""))</f>
        <v/>
      </c>
      <c r="C551" s="22" t="n"/>
      <c r="D551" s="23" t="n"/>
      <c r="E551" s="22" t="n"/>
      <c r="F551" s="22" t="n"/>
      <c r="G551" s="38" t="n"/>
      <c r="H551" s="22" t="n"/>
      <c r="I551" s="25">
        <f>IF(OR(F551="",G551=""),"",F551*G551)</f>
        <v/>
      </c>
      <c r="J551" s="38">
        <f>IF(OR(F551="",G551=""),"",ROUND(G551*(1+F551/30),1))</f>
        <v/>
      </c>
      <c r="K551" s="26" t="n"/>
    </row>
    <row r="552" ht="18" customHeight="1">
      <c r="A552" s="35" t="n"/>
      <c r="B552" s="16">
        <f>IF(A552="","",IFERROR(INT((A552-DATE(2026,4,27))/7)+1,""))</f>
        <v/>
      </c>
      <c r="C552" s="16" t="n"/>
      <c r="D552" s="17" t="n"/>
      <c r="E552" s="16" t="n"/>
      <c r="F552" s="16" t="n"/>
      <c r="G552" s="36" t="n"/>
      <c r="H552" s="16" t="n"/>
      <c r="I552" s="19">
        <f>IF(OR(F552="",G552=""),"",F552*G552)</f>
        <v/>
      </c>
      <c r="J552" s="36">
        <f>IF(OR(F552="",G552=""),"",ROUND(G552*(1+F552/30),1))</f>
        <v/>
      </c>
      <c r="K552" s="20" t="n"/>
    </row>
    <row r="553" ht="18" customHeight="1">
      <c r="A553" s="37" t="n"/>
      <c r="B553" s="22">
        <f>IF(A553="","",IFERROR(INT((A553-DATE(2026,4,27))/7)+1,""))</f>
        <v/>
      </c>
      <c r="C553" s="22" t="n"/>
      <c r="D553" s="23" t="n"/>
      <c r="E553" s="22" t="n"/>
      <c r="F553" s="22" t="n"/>
      <c r="G553" s="38" t="n"/>
      <c r="H553" s="22" t="n"/>
      <c r="I553" s="25">
        <f>IF(OR(F553="",G553=""),"",F553*G553)</f>
        <v/>
      </c>
      <c r="J553" s="38">
        <f>IF(OR(F553="",G553=""),"",ROUND(G553*(1+F553/30),1))</f>
        <v/>
      </c>
      <c r="K553" s="26" t="n"/>
    </row>
    <row r="554" ht="18" customHeight="1">
      <c r="A554" s="35" t="n"/>
      <c r="B554" s="16">
        <f>IF(A554="","",IFERROR(INT((A554-DATE(2026,4,27))/7)+1,""))</f>
        <v/>
      </c>
      <c r="C554" s="16" t="n"/>
      <c r="D554" s="17" t="n"/>
      <c r="E554" s="16" t="n"/>
      <c r="F554" s="16" t="n"/>
      <c r="G554" s="36" t="n"/>
      <c r="H554" s="16" t="n"/>
      <c r="I554" s="19">
        <f>IF(OR(F554="",G554=""),"",F554*G554)</f>
        <v/>
      </c>
      <c r="J554" s="36">
        <f>IF(OR(F554="",G554=""),"",ROUND(G554*(1+F554/30),1))</f>
        <v/>
      </c>
      <c r="K554" s="20" t="n"/>
    </row>
    <row r="555" ht="18" customHeight="1">
      <c r="A555" s="37" t="n"/>
      <c r="B555" s="22">
        <f>IF(A555="","",IFERROR(INT((A555-DATE(2026,4,27))/7)+1,""))</f>
        <v/>
      </c>
      <c r="C555" s="22" t="n"/>
      <c r="D555" s="23" t="n"/>
      <c r="E555" s="22" t="n"/>
      <c r="F555" s="22" t="n"/>
      <c r="G555" s="38" t="n"/>
      <c r="H555" s="22" t="n"/>
      <c r="I555" s="25">
        <f>IF(OR(F555="",G555=""),"",F555*G555)</f>
        <v/>
      </c>
      <c r="J555" s="38">
        <f>IF(OR(F555="",G555=""),"",ROUND(G555*(1+F555/30),1))</f>
        <v/>
      </c>
      <c r="K555" s="26" t="n"/>
    </row>
    <row r="556" ht="18" customHeight="1">
      <c r="A556" s="35" t="n"/>
      <c r="B556" s="16">
        <f>IF(A556="","",IFERROR(INT((A556-DATE(2026,4,27))/7)+1,""))</f>
        <v/>
      </c>
      <c r="C556" s="16" t="n"/>
      <c r="D556" s="17" t="n"/>
      <c r="E556" s="16" t="n"/>
      <c r="F556" s="16" t="n"/>
      <c r="G556" s="36" t="n"/>
      <c r="H556" s="16" t="n"/>
      <c r="I556" s="19">
        <f>IF(OR(F556="",G556=""),"",F556*G556)</f>
        <v/>
      </c>
      <c r="J556" s="36">
        <f>IF(OR(F556="",G556=""),"",ROUND(G556*(1+F556/30),1))</f>
        <v/>
      </c>
      <c r="K556" s="20" t="n"/>
    </row>
    <row r="557" ht="18" customHeight="1">
      <c r="A557" s="37" t="n"/>
      <c r="B557" s="22">
        <f>IF(A557="","",IFERROR(INT((A557-DATE(2026,4,27))/7)+1,""))</f>
        <v/>
      </c>
      <c r="C557" s="22" t="n"/>
      <c r="D557" s="23" t="n"/>
      <c r="E557" s="22" t="n"/>
      <c r="F557" s="22" t="n"/>
      <c r="G557" s="38" t="n"/>
      <c r="H557" s="22" t="n"/>
      <c r="I557" s="25">
        <f>IF(OR(F557="",G557=""),"",F557*G557)</f>
        <v/>
      </c>
      <c r="J557" s="38">
        <f>IF(OR(F557="",G557=""),"",ROUND(G557*(1+F557/30),1))</f>
        <v/>
      </c>
      <c r="K557" s="26" t="n"/>
    </row>
    <row r="558" ht="18" customHeight="1">
      <c r="A558" s="35" t="n"/>
      <c r="B558" s="16">
        <f>IF(A558="","",IFERROR(INT((A558-DATE(2026,4,27))/7)+1,""))</f>
        <v/>
      </c>
      <c r="C558" s="16" t="n"/>
      <c r="D558" s="17" t="n"/>
      <c r="E558" s="16" t="n"/>
      <c r="F558" s="16" t="n"/>
      <c r="G558" s="36" t="n"/>
      <c r="H558" s="16" t="n"/>
      <c r="I558" s="19">
        <f>IF(OR(F558="",G558=""),"",F558*G558)</f>
        <v/>
      </c>
      <c r="J558" s="36">
        <f>IF(OR(F558="",G558=""),"",ROUND(G558*(1+F558/30),1))</f>
        <v/>
      </c>
      <c r="K558" s="20" t="n"/>
    </row>
    <row r="559" ht="18" customHeight="1">
      <c r="A559" s="37" t="n"/>
      <c r="B559" s="22">
        <f>IF(A559="","",IFERROR(INT((A559-DATE(2026,4,27))/7)+1,""))</f>
        <v/>
      </c>
      <c r="C559" s="22" t="n"/>
      <c r="D559" s="23" t="n"/>
      <c r="E559" s="22" t="n"/>
      <c r="F559" s="22" t="n"/>
      <c r="G559" s="38" t="n"/>
      <c r="H559" s="22" t="n"/>
      <c r="I559" s="25">
        <f>IF(OR(F559="",G559=""),"",F559*G559)</f>
        <v/>
      </c>
      <c r="J559" s="38">
        <f>IF(OR(F559="",G559=""),"",ROUND(G559*(1+F559/30),1))</f>
        <v/>
      </c>
      <c r="K559" s="26" t="n"/>
    </row>
    <row r="560" ht="18" customHeight="1">
      <c r="A560" s="35" t="n"/>
      <c r="B560" s="16">
        <f>IF(A560="","",IFERROR(INT((A560-DATE(2026,4,27))/7)+1,""))</f>
        <v/>
      </c>
      <c r="C560" s="16" t="n"/>
      <c r="D560" s="17" t="n"/>
      <c r="E560" s="16" t="n"/>
      <c r="F560" s="16" t="n"/>
      <c r="G560" s="36" t="n"/>
      <c r="H560" s="16" t="n"/>
      <c r="I560" s="19">
        <f>IF(OR(F560="",G560=""),"",F560*G560)</f>
        <v/>
      </c>
      <c r="J560" s="36">
        <f>IF(OR(F560="",G560=""),"",ROUND(G560*(1+F560/30),1))</f>
        <v/>
      </c>
      <c r="K560" s="20" t="n"/>
    </row>
    <row r="561" ht="18" customHeight="1">
      <c r="A561" s="37" t="n"/>
      <c r="B561" s="22">
        <f>IF(A561="","",IFERROR(INT((A561-DATE(2026,4,27))/7)+1,""))</f>
        <v/>
      </c>
      <c r="C561" s="22" t="n"/>
      <c r="D561" s="23" t="n"/>
      <c r="E561" s="22" t="n"/>
      <c r="F561" s="22" t="n"/>
      <c r="G561" s="38" t="n"/>
      <c r="H561" s="22" t="n"/>
      <c r="I561" s="25">
        <f>IF(OR(F561="",G561=""),"",F561*G561)</f>
        <v/>
      </c>
      <c r="J561" s="38">
        <f>IF(OR(F561="",G561=""),"",ROUND(G561*(1+F561/30),1))</f>
        <v/>
      </c>
      <c r="K561" s="26" t="n"/>
    </row>
    <row r="562" ht="18" customHeight="1">
      <c r="A562" s="35" t="n"/>
      <c r="B562" s="16">
        <f>IF(A562="","",IFERROR(INT((A562-DATE(2026,4,27))/7)+1,""))</f>
        <v/>
      </c>
      <c r="C562" s="16" t="n"/>
      <c r="D562" s="17" t="n"/>
      <c r="E562" s="16" t="n"/>
      <c r="F562" s="16" t="n"/>
      <c r="G562" s="36" t="n"/>
      <c r="H562" s="16" t="n"/>
      <c r="I562" s="19">
        <f>IF(OR(F562="",G562=""),"",F562*G562)</f>
        <v/>
      </c>
      <c r="J562" s="36">
        <f>IF(OR(F562="",G562=""),"",ROUND(G562*(1+F562/30),1))</f>
        <v/>
      </c>
      <c r="K562" s="20" t="n"/>
    </row>
    <row r="563" ht="18" customHeight="1">
      <c r="A563" s="37" t="n"/>
      <c r="B563" s="22">
        <f>IF(A563="","",IFERROR(INT((A563-DATE(2026,4,27))/7)+1,""))</f>
        <v/>
      </c>
      <c r="C563" s="22" t="n"/>
      <c r="D563" s="23" t="n"/>
      <c r="E563" s="22" t="n"/>
      <c r="F563" s="22" t="n"/>
      <c r="G563" s="38" t="n"/>
      <c r="H563" s="22" t="n"/>
      <c r="I563" s="25">
        <f>IF(OR(F563="",G563=""),"",F563*G563)</f>
        <v/>
      </c>
      <c r="J563" s="38">
        <f>IF(OR(F563="",G563=""),"",ROUND(G563*(1+F563/30),1))</f>
        <v/>
      </c>
      <c r="K563" s="26" t="n"/>
    </row>
    <row r="564" ht="18" customHeight="1">
      <c r="A564" s="35" t="n"/>
      <c r="B564" s="16">
        <f>IF(A564="","",IFERROR(INT((A564-DATE(2026,4,27))/7)+1,""))</f>
        <v/>
      </c>
      <c r="C564" s="16" t="n"/>
      <c r="D564" s="17" t="n"/>
      <c r="E564" s="16" t="n"/>
      <c r="F564" s="16" t="n"/>
      <c r="G564" s="36" t="n"/>
      <c r="H564" s="16" t="n"/>
      <c r="I564" s="19">
        <f>IF(OR(F564="",G564=""),"",F564*G564)</f>
        <v/>
      </c>
      <c r="J564" s="36">
        <f>IF(OR(F564="",G564=""),"",ROUND(G564*(1+F564/30),1))</f>
        <v/>
      </c>
      <c r="K564" s="20" t="n"/>
    </row>
    <row r="565" ht="18" customHeight="1">
      <c r="A565" s="37" t="n"/>
      <c r="B565" s="22">
        <f>IF(A565="","",IFERROR(INT((A565-DATE(2026,4,27))/7)+1,""))</f>
        <v/>
      </c>
      <c r="C565" s="22" t="n"/>
      <c r="D565" s="23" t="n"/>
      <c r="E565" s="22" t="n"/>
      <c r="F565" s="22" t="n"/>
      <c r="G565" s="38" t="n"/>
      <c r="H565" s="22" t="n"/>
      <c r="I565" s="25">
        <f>IF(OR(F565="",G565=""),"",F565*G565)</f>
        <v/>
      </c>
      <c r="J565" s="38">
        <f>IF(OR(F565="",G565=""),"",ROUND(G565*(1+F565/30),1))</f>
        <v/>
      </c>
      <c r="K565" s="26" t="n"/>
    </row>
    <row r="566" ht="18" customHeight="1">
      <c r="A566" s="35" t="n"/>
      <c r="B566" s="16">
        <f>IF(A566="","",IFERROR(INT((A566-DATE(2026,4,27))/7)+1,""))</f>
        <v/>
      </c>
      <c r="C566" s="16" t="n"/>
      <c r="D566" s="17" t="n"/>
      <c r="E566" s="16" t="n"/>
      <c r="F566" s="16" t="n"/>
      <c r="G566" s="36" t="n"/>
      <c r="H566" s="16" t="n"/>
      <c r="I566" s="19">
        <f>IF(OR(F566="",G566=""),"",F566*G566)</f>
        <v/>
      </c>
      <c r="J566" s="36">
        <f>IF(OR(F566="",G566=""),"",ROUND(G566*(1+F566/30),1))</f>
        <v/>
      </c>
      <c r="K566" s="20" t="n"/>
    </row>
    <row r="567" ht="18" customHeight="1">
      <c r="A567" s="37" t="n"/>
      <c r="B567" s="22">
        <f>IF(A567="","",IFERROR(INT((A567-DATE(2026,4,27))/7)+1,""))</f>
        <v/>
      </c>
      <c r="C567" s="22" t="n"/>
      <c r="D567" s="23" t="n"/>
      <c r="E567" s="22" t="n"/>
      <c r="F567" s="22" t="n"/>
      <c r="G567" s="38" t="n"/>
      <c r="H567" s="22" t="n"/>
      <c r="I567" s="25">
        <f>IF(OR(F567="",G567=""),"",F567*G567)</f>
        <v/>
      </c>
      <c r="J567" s="38">
        <f>IF(OR(F567="",G567=""),"",ROUND(G567*(1+F567/30),1))</f>
        <v/>
      </c>
      <c r="K567" s="26" t="n"/>
    </row>
    <row r="568" ht="18" customHeight="1">
      <c r="A568" s="35" t="n"/>
      <c r="B568" s="16">
        <f>IF(A568="","",IFERROR(INT((A568-DATE(2026,4,27))/7)+1,""))</f>
        <v/>
      </c>
      <c r="C568" s="16" t="n"/>
      <c r="D568" s="17" t="n"/>
      <c r="E568" s="16" t="n"/>
      <c r="F568" s="16" t="n"/>
      <c r="G568" s="36" t="n"/>
      <c r="H568" s="16" t="n"/>
      <c r="I568" s="19">
        <f>IF(OR(F568="",G568=""),"",F568*G568)</f>
        <v/>
      </c>
      <c r="J568" s="36">
        <f>IF(OR(F568="",G568=""),"",ROUND(G568*(1+F568/30),1))</f>
        <v/>
      </c>
      <c r="K568" s="20" t="n"/>
    </row>
    <row r="569" ht="18" customHeight="1">
      <c r="A569" s="37" t="n"/>
      <c r="B569" s="22">
        <f>IF(A569="","",IFERROR(INT((A569-DATE(2026,4,27))/7)+1,""))</f>
        <v/>
      </c>
      <c r="C569" s="22" t="n"/>
      <c r="D569" s="23" t="n"/>
      <c r="E569" s="22" t="n"/>
      <c r="F569" s="22" t="n"/>
      <c r="G569" s="38" t="n"/>
      <c r="H569" s="22" t="n"/>
      <c r="I569" s="25">
        <f>IF(OR(F569="",G569=""),"",F569*G569)</f>
        <v/>
      </c>
      <c r="J569" s="38">
        <f>IF(OR(F569="",G569=""),"",ROUND(G569*(1+F569/30),1))</f>
        <v/>
      </c>
      <c r="K569" s="26" t="n"/>
    </row>
    <row r="570" ht="18" customHeight="1">
      <c r="A570" s="35" t="n"/>
      <c r="B570" s="16">
        <f>IF(A570="","",IFERROR(INT((A570-DATE(2026,4,27))/7)+1,""))</f>
        <v/>
      </c>
      <c r="C570" s="16" t="n"/>
      <c r="D570" s="17" t="n"/>
      <c r="E570" s="16" t="n"/>
      <c r="F570" s="16" t="n"/>
      <c r="G570" s="36" t="n"/>
      <c r="H570" s="16" t="n"/>
      <c r="I570" s="19">
        <f>IF(OR(F570="",G570=""),"",F570*G570)</f>
        <v/>
      </c>
      <c r="J570" s="36">
        <f>IF(OR(F570="",G570=""),"",ROUND(G570*(1+F570/30),1))</f>
        <v/>
      </c>
      <c r="K570" s="20" t="n"/>
    </row>
    <row r="571" ht="18" customHeight="1">
      <c r="A571" s="37" t="n"/>
      <c r="B571" s="22">
        <f>IF(A571="","",IFERROR(INT((A571-DATE(2026,4,27))/7)+1,""))</f>
        <v/>
      </c>
      <c r="C571" s="22" t="n"/>
      <c r="D571" s="23" t="n"/>
      <c r="E571" s="22" t="n"/>
      <c r="F571" s="22" t="n"/>
      <c r="G571" s="38" t="n"/>
      <c r="H571" s="22" t="n"/>
      <c r="I571" s="25">
        <f>IF(OR(F571="",G571=""),"",F571*G571)</f>
        <v/>
      </c>
      <c r="J571" s="38">
        <f>IF(OR(F571="",G571=""),"",ROUND(G571*(1+F571/30),1))</f>
        <v/>
      </c>
      <c r="K571" s="26" t="n"/>
    </row>
    <row r="572" ht="18" customHeight="1">
      <c r="A572" s="35" t="n"/>
      <c r="B572" s="16">
        <f>IF(A572="","",IFERROR(INT((A572-DATE(2026,4,27))/7)+1,""))</f>
        <v/>
      </c>
      <c r="C572" s="16" t="n"/>
      <c r="D572" s="17" t="n"/>
      <c r="E572" s="16" t="n"/>
      <c r="F572" s="16" t="n"/>
      <c r="G572" s="36" t="n"/>
      <c r="H572" s="16" t="n"/>
      <c r="I572" s="19">
        <f>IF(OR(F572="",G572=""),"",F572*G572)</f>
        <v/>
      </c>
      <c r="J572" s="36">
        <f>IF(OR(F572="",G572=""),"",ROUND(G572*(1+F572/30),1))</f>
        <v/>
      </c>
      <c r="K572" s="20" t="n"/>
    </row>
    <row r="573" ht="18" customHeight="1">
      <c r="A573" s="37" t="n"/>
      <c r="B573" s="22">
        <f>IF(A573="","",IFERROR(INT((A573-DATE(2026,4,27))/7)+1,""))</f>
        <v/>
      </c>
      <c r="C573" s="22" t="n"/>
      <c r="D573" s="23" t="n"/>
      <c r="E573" s="22" t="n"/>
      <c r="F573" s="22" t="n"/>
      <c r="G573" s="38" t="n"/>
      <c r="H573" s="22" t="n"/>
      <c r="I573" s="25">
        <f>IF(OR(F573="",G573=""),"",F573*G573)</f>
        <v/>
      </c>
      <c r="J573" s="38">
        <f>IF(OR(F573="",G573=""),"",ROUND(G573*(1+F573/30),1))</f>
        <v/>
      </c>
      <c r="K573" s="26" t="n"/>
    </row>
    <row r="574" ht="18" customHeight="1">
      <c r="A574" s="35" t="n"/>
      <c r="B574" s="16">
        <f>IF(A574="","",IFERROR(INT((A574-DATE(2026,4,27))/7)+1,""))</f>
        <v/>
      </c>
      <c r="C574" s="16" t="n"/>
      <c r="D574" s="17" t="n"/>
      <c r="E574" s="16" t="n"/>
      <c r="F574" s="16" t="n"/>
      <c r="G574" s="36" t="n"/>
      <c r="H574" s="16" t="n"/>
      <c r="I574" s="19">
        <f>IF(OR(F574="",G574=""),"",F574*G574)</f>
        <v/>
      </c>
      <c r="J574" s="36">
        <f>IF(OR(F574="",G574=""),"",ROUND(G574*(1+F574/30),1))</f>
        <v/>
      </c>
      <c r="K574" s="20" t="n"/>
    </row>
    <row r="575" ht="18" customHeight="1">
      <c r="A575" s="37" t="n"/>
      <c r="B575" s="22">
        <f>IF(A575="","",IFERROR(INT((A575-DATE(2026,4,27))/7)+1,""))</f>
        <v/>
      </c>
      <c r="C575" s="22" t="n"/>
      <c r="D575" s="23" t="n"/>
      <c r="E575" s="22" t="n"/>
      <c r="F575" s="22" t="n"/>
      <c r="G575" s="38" t="n"/>
      <c r="H575" s="22" t="n"/>
      <c r="I575" s="25">
        <f>IF(OR(F575="",G575=""),"",F575*G575)</f>
        <v/>
      </c>
      <c r="J575" s="38">
        <f>IF(OR(F575="",G575=""),"",ROUND(G575*(1+F575/30),1))</f>
        <v/>
      </c>
      <c r="K575" s="26" t="n"/>
    </row>
    <row r="576" ht="18" customHeight="1">
      <c r="A576" s="35" t="n"/>
      <c r="B576" s="16">
        <f>IF(A576="","",IFERROR(INT((A576-DATE(2026,4,27))/7)+1,""))</f>
        <v/>
      </c>
      <c r="C576" s="16" t="n"/>
      <c r="D576" s="17" t="n"/>
      <c r="E576" s="16" t="n"/>
      <c r="F576" s="16" t="n"/>
      <c r="G576" s="36" t="n"/>
      <c r="H576" s="16" t="n"/>
      <c r="I576" s="19">
        <f>IF(OR(F576="",G576=""),"",F576*G576)</f>
        <v/>
      </c>
      <c r="J576" s="36">
        <f>IF(OR(F576="",G576=""),"",ROUND(G576*(1+F576/30),1))</f>
        <v/>
      </c>
      <c r="K576" s="20" t="n"/>
    </row>
    <row r="577" ht="18" customHeight="1">
      <c r="A577" s="37" t="n"/>
      <c r="B577" s="22">
        <f>IF(A577="","",IFERROR(INT((A577-DATE(2026,4,27))/7)+1,""))</f>
        <v/>
      </c>
      <c r="C577" s="22" t="n"/>
      <c r="D577" s="23" t="n"/>
      <c r="E577" s="22" t="n"/>
      <c r="F577" s="22" t="n"/>
      <c r="G577" s="38" t="n"/>
      <c r="H577" s="22" t="n"/>
      <c r="I577" s="25">
        <f>IF(OR(F577="",G577=""),"",F577*G577)</f>
        <v/>
      </c>
      <c r="J577" s="38">
        <f>IF(OR(F577="",G577=""),"",ROUND(G577*(1+F577/30),1))</f>
        <v/>
      </c>
      <c r="K577" s="26" t="n"/>
    </row>
    <row r="578" ht="18" customHeight="1">
      <c r="A578" s="35" t="n"/>
      <c r="B578" s="16">
        <f>IF(A578="","",IFERROR(INT((A578-DATE(2026,4,27))/7)+1,""))</f>
        <v/>
      </c>
      <c r="C578" s="16" t="n"/>
      <c r="D578" s="17" t="n"/>
      <c r="E578" s="16" t="n"/>
      <c r="F578" s="16" t="n"/>
      <c r="G578" s="36" t="n"/>
      <c r="H578" s="16" t="n"/>
      <c r="I578" s="19">
        <f>IF(OR(F578="",G578=""),"",F578*G578)</f>
        <v/>
      </c>
      <c r="J578" s="36">
        <f>IF(OR(F578="",G578=""),"",ROUND(G578*(1+F578/30),1))</f>
        <v/>
      </c>
      <c r="K578" s="20" t="n"/>
    </row>
    <row r="579" ht="18" customHeight="1">
      <c r="A579" s="37" t="n"/>
      <c r="B579" s="22">
        <f>IF(A579="","",IFERROR(INT((A579-DATE(2026,4,27))/7)+1,""))</f>
        <v/>
      </c>
      <c r="C579" s="22" t="n"/>
      <c r="D579" s="23" t="n"/>
      <c r="E579" s="22" t="n"/>
      <c r="F579" s="22" t="n"/>
      <c r="G579" s="38" t="n"/>
      <c r="H579" s="22" t="n"/>
      <c r="I579" s="25">
        <f>IF(OR(F579="",G579=""),"",F579*G579)</f>
        <v/>
      </c>
      <c r="J579" s="38">
        <f>IF(OR(F579="",G579=""),"",ROUND(G579*(1+F579/30),1))</f>
        <v/>
      </c>
      <c r="K579" s="26" t="n"/>
    </row>
    <row r="580" ht="18" customHeight="1">
      <c r="A580" s="35" t="n"/>
      <c r="B580" s="16">
        <f>IF(A580="","",IFERROR(INT((A580-DATE(2026,4,27))/7)+1,""))</f>
        <v/>
      </c>
      <c r="C580" s="16" t="n"/>
      <c r="D580" s="17" t="n"/>
      <c r="E580" s="16" t="n"/>
      <c r="F580" s="16" t="n"/>
      <c r="G580" s="36" t="n"/>
      <c r="H580" s="16" t="n"/>
      <c r="I580" s="19">
        <f>IF(OR(F580="",G580=""),"",F580*G580)</f>
        <v/>
      </c>
      <c r="J580" s="36">
        <f>IF(OR(F580="",G580=""),"",ROUND(G580*(1+F580/30),1))</f>
        <v/>
      </c>
      <c r="K580" s="20" t="n"/>
    </row>
    <row r="581" ht="18" customHeight="1">
      <c r="A581" s="37" t="n"/>
      <c r="B581" s="22">
        <f>IF(A581="","",IFERROR(INT((A581-DATE(2026,4,27))/7)+1,""))</f>
        <v/>
      </c>
      <c r="C581" s="22" t="n"/>
      <c r="D581" s="23" t="n"/>
      <c r="E581" s="22" t="n"/>
      <c r="F581" s="22" t="n"/>
      <c r="G581" s="38" t="n"/>
      <c r="H581" s="22" t="n"/>
      <c r="I581" s="25">
        <f>IF(OR(F581="",G581=""),"",F581*G581)</f>
        <v/>
      </c>
      <c r="J581" s="38">
        <f>IF(OR(F581="",G581=""),"",ROUND(G581*(1+F581/30),1))</f>
        <v/>
      </c>
      <c r="K581" s="26" t="n"/>
    </row>
    <row r="582" ht="18" customHeight="1">
      <c r="A582" s="35" t="n"/>
      <c r="B582" s="16">
        <f>IF(A582="","",IFERROR(INT((A582-DATE(2026,4,27))/7)+1,""))</f>
        <v/>
      </c>
      <c r="C582" s="16" t="n"/>
      <c r="D582" s="17" t="n"/>
      <c r="E582" s="16" t="n"/>
      <c r="F582" s="16" t="n"/>
      <c r="G582" s="36" t="n"/>
      <c r="H582" s="16" t="n"/>
      <c r="I582" s="19">
        <f>IF(OR(F582="",G582=""),"",F582*G582)</f>
        <v/>
      </c>
      <c r="J582" s="36">
        <f>IF(OR(F582="",G582=""),"",ROUND(G582*(1+F582/30),1))</f>
        <v/>
      </c>
      <c r="K582" s="20" t="n"/>
    </row>
    <row r="583" ht="18" customHeight="1">
      <c r="A583" s="37" t="n"/>
      <c r="B583" s="22">
        <f>IF(A583="","",IFERROR(INT((A583-DATE(2026,4,27))/7)+1,""))</f>
        <v/>
      </c>
      <c r="C583" s="22" t="n"/>
      <c r="D583" s="23" t="n"/>
      <c r="E583" s="22" t="n"/>
      <c r="F583" s="22" t="n"/>
      <c r="G583" s="38" t="n"/>
      <c r="H583" s="22" t="n"/>
      <c r="I583" s="25">
        <f>IF(OR(F583="",G583=""),"",F583*G583)</f>
        <v/>
      </c>
      <c r="J583" s="38">
        <f>IF(OR(F583="",G583=""),"",ROUND(G583*(1+F583/30),1))</f>
        <v/>
      </c>
      <c r="K583" s="26" t="n"/>
    </row>
    <row r="584" ht="18" customHeight="1">
      <c r="A584" s="35" t="n"/>
      <c r="B584" s="16">
        <f>IF(A584="","",IFERROR(INT((A584-DATE(2026,4,27))/7)+1,""))</f>
        <v/>
      </c>
      <c r="C584" s="16" t="n"/>
      <c r="D584" s="17" t="n"/>
      <c r="E584" s="16" t="n"/>
      <c r="F584" s="16" t="n"/>
      <c r="G584" s="36" t="n"/>
      <c r="H584" s="16" t="n"/>
      <c r="I584" s="19">
        <f>IF(OR(F584="",G584=""),"",F584*G584)</f>
        <v/>
      </c>
      <c r="J584" s="36">
        <f>IF(OR(F584="",G584=""),"",ROUND(G584*(1+F584/30),1))</f>
        <v/>
      </c>
      <c r="K584" s="20" t="n"/>
    </row>
    <row r="585" ht="18" customHeight="1">
      <c r="A585" s="37" t="n"/>
      <c r="B585" s="22">
        <f>IF(A585="","",IFERROR(INT((A585-DATE(2026,4,27))/7)+1,""))</f>
        <v/>
      </c>
      <c r="C585" s="22" t="n"/>
      <c r="D585" s="23" t="n"/>
      <c r="E585" s="22" t="n"/>
      <c r="F585" s="22" t="n"/>
      <c r="G585" s="38" t="n"/>
      <c r="H585" s="22" t="n"/>
      <c r="I585" s="25">
        <f>IF(OR(F585="",G585=""),"",F585*G585)</f>
        <v/>
      </c>
      <c r="J585" s="38">
        <f>IF(OR(F585="",G585=""),"",ROUND(G585*(1+F585/30),1))</f>
        <v/>
      </c>
      <c r="K585" s="26" t="n"/>
    </row>
    <row r="586" ht="18" customHeight="1">
      <c r="A586" s="35" t="n"/>
      <c r="B586" s="16">
        <f>IF(A586="","",IFERROR(INT((A586-DATE(2026,4,27))/7)+1,""))</f>
        <v/>
      </c>
      <c r="C586" s="16" t="n"/>
      <c r="D586" s="17" t="n"/>
      <c r="E586" s="16" t="n"/>
      <c r="F586" s="16" t="n"/>
      <c r="G586" s="36" t="n"/>
      <c r="H586" s="16" t="n"/>
      <c r="I586" s="19">
        <f>IF(OR(F586="",G586=""),"",F586*G586)</f>
        <v/>
      </c>
      <c r="J586" s="36">
        <f>IF(OR(F586="",G586=""),"",ROUND(G586*(1+F586/30),1))</f>
        <v/>
      </c>
      <c r="K586" s="20" t="n"/>
    </row>
    <row r="587" ht="18" customHeight="1">
      <c r="A587" s="37" t="n"/>
      <c r="B587" s="22">
        <f>IF(A587="","",IFERROR(INT((A587-DATE(2026,4,27))/7)+1,""))</f>
        <v/>
      </c>
      <c r="C587" s="22" t="n"/>
      <c r="D587" s="23" t="n"/>
      <c r="E587" s="22" t="n"/>
      <c r="F587" s="22" t="n"/>
      <c r="G587" s="38" t="n"/>
      <c r="H587" s="22" t="n"/>
      <c r="I587" s="25">
        <f>IF(OR(F587="",G587=""),"",F587*G587)</f>
        <v/>
      </c>
      <c r="J587" s="38">
        <f>IF(OR(F587="",G587=""),"",ROUND(G587*(1+F587/30),1))</f>
        <v/>
      </c>
      <c r="K587" s="26" t="n"/>
    </row>
    <row r="588" ht="18" customHeight="1">
      <c r="A588" s="35" t="n"/>
      <c r="B588" s="16">
        <f>IF(A588="","",IFERROR(INT((A588-DATE(2026,4,27))/7)+1,""))</f>
        <v/>
      </c>
      <c r="C588" s="16" t="n"/>
      <c r="D588" s="17" t="n"/>
      <c r="E588" s="16" t="n"/>
      <c r="F588" s="16" t="n"/>
      <c r="G588" s="36" t="n"/>
      <c r="H588" s="16" t="n"/>
      <c r="I588" s="19">
        <f>IF(OR(F588="",G588=""),"",F588*G588)</f>
        <v/>
      </c>
      <c r="J588" s="36">
        <f>IF(OR(F588="",G588=""),"",ROUND(G588*(1+F588/30),1))</f>
        <v/>
      </c>
      <c r="K588" s="20" t="n"/>
    </row>
    <row r="589" ht="18" customHeight="1">
      <c r="A589" s="37" t="n"/>
      <c r="B589" s="22">
        <f>IF(A589="","",IFERROR(INT((A589-DATE(2026,4,27))/7)+1,""))</f>
        <v/>
      </c>
      <c r="C589" s="22" t="n"/>
      <c r="D589" s="23" t="n"/>
      <c r="E589" s="22" t="n"/>
      <c r="F589" s="22" t="n"/>
      <c r="G589" s="38" t="n"/>
      <c r="H589" s="22" t="n"/>
      <c r="I589" s="25">
        <f>IF(OR(F589="",G589=""),"",F589*G589)</f>
        <v/>
      </c>
      <c r="J589" s="38">
        <f>IF(OR(F589="",G589=""),"",ROUND(G589*(1+F589/30),1))</f>
        <v/>
      </c>
      <c r="K589" s="26" t="n"/>
    </row>
    <row r="590" ht="18" customHeight="1">
      <c r="A590" s="35" t="n"/>
      <c r="B590" s="16">
        <f>IF(A590="","",IFERROR(INT((A590-DATE(2026,4,27))/7)+1,""))</f>
        <v/>
      </c>
      <c r="C590" s="16" t="n"/>
      <c r="D590" s="17" t="n"/>
      <c r="E590" s="16" t="n"/>
      <c r="F590" s="16" t="n"/>
      <c r="G590" s="36" t="n"/>
      <c r="H590" s="16" t="n"/>
      <c r="I590" s="19">
        <f>IF(OR(F590="",G590=""),"",F590*G590)</f>
        <v/>
      </c>
      <c r="J590" s="36">
        <f>IF(OR(F590="",G590=""),"",ROUND(G590*(1+F590/30),1))</f>
        <v/>
      </c>
      <c r="K590" s="20" t="n"/>
    </row>
    <row r="591" ht="18" customHeight="1">
      <c r="A591" s="37" t="n"/>
      <c r="B591" s="22">
        <f>IF(A591="","",IFERROR(INT((A591-DATE(2026,4,27))/7)+1,""))</f>
        <v/>
      </c>
      <c r="C591" s="22" t="n"/>
      <c r="D591" s="23" t="n"/>
      <c r="E591" s="22" t="n"/>
      <c r="F591" s="22" t="n"/>
      <c r="G591" s="38" t="n"/>
      <c r="H591" s="22" t="n"/>
      <c r="I591" s="25">
        <f>IF(OR(F591="",G591=""),"",F591*G591)</f>
        <v/>
      </c>
      <c r="J591" s="38">
        <f>IF(OR(F591="",G591=""),"",ROUND(G591*(1+F591/30),1))</f>
        <v/>
      </c>
      <c r="K591" s="26" t="n"/>
    </row>
    <row r="592" ht="18" customHeight="1">
      <c r="A592" s="35" t="n"/>
      <c r="B592" s="16">
        <f>IF(A592="","",IFERROR(INT((A592-DATE(2026,4,27))/7)+1,""))</f>
        <v/>
      </c>
      <c r="C592" s="16" t="n"/>
      <c r="D592" s="17" t="n"/>
      <c r="E592" s="16" t="n"/>
      <c r="F592" s="16" t="n"/>
      <c r="G592" s="36" t="n"/>
      <c r="H592" s="16" t="n"/>
      <c r="I592" s="19">
        <f>IF(OR(F592="",G592=""),"",F592*G592)</f>
        <v/>
      </c>
      <c r="J592" s="36">
        <f>IF(OR(F592="",G592=""),"",ROUND(G592*(1+F592/30),1))</f>
        <v/>
      </c>
      <c r="K592" s="20" t="n"/>
    </row>
    <row r="593" ht="18" customHeight="1">
      <c r="A593" s="37" t="n"/>
      <c r="B593" s="22">
        <f>IF(A593="","",IFERROR(INT((A593-DATE(2026,4,27))/7)+1,""))</f>
        <v/>
      </c>
      <c r="C593" s="22" t="n"/>
      <c r="D593" s="23" t="n"/>
      <c r="E593" s="22" t="n"/>
      <c r="F593" s="22" t="n"/>
      <c r="G593" s="38" t="n"/>
      <c r="H593" s="22" t="n"/>
      <c r="I593" s="25">
        <f>IF(OR(F593="",G593=""),"",F593*G593)</f>
        <v/>
      </c>
      <c r="J593" s="38">
        <f>IF(OR(F593="",G593=""),"",ROUND(G593*(1+F593/30),1))</f>
        <v/>
      </c>
      <c r="K593" s="26" t="n"/>
    </row>
    <row r="594" ht="18" customHeight="1">
      <c r="A594" s="35" t="n"/>
      <c r="B594" s="16">
        <f>IF(A594="","",IFERROR(INT((A594-DATE(2026,4,27))/7)+1,""))</f>
        <v/>
      </c>
      <c r="C594" s="16" t="n"/>
      <c r="D594" s="17" t="n"/>
      <c r="E594" s="16" t="n"/>
      <c r="F594" s="16" t="n"/>
      <c r="G594" s="36" t="n"/>
      <c r="H594" s="16" t="n"/>
      <c r="I594" s="19">
        <f>IF(OR(F594="",G594=""),"",F594*G594)</f>
        <v/>
      </c>
      <c r="J594" s="36">
        <f>IF(OR(F594="",G594=""),"",ROUND(G594*(1+F594/30),1))</f>
        <v/>
      </c>
      <c r="K594" s="20" t="n"/>
    </row>
    <row r="595" ht="18" customHeight="1">
      <c r="A595" s="37" t="n"/>
      <c r="B595" s="22">
        <f>IF(A595="","",IFERROR(INT((A595-DATE(2026,4,27))/7)+1,""))</f>
        <v/>
      </c>
      <c r="C595" s="22" t="n"/>
      <c r="D595" s="23" t="n"/>
      <c r="E595" s="22" t="n"/>
      <c r="F595" s="22" t="n"/>
      <c r="G595" s="38" t="n"/>
      <c r="H595" s="22" t="n"/>
      <c r="I595" s="25">
        <f>IF(OR(F595="",G595=""),"",F595*G595)</f>
        <v/>
      </c>
      <c r="J595" s="38">
        <f>IF(OR(F595="",G595=""),"",ROUND(G595*(1+F595/30),1))</f>
        <v/>
      </c>
      <c r="K595" s="26" t="n"/>
    </row>
    <row r="596" ht="18" customHeight="1">
      <c r="A596" s="35" t="n"/>
      <c r="B596" s="16">
        <f>IF(A596="","",IFERROR(INT((A596-DATE(2026,4,27))/7)+1,""))</f>
        <v/>
      </c>
      <c r="C596" s="16" t="n"/>
      <c r="D596" s="17" t="n"/>
      <c r="E596" s="16" t="n"/>
      <c r="F596" s="16" t="n"/>
      <c r="G596" s="36" t="n"/>
      <c r="H596" s="16" t="n"/>
      <c r="I596" s="19">
        <f>IF(OR(F596="",G596=""),"",F596*G596)</f>
        <v/>
      </c>
      <c r="J596" s="36">
        <f>IF(OR(F596="",G596=""),"",ROUND(G596*(1+F596/30),1))</f>
        <v/>
      </c>
      <c r="K596" s="20" t="n"/>
    </row>
    <row r="597" ht="18" customHeight="1">
      <c r="A597" s="37" t="n"/>
      <c r="B597" s="22">
        <f>IF(A597="","",IFERROR(INT((A597-DATE(2026,4,27))/7)+1,""))</f>
        <v/>
      </c>
      <c r="C597" s="22" t="n"/>
      <c r="D597" s="23" t="n"/>
      <c r="E597" s="22" t="n"/>
      <c r="F597" s="22" t="n"/>
      <c r="G597" s="38" t="n"/>
      <c r="H597" s="22" t="n"/>
      <c r="I597" s="25">
        <f>IF(OR(F597="",G597=""),"",F597*G597)</f>
        <v/>
      </c>
      <c r="J597" s="38">
        <f>IF(OR(F597="",G597=""),"",ROUND(G597*(1+F597/30),1))</f>
        <v/>
      </c>
      <c r="K597" s="26" t="n"/>
    </row>
    <row r="598" ht="18" customHeight="1">
      <c r="A598" s="35" t="n"/>
      <c r="B598" s="16">
        <f>IF(A598="","",IFERROR(INT((A598-DATE(2026,4,27))/7)+1,""))</f>
        <v/>
      </c>
      <c r="C598" s="16" t="n"/>
      <c r="D598" s="17" t="n"/>
      <c r="E598" s="16" t="n"/>
      <c r="F598" s="16" t="n"/>
      <c r="G598" s="36" t="n"/>
      <c r="H598" s="16" t="n"/>
      <c r="I598" s="19">
        <f>IF(OR(F598="",G598=""),"",F598*G598)</f>
        <v/>
      </c>
      <c r="J598" s="36">
        <f>IF(OR(F598="",G598=""),"",ROUND(G598*(1+F598/30),1))</f>
        <v/>
      </c>
      <c r="K598" s="20" t="n"/>
    </row>
    <row r="599" ht="18" customHeight="1">
      <c r="A599" s="37" t="n"/>
      <c r="B599" s="22">
        <f>IF(A599="","",IFERROR(INT((A599-DATE(2026,4,27))/7)+1,""))</f>
        <v/>
      </c>
      <c r="C599" s="22" t="n"/>
      <c r="D599" s="23" t="n"/>
      <c r="E599" s="22" t="n"/>
      <c r="F599" s="22" t="n"/>
      <c r="G599" s="38" t="n"/>
      <c r="H599" s="22" t="n"/>
      <c r="I599" s="25">
        <f>IF(OR(F599="",G599=""),"",F599*G599)</f>
        <v/>
      </c>
      <c r="J599" s="38">
        <f>IF(OR(F599="",G599=""),"",ROUND(G599*(1+F599/30),1))</f>
        <v/>
      </c>
      <c r="K599" s="26" t="n"/>
    </row>
    <row r="600" ht="18" customHeight="1">
      <c r="A600" s="35" t="n"/>
      <c r="B600" s="16">
        <f>IF(A600="","",IFERROR(INT((A600-DATE(2026,4,27))/7)+1,""))</f>
        <v/>
      </c>
      <c r="C600" s="16" t="n"/>
      <c r="D600" s="17" t="n"/>
      <c r="E600" s="16" t="n"/>
      <c r="F600" s="16" t="n"/>
      <c r="G600" s="36" t="n"/>
      <c r="H600" s="16" t="n"/>
      <c r="I600" s="19">
        <f>IF(OR(F600="",G600=""),"",F600*G600)</f>
        <v/>
      </c>
      <c r="J600" s="36">
        <f>IF(OR(F600="",G600=""),"",ROUND(G600*(1+F600/30),1))</f>
        <v/>
      </c>
      <c r="K600" s="20" t="n"/>
    </row>
    <row r="601" ht="18" customHeight="1">
      <c r="A601" s="37" t="n"/>
      <c r="B601" s="22">
        <f>IF(A601="","",IFERROR(INT((A601-DATE(2026,4,27))/7)+1,""))</f>
        <v/>
      </c>
      <c r="C601" s="22" t="n"/>
      <c r="D601" s="23" t="n"/>
      <c r="E601" s="22" t="n"/>
      <c r="F601" s="22" t="n"/>
      <c r="G601" s="38" t="n"/>
      <c r="H601" s="22" t="n"/>
      <c r="I601" s="25">
        <f>IF(OR(F601="",G601=""),"",F601*G601)</f>
        <v/>
      </c>
      <c r="J601" s="38">
        <f>IF(OR(F601="",G601=""),"",ROUND(G601*(1+F601/30),1))</f>
        <v/>
      </c>
      <c r="K601" s="26" t="n"/>
    </row>
    <row r="602" ht="18" customHeight="1">
      <c r="A602" s="35" t="n"/>
      <c r="B602" s="16">
        <f>IF(A602="","",IFERROR(INT((A602-DATE(2026,4,27))/7)+1,""))</f>
        <v/>
      </c>
      <c r="C602" s="16" t="n"/>
      <c r="D602" s="17" t="n"/>
      <c r="E602" s="16" t="n"/>
      <c r="F602" s="16" t="n"/>
      <c r="G602" s="36" t="n"/>
      <c r="H602" s="16" t="n"/>
      <c r="I602" s="19">
        <f>IF(OR(F602="",G602=""),"",F602*G602)</f>
        <v/>
      </c>
      <c r="J602" s="36">
        <f>IF(OR(F602="",G602=""),"",ROUND(G602*(1+F602/30),1))</f>
        <v/>
      </c>
      <c r="K602" s="20" t="n"/>
    </row>
    <row r="603" ht="18" customHeight="1">
      <c r="A603" s="37" t="n"/>
      <c r="B603" s="22">
        <f>IF(A603="","",IFERROR(INT((A603-DATE(2026,4,27))/7)+1,""))</f>
        <v/>
      </c>
      <c r="C603" s="22" t="n"/>
      <c r="D603" s="23" t="n"/>
      <c r="E603" s="22" t="n"/>
      <c r="F603" s="22" t="n"/>
      <c r="G603" s="38" t="n"/>
      <c r="H603" s="22" t="n"/>
      <c r="I603" s="25">
        <f>IF(OR(F603="",G603=""),"",F603*G603)</f>
        <v/>
      </c>
      <c r="J603" s="38">
        <f>IF(OR(F603="",G603=""),"",ROUND(G603*(1+F603/30),1))</f>
        <v/>
      </c>
      <c r="K603" s="26" t="n"/>
    </row>
    <row r="604" ht="18" customHeight="1">
      <c r="A604" s="35" t="n"/>
      <c r="B604" s="16">
        <f>IF(A604="","",IFERROR(INT((A604-DATE(2026,4,27))/7)+1,""))</f>
        <v/>
      </c>
      <c r="C604" s="16" t="n"/>
      <c r="D604" s="17" t="n"/>
      <c r="E604" s="16" t="n"/>
      <c r="F604" s="16" t="n"/>
      <c r="G604" s="36" t="n"/>
      <c r="H604" s="16" t="n"/>
      <c r="I604" s="19">
        <f>IF(OR(F604="",G604=""),"",F604*G604)</f>
        <v/>
      </c>
      <c r="J604" s="36">
        <f>IF(OR(F604="",G604=""),"",ROUND(G604*(1+F604/30),1))</f>
        <v/>
      </c>
      <c r="K604" s="20" t="n"/>
    </row>
    <row r="605" ht="18" customHeight="1">
      <c r="A605" s="37" t="n"/>
      <c r="B605" s="22">
        <f>IF(A605="","",IFERROR(INT((A605-DATE(2026,4,27))/7)+1,""))</f>
        <v/>
      </c>
      <c r="C605" s="22" t="n"/>
      <c r="D605" s="23" t="n"/>
      <c r="E605" s="22" t="n"/>
      <c r="F605" s="22" t="n"/>
      <c r="G605" s="38" t="n"/>
      <c r="H605" s="22" t="n"/>
      <c r="I605" s="25">
        <f>IF(OR(F605="",G605=""),"",F605*G605)</f>
        <v/>
      </c>
      <c r="J605" s="38">
        <f>IF(OR(F605="",G605=""),"",ROUND(G605*(1+F605/30),1))</f>
        <v/>
      </c>
      <c r="K605" s="26" t="n"/>
    </row>
    <row r="606" ht="18" customHeight="1">
      <c r="A606" s="35" t="n"/>
      <c r="B606" s="16">
        <f>IF(A606="","",IFERROR(INT((A606-DATE(2026,4,27))/7)+1,""))</f>
        <v/>
      </c>
      <c r="C606" s="16" t="n"/>
      <c r="D606" s="17" t="n"/>
      <c r="E606" s="16" t="n"/>
      <c r="F606" s="16" t="n"/>
      <c r="G606" s="36" t="n"/>
      <c r="H606" s="16" t="n"/>
      <c r="I606" s="19">
        <f>IF(OR(F606="",G606=""),"",F606*G606)</f>
        <v/>
      </c>
      <c r="J606" s="36">
        <f>IF(OR(F606="",G606=""),"",ROUND(G606*(1+F606/30),1))</f>
        <v/>
      </c>
      <c r="K606" s="20" t="n"/>
    </row>
    <row r="607" ht="18" customHeight="1">
      <c r="A607" s="37" t="n"/>
      <c r="B607" s="22">
        <f>IF(A607="","",IFERROR(INT((A607-DATE(2026,4,27))/7)+1,""))</f>
        <v/>
      </c>
      <c r="C607" s="22" t="n"/>
      <c r="D607" s="23" t="n"/>
      <c r="E607" s="22" t="n"/>
      <c r="F607" s="22" t="n"/>
      <c r="G607" s="38" t="n"/>
      <c r="H607" s="22" t="n"/>
      <c r="I607" s="25">
        <f>IF(OR(F607="",G607=""),"",F607*G607)</f>
        <v/>
      </c>
      <c r="J607" s="38">
        <f>IF(OR(F607="",G607=""),"",ROUND(G607*(1+F607/30),1))</f>
        <v/>
      </c>
      <c r="K607" s="26" t="n"/>
    </row>
    <row r="608" ht="18" customHeight="1">
      <c r="A608" s="35" t="n"/>
      <c r="B608" s="16">
        <f>IF(A608="","",IFERROR(INT((A608-DATE(2026,4,27))/7)+1,""))</f>
        <v/>
      </c>
      <c r="C608" s="16" t="n"/>
      <c r="D608" s="17" t="n"/>
      <c r="E608" s="16" t="n"/>
      <c r="F608" s="16" t="n"/>
      <c r="G608" s="36" t="n"/>
      <c r="H608" s="16" t="n"/>
      <c r="I608" s="19">
        <f>IF(OR(F608="",G608=""),"",F608*G608)</f>
        <v/>
      </c>
      <c r="J608" s="36">
        <f>IF(OR(F608="",G608=""),"",ROUND(G608*(1+F608/30),1))</f>
        <v/>
      </c>
      <c r="K608" s="20" t="n"/>
    </row>
    <row r="609" ht="18" customHeight="1">
      <c r="A609" s="37" t="n"/>
      <c r="B609" s="22">
        <f>IF(A609="","",IFERROR(INT((A609-DATE(2026,4,27))/7)+1,""))</f>
        <v/>
      </c>
      <c r="C609" s="22" t="n"/>
      <c r="D609" s="23" t="n"/>
      <c r="E609" s="22" t="n"/>
      <c r="F609" s="22" t="n"/>
      <c r="G609" s="38" t="n"/>
      <c r="H609" s="22" t="n"/>
      <c r="I609" s="25">
        <f>IF(OR(F609="",G609=""),"",F609*G609)</f>
        <v/>
      </c>
      <c r="J609" s="38">
        <f>IF(OR(F609="",G609=""),"",ROUND(G609*(1+F609/30),1))</f>
        <v/>
      </c>
      <c r="K609" s="26" t="n"/>
    </row>
    <row r="610" ht="18" customHeight="1">
      <c r="A610" s="35" t="n"/>
      <c r="B610" s="16">
        <f>IF(A610="","",IFERROR(INT((A610-DATE(2026,4,27))/7)+1,""))</f>
        <v/>
      </c>
      <c r="C610" s="16" t="n"/>
      <c r="D610" s="17" t="n"/>
      <c r="E610" s="16" t="n"/>
      <c r="F610" s="16" t="n"/>
      <c r="G610" s="36" t="n"/>
      <c r="H610" s="16" t="n"/>
      <c r="I610" s="19">
        <f>IF(OR(F610="",G610=""),"",F610*G610)</f>
        <v/>
      </c>
      <c r="J610" s="36">
        <f>IF(OR(F610="",G610=""),"",ROUND(G610*(1+F610/30),1))</f>
        <v/>
      </c>
      <c r="K610" s="20" t="n"/>
    </row>
    <row r="611" ht="18" customHeight="1">
      <c r="A611" s="37" t="n"/>
      <c r="B611" s="22">
        <f>IF(A611="","",IFERROR(INT((A611-DATE(2026,4,27))/7)+1,""))</f>
        <v/>
      </c>
      <c r="C611" s="22" t="n"/>
      <c r="D611" s="23" t="n"/>
      <c r="E611" s="22" t="n"/>
      <c r="F611" s="22" t="n"/>
      <c r="G611" s="38" t="n"/>
      <c r="H611" s="22" t="n"/>
      <c r="I611" s="25">
        <f>IF(OR(F611="",G611=""),"",F611*G611)</f>
        <v/>
      </c>
      <c r="J611" s="38">
        <f>IF(OR(F611="",G611=""),"",ROUND(G611*(1+F611/30),1))</f>
        <v/>
      </c>
      <c r="K611" s="26" t="n"/>
    </row>
    <row r="612" ht="18" customHeight="1">
      <c r="A612" s="35" t="n"/>
      <c r="B612" s="16">
        <f>IF(A612="","",IFERROR(INT((A612-DATE(2026,4,27))/7)+1,""))</f>
        <v/>
      </c>
      <c r="C612" s="16" t="n"/>
      <c r="D612" s="17" t="n"/>
      <c r="E612" s="16" t="n"/>
      <c r="F612" s="16" t="n"/>
      <c r="G612" s="36" t="n"/>
      <c r="H612" s="16" t="n"/>
      <c r="I612" s="19">
        <f>IF(OR(F612="",G612=""),"",F612*G612)</f>
        <v/>
      </c>
      <c r="J612" s="36">
        <f>IF(OR(F612="",G612=""),"",ROUND(G612*(1+F612/30),1))</f>
        <v/>
      </c>
      <c r="K612" s="20" t="n"/>
    </row>
    <row r="613" ht="18" customHeight="1">
      <c r="A613" s="37" t="n"/>
      <c r="B613" s="22">
        <f>IF(A613="","",IFERROR(INT((A613-DATE(2026,4,27))/7)+1,""))</f>
        <v/>
      </c>
      <c r="C613" s="22" t="n"/>
      <c r="D613" s="23" t="n"/>
      <c r="E613" s="22" t="n"/>
      <c r="F613" s="22" t="n"/>
      <c r="G613" s="38" t="n"/>
      <c r="H613" s="22" t="n"/>
      <c r="I613" s="25">
        <f>IF(OR(F613="",G613=""),"",F613*G613)</f>
        <v/>
      </c>
      <c r="J613" s="38">
        <f>IF(OR(F613="",G613=""),"",ROUND(G613*(1+F613/30),1))</f>
        <v/>
      </c>
      <c r="K613" s="26" t="n"/>
    </row>
    <row r="614" ht="18" customHeight="1">
      <c r="A614" s="35" t="n"/>
      <c r="B614" s="16">
        <f>IF(A614="","",IFERROR(INT((A614-DATE(2026,4,27))/7)+1,""))</f>
        <v/>
      </c>
      <c r="C614" s="16" t="n"/>
      <c r="D614" s="17" t="n"/>
      <c r="E614" s="16" t="n"/>
      <c r="F614" s="16" t="n"/>
      <c r="G614" s="36" t="n"/>
      <c r="H614" s="16" t="n"/>
      <c r="I614" s="19">
        <f>IF(OR(F614="",G614=""),"",F614*G614)</f>
        <v/>
      </c>
      <c r="J614" s="36">
        <f>IF(OR(F614="",G614=""),"",ROUND(G614*(1+F614/30),1))</f>
        <v/>
      </c>
      <c r="K614" s="20" t="n"/>
    </row>
    <row r="615" ht="18" customHeight="1">
      <c r="A615" s="37" t="n"/>
      <c r="B615" s="22">
        <f>IF(A615="","",IFERROR(INT((A615-DATE(2026,4,27))/7)+1,""))</f>
        <v/>
      </c>
      <c r="C615" s="22" t="n"/>
      <c r="D615" s="23" t="n"/>
      <c r="E615" s="22" t="n"/>
      <c r="F615" s="22" t="n"/>
      <c r="G615" s="38" t="n"/>
      <c r="H615" s="22" t="n"/>
      <c r="I615" s="25">
        <f>IF(OR(F615="",G615=""),"",F615*G615)</f>
        <v/>
      </c>
      <c r="J615" s="38">
        <f>IF(OR(F615="",G615=""),"",ROUND(G615*(1+F615/30),1))</f>
        <v/>
      </c>
      <c r="K615" s="26" t="n"/>
    </row>
    <row r="616" ht="18" customHeight="1">
      <c r="A616" s="35" t="n"/>
      <c r="B616" s="16">
        <f>IF(A616="","",IFERROR(INT((A616-DATE(2026,4,27))/7)+1,""))</f>
        <v/>
      </c>
      <c r="C616" s="16" t="n"/>
      <c r="D616" s="17" t="n"/>
      <c r="E616" s="16" t="n"/>
      <c r="F616" s="16" t="n"/>
      <c r="G616" s="36" t="n"/>
      <c r="H616" s="16" t="n"/>
      <c r="I616" s="19">
        <f>IF(OR(F616="",G616=""),"",F616*G616)</f>
        <v/>
      </c>
      <c r="J616" s="36">
        <f>IF(OR(F616="",G616=""),"",ROUND(G616*(1+F616/30),1))</f>
        <v/>
      </c>
      <c r="K616" s="20" t="n"/>
    </row>
    <row r="617" ht="18" customHeight="1">
      <c r="A617" s="37" t="n"/>
      <c r="B617" s="22">
        <f>IF(A617="","",IFERROR(INT((A617-DATE(2026,4,27))/7)+1,""))</f>
        <v/>
      </c>
      <c r="C617" s="22" t="n"/>
      <c r="D617" s="23" t="n"/>
      <c r="E617" s="22" t="n"/>
      <c r="F617" s="22" t="n"/>
      <c r="G617" s="38" t="n"/>
      <c r="H617" s="22" t="n"/>
      <c r="I617" s="25">
        <f>IF(OR(F617="",G617=""),"",F617*G617)</f>
        <v/>
      </c>
      <c r="J617" s="38">
        <f>IF(OR(F617="",G617=""),"",ROUND(G617*(1+F617/30),1))</f>
        <v/>
      </c>
      <c r="K617" s="26" t="n"/>
    </row>
    <row r="618" ht="18" customHeight="1">
      <c r="A618" s="35" t="n"/>
      <c r="B618" s="16">
        <f>IF(A618="","",IFERROR(INT((A618-DATE(2026,4,27))/7)+1,""))</f>
        <v/>
      </c>
      <c r="C618" s="16" t="n"/>
      <c r="D618" s="17" t="n"/>
      <c r="E618" s="16" t="n"/>
      <c r="F618" s="16" t="n"/>
      <c r="G618" s="36" t="n"/>
      <c r="H618" s="16" t="n"/>
      <c r="I618" s="19">
        <f>IF(OR(F618="",G618=""),"",F618*G618)</f>
        <v/>
      </c>
      <c r="J618" s="36">
        <f>IF(OR(F618="",G618=""),"",ROUND(G618*(1+F618/30),1))</f>
        <v/>
      </c>
      <c r="K618" s="20" t="n"/>
    </row>
    <row r="619" ht="18" customHeight="1">
      <c r="A619" s="37" t="n"/>
      <c r="B619" s="22">
        <f>IF(A619="","",IFERROR(INT((A619-DATE(2026,4,27))/7)+1,""))</f>
        <v/>
      </c>
      <c r="C619" s="22" t="n"/>
      <c r="D619" s="23" t="n"/>
      <c r="E619" s="22" t="n"/>
      <c r="F619" s="22" t="n"/>
      <c r="G619" s="38" t="n"/>
      <c r="H619" s="22" t="n"/>
      <c r="I619" s="25">
        <f>IF(OR(F619="",G619=""),"",F619*G619)</f>
        <v/>
      </c>
      <c r="J619" s="38">
        <f>IF(OR(F619="",G619=""),"",ROUND(G619*(1+F619/30),1))</f>
        <v/>
      </c>
      <c r="K619" s="26" t="n"/>
    </row>
    <row r="620" ht="18" customHeight="1">
      <c r="A620" s="35" t="n"/>
      <c r="B620" s="16">
        <f>IF(A620="","",IFERROR(INT((A620-DATE(2026,4,27))/7)+1,""))</f>
        <v/>
      </c>
      <c r="C620" s="16" t="n"/>
      <c r="D620" s="17" t="n"/>
      <c r="E620" s="16" t="n"/>
      <c r="F620" s="16" t="n"/>
      <c r="G620" s="36" t="n"/>
      <c r="H620" s="16" t="n"/>
      <c r="I620" s="19">
        <f>IF(OR(F620="",G620=""),"",F620*G620)</f>
        <v/>
      </c>
      <c r="J620" s="36">
        <f>IF(OR(F620="",G620=""),"",ROUND(G620*(1+F620/30),1))</f>
        <v/>
      </c>
      <c r="K620" s="20" t="n"/>
    </row>
    <row r="621" ht="18" customHeight="1">
      <c r="A621" s="37" t="n"/>
      <c r="B621" s="22">
        <f>IF(A621="","",IFERROR(INT((A621-DATE(2026,4,27))/7)+1,""))</f>
        <v/>
      </c>
      <c r="C621" s="22" t="n"/>
      <c r="D621" s="23" t="n"/>
      <c r="E621" s="22" t="n"/>
      <c r="F621" s="22" t="n"/>
      <c r="G621" s="38" t="n"/>
      <c r="H621" s="22" t="n"/>
      <c r="I621" s="25">
        <f>IF(OR(F621="",G621=""),"",F621*G621)</f>
        <v/>
      </c>
      <c r="J621" s="38">
        <f>IF(OR(F621="",G621=""),"",ROUND(G621*(1+F621/30),1))</f>
        <v/>
      </c>
      <c r="K621" s="26" t="n"/>
    </row>
    <row r="622" ht="18" customHeight="1">
      <c r="A622" s="35" t="n"/>
      <c r="B622" s="16">
        <f>IF(A622="","",IFERROR(INT((A622-DATE(2026,4,27))/7)+1,""))</f>
        <v/>
      </c>
      <c r="C622" s="16" t="n"/>
      <c r="D622" s="17" t="n"/>
      <c r="E622" s="16" t="n"/>
      <c r="F622" s="16" t="n"/>
      <c r="G622" s="36" t="n"/>
      <c r="H622" s="16" t="n"/>
      <c r="I622" s="19">
        <f>IF(OR(F622="",G622=""),"",F622*G622)</f>
        <v/>
      </c>
      <c r="J622" s="36">
        <f>IF(OR(F622="",G622=""),"",ROUND(G622*(1+F622/30),1))</f>
        <v/>
      </c>
      <c r="K622" s="20" t="n"/>
    </row>
    <row r="623" ht="18" customHeight="1">
      <c r="A623" s="37" t="n"/>
      <c r="B623" s="22">
        <f>IF(A623="","",IFERROR(INT((A623-DATE(2026,4,27))/7)+1,""))</f>
        <v/>
      </c>
      <c r="C623" s="22" t="n"/>
      <c r="D623" s="23" t="n"/>
      <c r="E623" s="22" t="n"/>
      <c r="F623" s="22" t="n"/>
      <c r="G623" s="38" t="n"/>
      <c r="H623" s="22" t="n"/>
      <c r="I623" s="25">
        <f>IF(OR(F623="",G623=""),"",F623*G623)</f>
        <v/>
      </c>
      <c r="J623" s="38">
        <f>IF(OR(F623="",G623=""),"",ROUND(G623*(1+F623/30),1))</f>
        <v/>
      </c>
      <c r="K623" s="26" t="n"/>
    </row>
    <row r="624" ht="18" customHeight="1">
      <c r="A624" s="35" t="n"/>
      <c r="B624" s="16">
        <f>IF(A624="","",IFERROR(INT((A624-DATE(2026,4,27))/7)+1,""))</f>
        <v/>
      </c>
      <c r="C624" s="16" t="n"/>
      <c r="D624" s="17" t="n"/>
      <c r="E624" s="16" t="n"/>
      <c r="F624" s="16" t="n"/>
      <c r="G624" s="36" t="n"/>
      <c r="H624" s="16" t="n"/>
      <c r="I624" s="19">
        <f>IF(OR(F624="",G624=""),"",F624*G624)</f>
        <v/>
      </c>
      <c r="J624" s="36">
        <f>IF(OR(F624="",G624=""),"",ROUND(G624*(1+F624/30),1))</f>
        <v/>
      </c>
      <c r="K624" s="20" t="n"/>
    </row>
    <row r="625" ht="18" customHeight="1">
      <c r="A625" s="37" t="n"/>
      <c r="B625" s="22">
        <f>IF(A625="","",IFERROR(INT((A625-DATE(2026,4,27))/7)+1,""))</f>
        <v/>
      </c>
      <c r="C625" s="22" t="n"/>
      <c r="D625" s="23" t="n"/>
      <c r="E625" s="22" t="n"/>
      <c r="F625" s="22" t="n"/>
      <c r="G625" s="38" t="n"/>
      <c r="H625" s="22" t="n"/>
      <c r="I625" s="25">
        <f>IF(OR(F625="",G625=""),"",F625*G625)</f>
        <v/>
      </c>
      <c r="J625" s="38">
        <f>IF(OR(F625="",G625=""),"",ROUND(G625*(1+F625/30),1))</f>
        <v/>
      </c>
      <c r="K625" s="26" t="n"/>
    </row>
    <row r="626" ht="18" customHeight="1">
      <c r="A626" s="35" t="n"/>
      <c r="B626" s="16">
        <f>IF(A626="","",IFERROR(INT((A626-DATE(2026,4,27))/7)+1,""))</f>
        <v/>
      </c>
      <c r="C626" s="16" t="n"/>
      <c r="D626" s="17" t="n"/>
      <c r="E626" s="16" t="n"/>
      <c r="F626" s="16" t="n"/>
      <c r="G626" s="36" t="n"/>
      <c r="H626" s="16" t="n"/>
      <c r="I626" s="19">
        <f>IF(OR(F626="",G626=""),"",F626*G626)</f>
        <v/>
      </c>
      <c r="J626" s="36">
        <f>IF(OR(F626="",G626=""),"",ROUND(G626*(1+F626/30),1))</f>
        <v/>
      </c>
      <c r="K626" s="20" t="n"/>
    </row>
    <row r="627" ht="18" customHeight="1">
      <c r="A627" s="37" t="n"/>
      <c r="B627" s="22">
        <f>IF(A627="","",IFERROR(INT((A627-DATE(2026,4,27))/7)+1,""))</f>
        <v/>
      </c>
      <c r="C627" s="22" t="n"/>
      <c r="D627" s="23" t="n"/>
      <c r="E627" s="22" t="n"/>
      <c r="F627" s="22" t="n"/>
      <c r="G627" s="38" t="n"/>
      <c r="H627" s="22" t="n"/>
      <c r="I627" s="25">
        <f>IF(OR(F627="",G627=""),"",F627*G627)</f>
        <v/>
      </c>
      <c r="J627" s="38">
        <f>IF(OR(F627="",G627=""),"",ROUND(G627*(1+F627/30),1))</f>
        <v/>
      </c>
      <c r="K627" s="26" t="n"/>
    </row>
    <row r="628" ht="18" customHeight="1">
      <c r="A628" s="35" t="n"/>
      <c r="B628" s="16">
        <f>IF(A628="","",IFERROR(INT((A628-DATE(2026,4,27))/7)+1,""))</f>
        <v/>
      </c>
      <c r="C628" s="16" t="n"/>
      <c r="D628" s="17" t="n"/>
      <c r="E628" s="16" t="n"/>
      <c r="F628" s="16" t="n"/>
      <c r="G628" s="36" t="n"/>
      <c r="H628" s="16" t="n"/>
      <c r="I628" s="19">
        <f>IF(OR(F628="",G628=""),"",F628*G628)</f>
        <v/>
      </c>
      <c r="J628" s="36">
        <f>IF(OR(F628="",G628=""),"",ROUND(G628*(1+F628/30),1))</f>
        <v/>
      </c>
      <c r="K628" s="20" t="n"/>
    </row>
    <row r="629" ht="18" customHeight="1">
      <c r="A629" s="37" t="n"/>
      <c r="B629" s="22">
        <f>IF(A629="","",IFERROR(INT((A629-DATE(2026,4,27))/7)+1,""))</f>
        <v/>
      </c>
      <c r="C629" s="22" t="n"/>
      <c r="D629" s="23" t="n"/>
      <c r="E629" s="22" t="n"/>
      <c r="F629" s="22" t="n"/>
      <c r="G629" s="38" t="n"/>
      <c r="H629" s="22" t="n"/>
      <c r="I629" s="25">
        <f>IF(OR(F629="",G629=""),"",F629*G629)</f>
        <v/>
      </c>
      <c r="J629" s="38">
        <f>IF(OR(F629="",G629=""),"",ROUND(G629*(1+F629/30),1))</f>
        <v/>
      </c>
      <c r="K629" s="26" t="n"/>
    </row>
    <row r="630" ht="18" customHeight="1">
      <c r="A630" s="35" t="n"/>
      <c r="B630" s="16">
        <f>IF(A630="","",IFERROR(INT((A630-DATE(2026,4,27))/7)+1,""))</f>
        <v/>
      </c>
      <c r="C630" s="16" t="n"/>
      <c r="D630" s="17" t="n"/>
      <c r="E630" s="16" t="n"/>
      <c r="F630" s="16" t="n"/>
      <c r="G630" s="36" t="n"/>
      <c r="H630" s="16" t="n"/>
      <c r="I630" s="19">
        <f>IF(OR(F630="",G630=""),"",F630*G630)</f>
        <v/>
      </c>
      <c r="J630" s="36">
        <f>IF(OR(F630="",G630=""),"",ROUND(G630*(1+F630/30),1))</f>
        <v/>
      </c>
      <c r="K630" s="20" t="n"/>
    </row>
    <row r="631" ht="18" customHeight="1">
      <c r="A631" s="37" t="n"/>
      <c r="B631" s="22">
        <f>IF(A631="","",IFERROR(INT((A631-DATE(2026,4,27))/7)+1,""))</f>
        <v/>
      </c>
      <c r="C631" s="22" t="n"/>
      <c r="D631" s="23" t="n"/>
      <c r="E631" s="22" t="n"/>
      <c r="F631" s="22" t="n"/>
      <c r="G631" s="38" t="n"/>
      <c r="H631" s="22" t="n"/>
      <c r="I631" s="25">
        <f>IF(OR(F631="",G631=""),"",F631*G631)</f>
        <v/>
      </c>
      <c r="J631" s="38">
        <f>IF(OR(F631="",G631=""),"",ROUND(G631*(1+F631/30),1))</f>
        <v/>
      </c>
      <c r="K631" s="26" t="n"/>
    </row>
    <row r="632" ht="18" customHeight="1">
      <c r="A632" s="35" t="n"/>
      <c r="B632" s="16">
        <f>IF(A632="","",IFERROR(INT((A632-DATE(2026,4,27))/7)+1,""))</f>
        <v/>
      </c>
      <c r="C632" s="16" t="n"/>
      <c r="D632" s="17" t="n"/>
      <c r="E632" s="16" t="n"/>
      <c r="F632" s="16" t="n"/>
      <c r="G632" s="36" t="n"/>
      <c r="H632" s="16" t="n"/>
      <c r="I632" s="19">
        <f>IF(OR(F632="",G632=""),"",F632*G632)</f>
        <v/>
      </c>
      <c r="J632" s="36">
        <f>IF(OR(F632="",G632=""),"",ROUND(G632*(1+F632/30),1))</f>
        <v/>
      </c>
      <c r="K632" s="20" t="n"/>
    </row>
    <row r="633" ht="18" customHeight="1">
      <c r="A633" s="37" t="n"/>
      <c r="B633" s="22">
        <f>IF(A633="","",IFERROR(INT((A633-DATE(2026,4,27))/7)+1,""))</f>
        <v/>
      </c>
      <c r="C633" s="22" t="n"/>
      <c r="D633" s="23" t="n"/>
      <c r="E633" s="22" t="n"/>
      <c r="F633" s="22" t="n"/>
      <c r="G633" s="38" t="n"/>
      <c r="H633" s="22" t="n"/>
      <c r="I633" s="25">
        <f>IF(OR(F633="",G633=""),"",F633*G633)</f>
        <v/>
      </c>
      <c r="J633" s="38">
        <f>IF(OR(F633="",G633=""),"",ROUND(G633*(1+F633/30),1))</f>
        <v/>
      </c>
      <c r="K633" s="26" t="n"/>
    </row>
    <row r="634" ht="18" customHeight="1">
      <c r="A634" s="35" t="n"/>
      <c r="B634" s="16">
        <f>IF(A634="","",IFERROR(INT((A634-DATE(2026,4,27))/7)+1,""))</f>
        <v/>
      </c>
      <c r="C634" s="16" t="n"/>
      <c r="D634" s="17" t="n"/>
      <c r="E634" s="16" t="n"/>
      <c r="F634" s="16" t="n"/>
      <c r="G634" s="36" t="n"/>
      <c r="H634" s="16" t="n"/>
      <c r="I634" s="19">
        <f>IF(OR(F634="",G634=""),"",F634*G634)</f>
        <v/>
      </c>
      <c r="J634" s="36">
        <f>IF(OR(F634="",G634=""),"",ROUND(G634*(1+F634/30),1))</f>
        <v/>
      </c>
      <c r="K634" s="20" t="n"/>
    </row>
    <row r="635" ht="18" customHeight="1">
      <c r="A635" s="37" t="n"/>
      <c r="B635" s="22">
        <f>IF(A635="","",IFERROR(INT((A635-DATE(2026,4,27))/7)+1,""))</f>
        <v/>
      </c>
      <c r="C635" s="22" t="n"/>
      <c r="D635" s="23" t="n"/>
      <c r="E635" s="22" t="n"/>
      <c r="F635" s="22" t="n"/>
      <c r="G635" s="38" t="n"/>
      <c r="H635" s="22" t="n"/>
      <c r="I635" s="25">
        <f>IF(OR(F635="",G635=""),"",F635*G635)</f>
        <v/>
      </c>
      <c r="J635" s="38">
        <f>IF(OR(F635="",G635=""),"",ROUND(G635*(1+F635/30),1))</f>
        <v/>
      </c>
      <c r="K635" s="26" t="n"/>
    </row>
    <row r="636" ht="18" customHeight="1">
      <c r="A636" s="35" t="n"/>
      <c r="B636" s="16">
        <f>IF(A636="","",IFERROR(INT((A636-DATE(2026,4,27))/7)+1,""))</f>
        <v/>
      </c>
      <c r="C636" s="16" t="n"/>
      <c r="D636" s="17" t="n"/>
      <c r="E636" s="16" t="n"/>
      <c r="F636" s="16" t="n"/>
      <c r="G636" s="36" t="n"/>
      <c r="H636" s="16" t="n"/>
      <c r="I636" s="19">
        <f>IF(OR(F636="",G636=""),"",F636*G636)</f>
        <v/>
      </c>
      <c r="J636" s="36">
        <f>IF(OR(F636="",G636=""),"",ROUND(G636*(1+F636/30),1))</f>
        <v/>
      </c>
      <c r="K636" s="20" t="n"/>
    </row>
    <row r="637" ht="18" customHeight="1">
      <c r="A637" s="37" t="n"/>
      <c r="B637" s="22">
        <f>IF(A637="","",IFERROR(INT((A637-DATE(2026,4,27))/7)+1,""))</f>
        <v/>
      </c>
      <c r="C637" s="22" t="n"/>
      <c r="D637" s="23" t="n"/>
      <c r="E637" s="22" t="n"/>
      <c r="F637" s="22" t="n"/>
      <c r="G637" s="38" t="n"/>
      <c r="H637" s="22" t="n"/>
      <c r="I637" s="25">
        <f>IF(OR(F637="",G637=""),"",F637*G637)</f>
        <v/>
      </c>
      <c r="J637" s="38">
        <f>IF(OR(F637="",G637=""),"",ROUND(G637*(1+F637/30),1))</f>
        <v/>
      </c>
      <c r="K637" s="26" t="n"/>
    </row>
    <row r="638" ht="18" customHeight="1">
      <c r="A638" s="35" t="n"/>
      <c r="B638" s="16">
        <f>IF(A638="","",IFERROR(INT((A638-DATE(2026,4,27))/7)+1,""))</f>
        <v/>
      </c>
      <c r="C638" s="16" t="n"/>
      <c r="D638" s="17" t="n"/>
      <c r="E638" s="16" t="n"/>
      <c r="F638" s="16" t="n"/>
      <c r="G638" s="36" t="n"/>
      <c r="H638" s="16" t="n"/>
      <c r="I638" s="19">
        <f>IF(OR(F638="",G638=""),"",F638*G638)</f>
        <v/>
      </c>
      <c r="J638" s="36">
        <f>IF(OR(F638="",G638=""),"",ROUND(G638*(1+F638/30),1))</f>
        <v/>
      </c>
      <c r="K638" s="20" t="n"/>
    </row>
    <row r="639" ht="18" customHeight="1">
      <c r="A639" s="37" t="n"/>
      <c r="B639" s="22">
        <f>IF(A639="","",IFERROR(INT((A639-DATE(2026,4,27))/7)+1,""))</f>
        <v/>
      </c>
      <c r="C639" s="22" t="n"/>
      <c r="D639" s="23" t="n"/>
      <c r="E639" s="22" t="n"/>
      <c r="F639" s="22" t="n"/>
      <c r="G639" s="38" t="n"/>
      <c r="H639" s="22" t="n"/>
      <c r="I639" s="25">
        <f>IF(OR(F639="",G639=""),"",F639*G639)</f>
        <v/>
      </c>
      <c r="J639" s="38">
        <f>IF(OR(F639="",G639=""),"",ROUND(G639*(1+F639/30),1))</f>
        <v/>
      </c>
      <c r="K639" s="26" t="n"/>
    </row>
    <row r="640" ht="18" customHeight="1">
      <c r="A640" s="35" t="n"/>
      <c r="B640" s="16">
        <f>IF(A640="","",IFERROR(INT((A640-DATE(2026,4,27))/7)+1,""))</f>
        <v/>
      </c>
      <c r="C640" s="16" t="n"/>
      <c r="D640" s="17" t="n"/>
      <c r="E640" s="16" t="n"/>
      <c r="F640" s="16" t="n"/>
      <c r="G640" s="36" t="n"/>
      <c r="H640" s="16" t="n"/>
      <c r="I640" s="19">
        <f>IF(OR(F640="",G640=""),"",F640*G640)</f>
        <v/>
      </c>
      <c r="J640" s="36">
        <f>IF(OR(F640="",G640=""),"",ROUND(G640*(1+F640/30),1))</f>
        <v/>
      </c>
      <c r="K640" s="20" t="n"/>
    </row>
    <row r="641" ht="18" customHeight="1">
      <c r="A641" s="37" t="n"/>
      <c r="B641" s="22">
        <f>IF(A641="","",IFERROR(INT((A641-DATE(2026,4,27))/7)+1,""))</f>
        <v/>
      </c>
      <c r="C641" s="22" t="n"/>
      <c r="D641" s="23" t="n"/>
      <c r="E641" s="22" t="n"/>
      <c r="F641" s="22" t="n"/>
      <c r="G641" s="38" t="n"/>
      <c r="H641" s="22" t="n"/>
      <c r="I641" s="25">
        <f>IF(OR(F641="",G641=""),"",F641*G641)</f>
        <v/>
      </c>
      <c r="J641" s="38">
        <f>IF(OR(F641="",G641=""),"",ROUND(G641*(1+F641/30),1))</f>
        <v/>
      </c>
      <c r="K641" s="26" t="n"/>
    </row>
    <row r="642" ht="18" customHeight="1">
      <c r="A642" s="35" t="n"/>
      <c r="B642" s="16">
        <f>IF(A642="","",IFERROR(INT((A642-DATE(2026,4,27))/7)+1,""))</f>
        <v/>
      </c>
      <c r="C642" s="16" t="n"/>
      <c r="D642" s="17" t="n"/>
      <c r="E642" s="16" t="n"/>
      <c r="F642" s="16" t="n"/>
      <c r="G642" s="36" t="n"/>
      <c r="H642" s="16" t="n"/>
      <c r="I642" s="19">
        <f>IF(OR(F642="",G642=""),"",F642*G642)</f>
        <v/>
      </c>
      <c r="J642" s="36">
        <f>IF(OR(F642="",G642=""),"",ROUND(G642*(1+F642/30),1))</f>
        <v/>
      </c>
      <c r="K642" s="20" t="n"/>
    </row>
    <row r="643" ht="18" customHeight="1">
      <c r="A643" s="37" t="n"/>
      <c r="B643" s="22">
        <f>IF(A643="","",IFERROR(INT((A643-DATE(2026,4,27))/7)+1,""))</f>
        <v/>
      </c>
      <c r="C643" s="22" t="n"/>
      <c r="D643" s="23" t="n"/>
      <c r="E643" s="22" t="n"/>
      <c r="F643" s="22" t="n"/>
      <c r="G643" s="38" t="n"/>
      <c r="H643" s="22" t="n"/>
      <c r="I643" s="25">
        <f>IF(OR(F643="",G643=""),"",F643*G643)</f>
        <v/>
      </c>
      <c r="J643" s="38">
        <f>IF(OR(F643="",G643=""),"",ROUND(G643*(1+F643/30),1))</f>
        <v/>
      </c>
      <c r="K643" s="26" t="n"/>
    </row>
    <row r="644" ht="18" customHeight="1">
      <c r="A644" s="35" t="n"/>
      <c r="B644" s="16">
        <f>IF(A644="","",IFERROR(INT((A644-DATE(2026,4,27))/7)+1,""))</f>
        <v/>
      </c>
      <c r="C644" s="16" t="n"/>
      <c r="D644" s="17" t="n"/>
      <c r="E644" s="16" t="n"/>
      <c r="F644" s="16" t="n"/>
      <c r="G644" s="36" t="n"/>
      <c r="H644" s="16" t="n"/>
      <c r="I644" s="19">
        <f>IF(OR(F644="",G644=""),"",F644*G644)</f>
        <v/>
      </c>
      <c r="J644" s="36">
        <f>IF(OR(F644="",G644=""),"",ROUND(G644*(1+F644/30),1))</f>
        <v/>
      </c>
      <c r="K644" s="20" t="n"/>
    </row>
    <row r="645" ht="18" customHeight="1">
      <c r="A645" s="37" t="n"/>
      <c r="B645" s="22">
        <f>IF(A645="","",IFERROR(INT((A645-DATE(2026,4,27))/7)+1,""))</f>
        <v/>
      </c>
      <c r="C645" s="22" t="n"/>
      <c r="D645" s="23" t="n"/>
      <c r="E645" s="22" t="n"/>
      <c r="F645" s="22" t="n"/>
      <c r="G645" s="38" t="n"/>
      <c r="H645" s="22" t="n"/>
      <c r="I645" s="25">
        <f>IF(OR(F645="",G645=""),"",F645*G645)</f>
        <v/>
      </c>
      <c r="J645" s="38">
        <f>IF(OR(F645="",G645=""),"",ROUND(G645*(1+F645/30),1))</f>
        <v/>
      </c>
      <c r="K645" s="26" t="n"/>
    </row>
    <row r="646" ht="18" customHeight="1">
      <c r="A646" s="35" t="n"/>
      <c r="B646" s="16">
        <f>IF(A646="","",IFERROR(INT((A646-DATE(2026,4,27))/7)+1,""))</f>
        <v/>
      </c>
      <c r="C646" s="16" t="n"/>
      <c r="D646" s="17" t="n"/>
      <c r="E646" s="16" t="n"/>
      <c r="F646" s="16" t="n"/>
      <c r="G646" s="36" t="n"/>
      <c r="H646" s="16" t="n"/>
      <c r="I646" s="19">
        <f>IF(OR(F646="",G646=""),"",F646*G646)</f>
        <v/>
      </c>
      <c r="J646" s="36">
        <f>IF(OR(F646="",G646=""),"",ROUND(G646*(1+F646/30),1))</f>
        <v/>
      </c>
      <c r="K646" s="20" t="n"/>
    </row>
    <row r="647" ht="18" customHeight="1">
      <c r="A647" s="37" t="n"/>
      <c r="B647" s="22">
        <f>IF(A647="","",IFERROR(INT((A647-DATE(2026,4,27))/7)+1,""))</f>
        <v/>
      </c>
      <c r="C647" s="22" t="n"/>
      <c r="D647" s="23" t="n"/>
      <c r="E647" s="22" t="n"/>
      <c r="F647" s="22" t="n"/>
      <c r="G647" s="38" t="n"/>
      <c r="H647" s="22" t="n"/>
      <c r="I647" s="25">
        <f>IF(OR(F647="",G647=""),"",F647*G647)</f>
        <v/>
      </c>
      <c r="J647" s="38">
        <f>IF(OR(F647="",G647=""),"",ROUND(G647*(1+F647/30),1))</f>
        <v/>
      </c>
      <c r="K647" s="26" t="n"/>
    </row>
    <row r="648" ht="18" customHeight="1">
      <c r="A648" s="35" t="n"/>
      <c r="B648" s="16">
        <f>IF(A648="","",IFERROR(INT((A648-DATE(2026,4,27))/7)+1,""))</f>
        <v/>
      </c>
      <c r="C648" s="16" t="n"/>
      <c r="D648" s="17" t="n"/>
      <c r="E648" s="16" t="n"/>
      <c r="F648" s="16" t="n"/>
      <c r="G648" s="36" t="n"/>
      <c r="H648" s="16" t="n"/>
      <c r="I648" s="19">
        <f>IF(OR(F648="",G648=""),"",F648*G648)</f>
        <v/>
      </c>
      <c r="J648" s="36">
        <f>IF(OR(F648="",G648=""),"",ROUND(G648*(1+F648/30),1))</f>
        <v/>
      </c>
      <c r="K648" s="20" t="n"/>
    </row>
    <row r="649" ht="18" customHeight="1">
      <c r="A649" s="37" t="n"/>
      <c r="B649" s="22">
        <f>IF(A649="","",IFERROR(INT((A649-DATE(2026,4,27))/7)+1,""))</f>
        <v/>
      </c>
      <c r="C649" s="22" t="n"/>
      <c r="D649" s="23" t="n"/>
      <c r="E649" s="22" t="n"/>
      <c r="F649" s="22" t="n"/>
      <c r="G649" s="38" t="n"/>
      <c r="H649" s="22" t="n"/>
      <c r="I649" s="25">
        <f>IF(OR(F649="",G649=""),"",F649*G649)</f>
        <v/>
      </c>
      <c r="J649" s="38">
        <f>IF(OR(F649="",G649=""),"",ROUND(G649*(1+F649/30),1))</f>
        <v/>
      </c>
      <c r="K649" s="26" t="n"/>
    </row>
    <row r="650" ht="18" customHeight="1">
      <c r="A650" s="35" t="n"/>
      <c r="B650" s="16">
        <f>IF(A650="","",IFERROR(INT((A650-DATE(2026,4,27))/7)+1,""))</f>
        <v/>
      </c>
      <c r="C650" s="16" t="n"/>
      <c r="D650" s="17" t="n"/>
      <c r="E650" s="16" t="n"/>
      <c r="F650" s="16" t="n"/>
      <c r="G650" s="36" t="n"/>
      <c r="H650" s="16" t="n"/>
      <c r="I650" s="19">
        <f>IF(OR(F650="",G650=""),"",F650*G650)</f>
        <v/>
      </c>
      <c r="J650" s="36">
        <f>IF(OR(F650="",G650=""),"",ROUND(G650*(1+F650/30),1))</f>
        <v/>
      </c>
      <c r="K650" s="20" t="n"/>
    </row>
    <row r="651" ht="18" customHeight="1">
      <c r="A651" s="37" t="n"/>
      <c r="B651" s="22">
        <f>IF(A651="","",IFERROR(INT((A651-DATE(2026,4,27))/7)+1,""))</f>
        <v/>
      </c>
      <c r="C651" s="22" t="n"/>
      <c r="D651" s="23" t="n"/>
      <c r="E651" s="22" t="n"/>
      <c r="F651" s="22" t="n"/>
      <c r="G651" s="38" t="n"/>
      <c r="H651" s="22" t="n"/>
      <c r="I651" s="25">
        <f>IF(OR(F651="",G651=""),"",F651*G651)</f>
        <v/>
      </c>
      <c r="J651" s="38">
        <f>IF(OR(F651="",G651=""),"",ROUND(G651*(1+F651/30),1))</f>
        <v/>
      </c>
      <c r="K651" s="26" t="n"/>
    </row>
    <row r="652" ht="18" customHeight="1">
      <c r="A652" s="35" t="n"/>
      <c r="B652" s="16">
        <f>IF(A652="","",IFERROR(INT((A652-DATE(2026,4,27))/7)+1,""))</f>
        <v/>
      </c>
      <c r="C652" s="16" t="n"/>
      <c r="D652" s="17" t="n"/>
      <c r="E652" s="16" t="n"/>
      <c r="F652" s="16" t="n"/>
      <c r="G652" s="36" t="n"/>
      <c r="H652" s="16" t="n"/>
      <c r="I652" s="19">
        <f>IF(OR(F652="",G652=""),"",F652*G652)</f>
        <v/>
      </c>
      <c r="J652" s="36">
        <f>IF(OR(F652="",G652=""),"",ROUND(G652*(1+F652/30),1))</f>
        <v/>
      </c>
      <c r="K652" s="20" t="n"/>
    </row>
    <row r="653" ht="18" customHeight="1">
      <c r="A653" s="37" t="n"/>
      <c r="B653" s="22">
        <f>IF(A653="","",IFERROR(INT((A653-DATE(2026,4,27))/7)+1,""))</f>
        <v/>
      </c>
      <c r="C653" s="22" t="n"/>
      <c r="D653" s="23" t="n"/>
      <c r="E653" s="22" t="n"/>
      <c r="F653" s="22" t="n"/>
      <c r="G653" s="38" t="n"/>
      <c r="H653" s="22" t="n"/>
      <c r="I653" s="25">
        <f>IF(OR(F653="",G653=""),"",F653*G653)</f>
        <v/>
      </c>
      <c r="J653" s="38">
        <f>IF(OR(F653="",G653=""),"",ROUND(G653*(1+F653/30),1))</f>
        <v/>
      </c>
      <c r="K653" s="26" t="n"/>
    </row>
    <row r="654" ht="18" customHeight="1">
      <c r="A654" s="35" t="n"/>
      <c r="B654" s="16">
        <f>IF(A654="","",IFERROR(INT((A654-DATE(2026,4,27))/7)+1,""))</f>
        <v/>
      </c>
      <c r="C654" s="16" t="n"/>
      <c r="D654" s="17" t="n"/>
      <c r="E654" s="16" t="n"/>
      <c r="F654" s="16" t="n"/>
      <c r="G654" s="36" t="n"/>
      <c r="H654" s="16" t="n"/>
      <c r="I654" s="19">
        <f>IF(OR(F654="",G654=""),"",F654*G654)</f>
        <v/>
      </c>
      <c r="J654" s="36">
        <f>IF(OR(F654="",G654=""),"",ROUND(G654*(1+F654/30),1))</f>
        <v/>
      </c>
      <c r="K654" s="20" t="n"/>
    </row>
    <row r="655" ht="18" customHeight="1">
      <c r="A655" s="37" t="n"/>
      <c r="B655" s="22">
        <f>IF(A655="","",IFERROR(INT((A655-DATE(2026,4,27))/7)+1,""))</f>
        <v/>
      </c>
      <c r="C655" s="22" t="n"/>
      <c r="D655" s="23" t="n"/>
      <c r="E655" s="22" t="n"/>
      <c r="F655" s="22" t="n"/>
      <c r="G655" s="38" t="n"/>
      <c r="H655" s="22" t="n"/>
      <c r="I655" s="25">
        <f>IF(OR(F655="",G655=""),"",F655*G655)</f>
        <v/>
      </c>
      <c r="J655" s="38">
        <f>IF(OR(F655="",G655=""),"",ROUND(G655*(1+F655/30),1))</f>
        <v/>
      </c>
      <c r="K655" s="26" t="n"/>
    </row>
    <row r="656" ht="18" customHeight="1">
      <c r="A656" s="35" t="n"/>
      <c r="B656" s="16">
        <f>IF(A656="","",IFERROR(INT((A656-DATE(2026,4,27))/7)+1,""))</f>
        <v/>
      </c>
      <c r="C656" s="16" t="n"/>
      <c r="D656" s="17" t="n"/>
      <c r="E656" s="16" t="n"/>
      <c r="F656" s="16" t="n"/>
      <c r="G656" s="36" t="n"/>
      <c r="H656" s="16" t="n"/>
      <c r="I656" s="19">
        <f>IF(OR(F656="",G656=""),"",F656*G656)</f>
        <v/>
      </c>
      <c r="J656" s="36">
        <f>IF(OR(F656="",G656=""),"",ROUND(G656*(1+F656/30),1))</f>
        <v/>
      </c>
      <c r="K656" s="20" t="n"/>
    </row>
    <row r="657" ht="18" customHeight="1">
      <c r="A657" s="37" t="n"/>
      <c r="B657" s="22">
        <f>IF(A657="","",IFERROR(INT((A657-DATE(2026,4,27))/7)+1,""))</f>
        <v/>
      </c>
      <c r="C657" s="22" t="n"/>
      <c r="D657" s="23" t="n"/>
      <c r="E657" s="22" t="n"/>
      <c r="F657" s="22" t="n"/>
      <c r="G657" s="38" t="n"/>
      <c r="H657" s="22" t="n"/>
      <c r="I657" s="25">
        <f>IF(OR(F657="",G657=""),"",F657*G657)</f>
        <v/>
      </c>
      <c r="J657" s="38">
        <f>IF(OR(F657="",G657=""),"",ROUND(G657*(1+F657/30),1))</f>
        <v/>
      </c>
      <c r="K657" s="26" t="n"/>
    </row>
    <row r="658" ht="18" customHeight="1">
      <c r="A658" s="35" t="n"/>
      <c r="B658" s="16">
        <f>IF(A658="","",IFERROR(INT((A658-DATE(2026,4,27))/7)+1,""))</f>
        <v/>
      </c>
      <c r="C658" s="16" t="n"/>
      <c r="D658" s="17" t="n"/>
      <c r="E658" s="16" t="n"/>
      <c r="F658" s="16" t="n"/>
      <c r="G658" s="36" t="n"/>
      <c r="H658" s="16" t="n"/>
      <c r="I658" s="19">
        <f>IF(OR(F658="",G658=""),"",F658*G658)</f>
        <v/>
      </c>
      <c r="J658" s="36">
        <f>IF(OR(F658="",G658=""),"",ROUND(G658*(1+F658/30),1))</f>
        <v/>
      </c>
      <c r="K658" s="20" t="n"/>
    </row>
    <row r="659" ht="18" customHeight="1">
      <c r="A659" s="37" t="n"/>
      <c r="B659" s="22">
        <f>IF(A659="","",IFERROR(INT((A659-DATE(2026,4,27))/7)+1,""))</f>
        <v/>
      </c>
      <c r="C659" s="22" t="n"/>
      <c r="D659" s="23" t="n"/>
      <c r="E659" s="22" t="n"/>
      <c r="F659" s="22" t="n"/>
      <c r="G659" s="38" t="n"/>
      <c r="H659" s="22" t="n"/>
      <c r="I659" s="25">
        <f>IF(OR(F659="",G659=""),"",F659*G659)</f>
        <v/>
      </c>
      <c r="J659" s="38">
        <f>IF(OR(F659="",G659=""),"",ROUND(G659*(1+F659/30),1))</f>
        <v/>
      </c>
      <c r="K659" s="26" t="n"/>
    </row>
    <row r="660" ht="18" customHeight="1">
      <c r="A660" s="35" t="n"/>
      <c r="B660" s="16">
        <f>IF(A660="","",IFERROR(INT((A660-DATE(2026,4,27))/7)+1,""))</f>
        <v/>
      </c>
      <c r="C660" s="16" t="n"/>
      <c r="D660" s="17" t="n"/>
      <c r="E660" s="16" t="n"/>
      <c r="F660" s="16" t="n"/>
      <c r="G660" s="36" t="n"/>
      <c r="H660" s="16" t="n"/>
      <c r="I660" s="19">
        <f>IF(OR(F660="",G660=""),"",F660*G660)</f>
        <v/>
      </c>
      <c r="J660" s="36">
        <f>IF(OR(F660="",G660=""),"",ROUND(G660*(1+F660/30),1))</f>
        <v/>
      </c>
      <c r="K660" s="20" t="n"/>
    </row>
    <row r="661" ht="18" customHeight="1">
      <c r="A661" s="37" t="n"/>
      <c r="B661" s="22">
        <f>IF(A661="","",IFERROR(INT((A661-DATE(2026,4,27))/7)+1,""))</f>
        <v/>
      </c>
      <c r="C661" s="22" t="n"/>
      <c r="D661" s="23" t="n"/>
      <c r="E661" s="22" t="n"/>
      <c r="F661" s="22" t="n"/>
      <c r="G661" s="38" t="n"/>
      <c r="H661" s="22" t="n"/>
      <c r="I661" s="25">
        <f>IF(OR(F661="",G661=""),"",F661*G661)</f>
        <v/>
      </c>
      <c r="J661" s="38">
        <f>IF(OR(F661="",G661=""),"",ROUND(G661*(1+F661/30),1))</f>
        <v/>
      </c>
      <c r="K661" s="26" t="n"/>
    </row>
    <row r="662" ht="18" customHeight="1">
      <c r="A662" s="35" t="n"/>
      <c r="B662" s="16">
        <f>IF(A662="","",IFERROR(INT((A662-DATE(2026,4,27))/7)+1,""))</f>
        <v/>
      </c>
      <c r="C662" s="16" t="n"/>
      <c r="D662" s="17" t="n"/>
      <c r="E662" s="16" t="n"/>
      <c r="F662" s="16" t="n"/>
      <c r="G662" s="36" t="n"/>
      <c r="H662" s="16" t="n"/>
      <c r="I662" s="19">
        <f>IF(OR(F662="",G662=""),"",F662*G662)</f>
        <v/>
      </c>
      <c r="J662" s="36">
        <f>IF(OR(F662="",G662=""),"",ROUND(G662*(1+F662/30),1))</f>
        <v/>
      </c>
      <c r="K662" s="20" t="n"/>
    </row>
    <row r="663" ht="18" customHeight="1">
      <c r="A663" s="37" t="n"/>
      <c r="B663" s="22">
        <f>IF(A663="","",IFERROR(INT((A663-DATE(2026,4,27))/7)+1,""))</f>
        <v/>
      </c>
      <c r="C663" s="22" t="n"/>
      <c r="D663" s="23" t="n"/>
      <c r="E663" s="22" t="n"/>
      <c r="F663" s="22" t="n"/>
      <c r="G663" s="38" t="n"/>
      <c r="H663" s="22" t="n"/>
      <c r="I663" s="25">
        <f>IF(OR(F663="",G663=""),"",F663*G663)</f>
        <v/>
      </c>
      <c r="J663" s="38">
        <f>IF(OR(F663="",G663=""),"",ROUND(G663*(1+F663/30),1))</f>
        <v/>
      </c>
      <c r="K663" s="26" t="n"/>
    </row>
    <row r="664" ht="18" customHeight="1">
      <c r="A664" s="35" t="n"/>
      <c r="B664" s="16">
        <f>IF(A664="","",IFERROR(INT((A664-DATE(2026,4,27))/7)+1,""))</f>
        <v/>
      </c>
      <c r="C664" s="16" t="n"/>
      <c r="D664" s="17" t="n"/>
      <c r="E664" s="16" t="n"/>
      <c r="F664" s="16" t="n"/>
      <c r="G664" s="36" t="n"/>
      <c r="H664" s="16" t="n"/>
      <c r="I664" s="19">
        <f>IF(OR(F664="",G664=""),"",F664*G664)</f>
        <v/>
      </c>
      <c r="J664" s="36">
        <f>IF(OR(F664="",G664=""),"",ROUND(G664*(1+F664/30),1))</f>
        <v/>
      </c>
      <c r="K664" s="20" t="n"/>
    </row>
    <row r="665" ht="18" customHeight="1">
      <c r="A665" s="37" t="n"/>
      <c r="B665" s="22">
        <f>IF(A665="","",IFERROR(INT((A665-DATE(2026,4,27))/7)+1,""))</f>
        <v/>
      </c>
      <c r="C665" s="22" t="n"/>
      <c r="D665" s="23" t="n"/>
      <c r="E665" s="22" t="n"/>
      <c r="F665" s="22" t="n"/>
      <c r="G665" s="38" t="n"/>
      <c r="H665" s="22" t="n"/>
      <c r="I665" s="25">
        <f>IF(OR(F665="",G665=""),"",F665*G665)</f>
        <v/>
      </c>
      <c r="J665" s="38">
        <f>IF(OR(F665="",G665=""),"",ROUND(G665*(1+F665/30),1))</f>
        <v/>
      </c>
      <c r="K665" s="26" t="n"/>
    </row>
    <row r="666" ht="18" customHeight="1">
      <c r="A666" s="35" t="n"/>
      <c r="B666" s="16">
        <f>IF(A666="","",IFERROR(INT((A666-DATE(2026,4,27))/7)+1,""))</f>
        <v/>
      </c>
      <c r="C666" s="16" t="n"/>
      <c r="D666" s="17" t="n"/>
      <c r="E666" s="16" t="n"/>
      <c r="F666" s="16" t="n"/>
      <c r="G666" s="36" t="n"/>
      <c r="H666" s="16" t="n"/>
      <c r="I666" s="19">
        <f>IF(OR(F666="",G666=""),"",F666*G666)</f>
        <v/>
      </c>
      <c r="J666" s="36">
        <f>IF(OR(F666="",G666=""),"",ROUND(G666*(1+F666/30),1))</f>
        <v/>
      </c>
      <c r="K666" s="20" t="n"/>
    </row>
    <row r="667" ht="18" customHeight="1">
      <c r="A667" s="37" t="n"/>
      <c r="B667" s="22">
        <f>IF(A667="","",IFERROR(INT((A667-DATE(2026,4,27))/7)+1,""))</f>
        <v/>
      </c>
      <c r="C667" s="22" t="n"/>
      <c r="D667" s="23" t="n"/>
      <c r="E667" s="22" t="n"/>
      <c r="F667" s="22" t="n"/>
      <c r="G667" s="38" t="n"/>
      <c r="H667" s="22" t="n"/>
      <c r="I667" s="25">
        <f>IF(OR(F667="",G667=""),"",F667*G667)</f>
        <v/>
      </c>
      <c r="J667" s="38">
        <f>IF(OR(F667="",G667=""),"",ROUND(G667*(1+F667/30),1))</f>
        <v/>
      </c>
      <c r="K667" s="26" t="n"/>
    </row>
    <row r="668" ht="18" customHeight="1">
      <c r="A668" s="35" t="n"/>
      <c r="B668" s="16">
        <f>IF(A668="","",IFERROR(INT((A668-DATE(2026,4,27))/7)+1,""))</f>
        <v/>
      </c>
      <c r="C668" s="16" t="n"/>
      <c r="D668" s="17" t="n"/>
      <c r="E668" s="16" t="n"/>
      <c r="F668" s="16" t="n"/>
      <c r="G668" s="36" t="n"/>
      <c r="H668" s="16" t="n"/>
      <c r="I668" s="19">
        <f>IF(OR(F668="",G668=""),"",F668*G668)</f>
        <v/>
      </c>
      <c r="J668" s="36">
        <f>IF(OR(F668="",G668=""),"",ROUND(G668*(1+F668/30),1))</f>
        <v/>
      </c>
      <c r="K668" s="20" t="n"/>
    </row>
    <row r="669" ht="18" customHeight="1">
      <c r="A669" s="37" t="n"/>
      <c r="B669" s="22">
        <f>IF(A669="","",IFERROR(INT((A669-DATE(2026,4,27))/7)+1,""))</f>
        <v/>
      </c>
      <c r="C669" s="22" t="n"/>
      <c r="D669" s="23" t="n"/>
      <c r="E669" s="22" t="n"/>
      <c r="F669" s="22" t="n"/>
      <c r="G669" s="38" t="n"/>
      <c r="H669" s="22" t="n"/>
      <c r="I669" s="25">
        <f>IF(OR(F669="",G669=""),"",F669*G669)</f>
        <v/>
      </c>
      <c r="J669" s="38">
        <f>IF(OR(F669="",G669=""),"",ROUND(G669*(1+F669/30),1))</f>
        <v/>
      </c>
      <c r="K669" s="26" t="n"/>
    </row>
    <row r="670" ht="18" customHeight="1">
      <c r="A670" s="35" t="n"/>
      <c r="B670" s="16">
        <f>IF(A670="","",IFERROR(INT((A670-DATE(2026,4,27))/7)+1,""))</f>
        <v/>
      </c>
      <c r="C670" s="16" t="n"/>
      <c r="D670" s="17" t="n"/>
      <c r="E670" s="16" t="n"/>
      <c r="F670" s="16" t="n"/>
      <c r="G670" s="36" t="n"/>
      <c r="H670" s="16" t="n"/>
      <c r="I670" s="19">
        <f>IF(OR(F670="",G670=""),"",F670*G670)</f>
        <v/>
      </c>
      <c r="J670" s="36">
        <f>IF(OR(F670="",G670=""),"",ROUND(G670*(1+F670/30),1))</f>
        <v/>
      </c>
      <c r="K670" s="20" t="n"/>
    </row>
    <row r="671" ht="18" customHeight="1">
      <c r="A671" s="37" t="n"/>
      <c r="B671" s="22">
        <f>IF(A671="","",IFERROR(INT((A671-DATE(2026,4,27))/7)+1,""))</f>
        <v/>
      </c>
      <c r="C671" s="22" t="n"/>
      <c r="D671" s="23" t="n"/>
      <c r="E671" s="22" t="n"/>
      <c r="F671" s="22" t="n"/>
      <c r="G671" s="38" t="n"/>
      <c r="H671" s="22" t="n"/>
      <c r="I671" s="25">
        <f>IF(OR(F671="",G671=""),"",F671*G671)</f>
        <v/>
      </c>
      <c r="J671" s="38">
        <f>IF(OR(F671="",G671=""),"",ROUND(G671*(1+F671/30),1))</f>
        <v/>
      </c>
      <c r="K671" s="26" t="n"/>
    </row>
    <row r="672" ht="18" customHeight="1">
      <c r="A672" s="35" t="n"/>
      <c r="B672" s="16">
        <f>IF(A672="","",IFERROR(INT((A672-DATE(2026,4,27))/7)+1,""))</f>
        <v/>
      </c>
      <c r="C672" s="16" t="n"/>
      <c r="D672" s="17" t="n"/>
      <c r="E672" s="16" t="n"/>
      <c r="F672" s="16" t="n"/>
      <c r="G672" s="36" t="n"/>
      <c r="H672" s="16" t="n"/>
      <c r="I672" s="19">
        <f>IF(OR(F672="",G672=""),"",F672*G672)</f>
        <v/>
      </c>
      <c r="J672" s="36">
        <f>IF(OR(F672="",G672=""),"",ROUND(G672*(1+F672/30),1))</f>
        <v/>
      </c>
      <c r="K672" s="20" t="n"/>
    </row>
    <row r="673" ht="18" customHeight="1">
      <c r="A673" s="37" t="n"/>
      <c r="B673" s="22">
        <f>IF(A673="","",IFERROR(INT((A673-DATE(2026,4,27))/7)+1,""))</f>
        <v/>
      </c>
      <c r="C673" s="22" t="n"/>
      <c r="D673" s="23" t="n"/>
      <c r="E673" s="22" t="n"/>
      <c r="F673" s="22" t="n"/>
      <c r="G673" s="38" t="n"/>
      <c r="H673" s="22" t="n"/>
      <c r="I673" s="25">
        <f>IF(OR(F673="",G673=""),"",F673*G673)</f>
        <v/>
      </c>
      <c r="J673" s="38">
        <f>IF(OR(F673="",G673=""),"",ROUND(G673*(1+F673/30),1))</f>
        <v/>
      </c>
      <c r="K673" s="26" t="n"/>
    </row>
    <row r="674" ht="18" customHeight="1">
      <c r="A674" s="35" t="n"/>
      <c r="B674" s="16">
        <f>IF(A674="","",IFERROR(INT((A674-DATE(2026,4,27))/7)+1,""))</f>
        <v/>
      </c>
      <c r="C674" s="16" t="n"/>
      <c r="D674" s="17" t="n"/>
      <c r="E674" s="16" t="n"/>
      <c r="F674" s="16" t="n"/>
      <c r="G674" s="36" t="n"/>
      <c r="H674" s="16" t="n"/>
      <c r="I674" s="19">
        <f>IF(OR(F674="",G674=""),"",F674*G674)</f>
        <v/>
      </c>
      <c r="J674" s="36">
        <f>IF(OR(F674="",G674=""),"",ROUND(G674*(1+F674/30),1))</f>
        <v/>
      </c>
      <c r="K674" s="20" t="n"/>
    </row>
    <row r="675" ht="18" customHeight="1">
      <c r="A675" s="37" t="n"/>
      <c r="B675" s="22">
        <f>IF(A675="","",IFERROR(INT((A675-DATE(2026,4,27))/7)+1,""))</f>
        <v/>
      </c>
      <c r="C675" s="22" t="n"/>
      <c r="D675" s="23" t="n"/>
      <c r="E675" s="22" t="n"/>
      <c r="F675" s="22" t="n"/>
      <c r="G675" s="38" t="n"/>
      <c r="H675" s="22" t="n"/>
      <c r="I675" s="25">
        <f>IF(OR(F675="",G675=""),"",F675*G675)</f>
        <v/>
      </c>
      <c r="J675" s="38">
        <f>IF(OR(F675="",G675=""),"",ROUND(G675*(1+F675/30),1))</f>
        <v/>
      </c>
      <c r="K675" s="26" t="n"/>
    </row>
    <row r="676" ht="18" customHeight="1">
      <c r="A676" s="35" t="n"/>
      <c r="B676" s="16">
        <f>IF(A676="","",IFERROR(INT((A676-DATE(2026,4,27))/7)+1,""))</f>
        <v/>
      </c>
      <c r="C676" s="16" t="n"/>
      <c r="D676" s="17" t="n"/>
      <c r="E676" s="16" t="n"/>
      <c r="F676" s="16" t="n"/>
      <c r="G676" s="36" t="n"/>
      <c r="H676" s="16" t="n"/>
      <c r="I676" s="19">
        <f>IF(OR(F676="",G676=""),"",F676*G676)</f>
        <v/>
      </c>
      <c r="J676" s="36">
        <f>IF(OR(F676="",G676=""),"",ROUND(G676*(1+F676/30),1))</f>
        <v/>
      </c>
      <c r="K676" s="20" t="n"/>
    </row>
    <row r="677" ht="18" customHeight="1">
      <c r="A677" s="37" t="n"/>
      <c r="B677" s="22">
        <f>IF(A677="","",IFERROR(INT((A677-DATE(2026,4,27))/7)+1,""))</f>
        <v/>
      </c>
      <c r="C677" s="22" t="n"/>
      <c r="D677" s="23" t="n"/>
      <c r="E677" s="22" t="n"/>
      <c r="F677" s="22" t="n"/>
      <c r="G677" s="38" t="n"/>
      <c r="H677" s="22" t="n"/>
      <c r="I677" s="25">
        <f>IF(OR(F677="",G677=""),"",F677*G677)</f>
        <v/>
      </c>
      <c r="J677" s="38">
        <f>IF(OR(F677="",G677=""),"",ROUND(G677*(1+F677/30),1))</f>
        <v/>
      </c>
      <c r="K677" s="26" t="n"/>
    </row>
    <row r="678" ht="18" customHeight="1">
      <c r="A678" s="35" t="n"/>
      <c r="B678" s="16">
        <f>IF(A678="","",IFERROR(INT((A678-DATE(2026,4,27))/7)+1,""))</f>
        <v/>
      </c>
      <c r="C678" s="16" t="n"/>
      <c r="D678" s="17" t="n"/>
      <c r="E678" s="16" t="n"/>
      <c r="F678" s="16" t="n"/>
      <c r="G678" s="36" t="n"/>
      <c r="H678" s="16" t="n"/>
      <c r="I678" s="19">
        <f>IF(OR(F678="",G678=""),"",F678*G678)</f>
        <v/>
      </c>
      <c r="J678" s="36">
        <f>IF(OR(F678="",G678=""),"",ROUND(G678*(1+F678/30),1))</f>
        <v/>
      </c>
      <c r="K678" s="20" t="n"/>
    </row>
    <row r="679" ht="18" customHeight="1">
      <c r="A679" s="37" t="n"/>
      <c r="B679" s="22">
        <f>IF(A679="","",IFERROR(INT((A679-DATE(2026,4,27))/7)+1,""))</f>
        <v/>
      </c>
      <c r="C679" s="22" t="n"/>
      <c r="D679" s="23" t="n"/>
      <c r="E679" s="22" t="n"/>
      <c r="F679" s="22" t="n"/>
      <c r="G679" s="38" t="n"/>
      <c r="H679" s="22" t="n"/>
      <c r="I679" s="25">
        <f>IF(OR(F679="",G679=""),"",F679*G679)</f>
        <v/>
      </c>
      <c r="J679" s="38">
        <f>IF(OR(F679="",G679=""),"",ROUND(G679*(1+F679/30),1))</f>
        <v/>
      </c>
      <c r="K679" s="26" t="n"/>
    </row>
    <row r="680" ht="18" customHeight="1">
      <c r="A680" s="35" t="n"/>
      <c r="B680" s="16">
        <f>IF(A680="","",IFERROR(INT((A680-DATE(2026,4,27))/7)+1,""))</f>
        <v/>
      </c>
      <c r="C680" s="16" t="n"/>
      <c r="D680" s="17" t="n"/>
      <c r="E680" s="16" t="n"/>
      <c r="F680" s="16" t="n"/>
      <c r="G680" s="36" t="n"/>
      <c r="H680" s="16" t="n"/>
      <c r="I680" s="19">
        <f>IF(OR(F680="",G680=""),"",F680*G680)</f>
        <v/>
      </c>
      <c r="J680" s="36">
        <f>IF(OR(F680="",G680=""),"",ROUND(G680*(1+F680/30),1))</f>
        <v/>
      </c>
      <c r="K680" s="20" t="n"/>
    </row>
    <row r="681" ht="18" customHeight="1">
      <c r="A681" s="37" t="n"/>
      <c r="B681" s="22">
        <f>IF(A681="","",IFERROR(INT((A681-DATE(2026,4,27))/7)+1,""))</f>
        <v/>
      </c>
      <c r="C681" s="22" t="n"/>
      <c r="D681" s="23" t="n"/>
      <c r="E681" s="22" t="n"/>
      <c r="F681" s="22" t="n"/>
      <c r="G681" s="38" t="n"/>
      <c r="H681" s="22" t="n"/>
      <c r="I681" s="25">
        <f>IF(OR(F681="",G681=""),"",F681*G681)</f>
        <v/>
      </c>
      <c r="J681" s="38">
        <f>IF(OR(F681="",G681=""),"",ROUND(G681*(1+F681/30),1))</f>
        <v/>
      </c>
      <c r="K681" s="26" t="n"/>
    </row>
    <row r="682" ht="18" customHeight="1">
      <c r="A682" s="35" t="n"/>
      <c r="B682" s="16">
        <f>IF(A682="","",IFERROR(INT((A682-DATE(2026,4,27))/7)+1,""))</f>
        <v/>
      </c>
      <c r="C682" s="16" t="n"/>
      <c r="D682" s="17" t="n"/>
      <c r="E682" s="16" t="n"/>
      <c r="F682" s="16" t="n"/>
      <c r="G682" s="36" t="n"/>
      <c r="H682" s="16" t="n"/>
      <c r="I682" s="19">
        <f>IF(OR(F682="",G682=""),"",F682*G682)</f>
        <v/>
      </c>
      <c r="J682" s="36">
        <f>IF(OR(F682="",G682=""),"",ROUND(G682*(1+F682/30),1))</f>
        <v/>
      </c>
      <c r="K682" s="20" t="n"/>
    </row>
    <row r="683" ht="18" customHeight="1">
      <c r="A683" s="37" t="n"/>
      <c r="B683" s="22">
        <f>IF(A683="","",IFERROR(INT((A683-DATE(2026,4,27))/7)+1,""))</f>
        <v/>
      </c>
      <c r="C683" s="22" t="n"/>
      <c r="D683" s="23" t="n"/>
      <c r="E683" s="22" t="n"/>
      <c r="F683" s="22" t="n"/>
      <c r="G683" s="38" t="n"/>
      <c r="H683" s="22" t="n"/>
      <c r="I683" s="25">
        <f>IF(OR(F683="",G683=""),"",F683*G683)</f>
        <v/>
      </c>
      <c r="J683" s="38">
        <f>IF(OR(F683="",G683=""),"",ROUND(G683*(1+F683/30),1))</f>
        <v/>
      </c>
      <c r="K683" s="26" t="n"/>
    </row>
    <row r="684" ht="18" customHeight="1">
      <c r="A684" s="35" t="n"/>
      <c r="B684" s="16">
        <f>IF(A684="","",IFERROR(INT((A684-DATE(2026,4,27))/7)+1,""))</f>
        <v/>
      </c>
      <c r="C684" s="16" t="n"/>
      <c r="D684" s="17" t="n"/>
      <c r="E684" s="16" t="n"/>
      <c r="F684" s="16" t="n"/>
      <c r="G684" s="36" t="n"/>
      <c r="H684" s="16" t="n"/>
      <c r="I684" s="19">
        <f>IF(OR(F684="",G684=""),"",F684*G684)</f>
        <v/>
      </c>
      <c r="J684" s="36">
        <f>IF(OR(F684="",G684=""),"",ROUND(G684*(1+F684/30),1))</f>
        <v/>
      </c>
      <c r="K684" s="20" t="n"/>
    </row>
    <row r="685" ht="18" customHeight="1">
      <c r="A685" s="37" t="n"/>
      <c r="B685" s="22">
        <f>IF(A685="","",IFERROR(INT((A685-DATE(2026,4,27))/7)+1,""))</f>
        <v/>
      </c>
      <c r="C685" s="22" t="n"/>
      <c r="D685" s="23" t="n"/>
      <c r="E685" s="22" t="n"/>
      <c r="F685" s="22" t="n"/>
      <c r="G685" s="38" t="n"/>
      <c r="H685" s="22" t="n"/>
      <c r="I685" s="25">
        <f>IF(OR(F685="",G685=""),"",F685*G685)</f>
        <v/>
      </c>
      <c r="J685" s="38">
        <f>IF(OR(F685="",G685=""),"",ROUND(G685*(1+F685/30),1))</f>
        <v/>
      </c>
      <c r="K685" s="26" t="n"/>
    </row>
    <row r="686" ht="18" customHeight="1">
      <c r="A686" s="35" t="n"/>
      <c r="B686" s="16">
        <f>IF(A686="","",IFERROR(INT((A686-DATE(2026,4,27))/7)+1,""))</f>
        <v/>
      </c>
      <c r="C686" s="16" t="n"/>
      <c r="D686" s="17" t="n"/>
      <c r="E686" s="16" t="n"/>
      <c r="F686" s="16" t="n"/>
      <c r="G686" s="36" t="n"/>
      <c r="H686" s="16" t="n"/>
      <c r="I686" s="19">
        <f>IF(OR(F686="",G686=""),"",F686*G686)</f>
        <v/>
      </c>
      <c r="J686" s="36">
        <f>IF(OR(F686="",G686=""),"",ROUND(G686*(1+F686/30),1))</f>
        <v/>
      </c>
      <c r="K686" s="20" t="n"/>
    </row>
    <row r="687" ht="18" customHeight="1">
      <c r="A687" s="37" t="n"/>
      <c r="B687" s="22">
        <f>IF(A687="","",IFERROR(INT((A687-DATE(2026,4,27))/7)+1,""))</f>
        <v/>
      </c>
      <c r="C687" s="22" t="n"/>
      <c r="D687" s="23" t="n"/>
      <c r="E687" s="22" t="n"/>
      <c r="F687" s="22" t="n"/>
      <c r="G687" s="38" t="n"/>
      <c r="H687" s="22" t="n"/>
      <c r="I687" s="25">
        <f>IF(OR(F687="",G687=""),"",F687*G687)</f>
        <v/>
      </c>
      <c r="J687" s="38">
        <f>IF(OR(F687="",G687=""),"",ROUND(G687*(1+F687/30),1))</f>
        <v/>
      </c>
      <c r="K687" s="26" t="n"/>
    </row>
    <row r="688" ht="18" customHeight="1">
      <c r="A688" s="35" t="n"/>
      <c r="B688" s="16">
        <f>IF(A688="","",IFERROR(INT((A688-DATE(2026,4,27))/7)+1,""))</f>
        <v/>
      </c>
      <c r="C688" s="16" t="n"/>
      <c r="D688" s="17" t="n"/>
      <c r="E688" s="16" t="n"/>
      <c r="F688" s="16" t="n"/>
      <c r="G688" s="36" t="n"/>
      <c r="H688" s="16" t="n"/>
      <c r="I688" s="19">
        <f>IF(OR(F688="",G688=""),"",F688*G688)</f>
        <v/>
      </c>
      <c r="J688" s="36">
        <f>IF(OR(F688="",G688=""),"",ROUND(G688*(1+F688/30),1))</f>
        <v/>
      </c>
      <c r="K688" s="20" t="n"/>
    </row>
    <row r="689" ht="18" customHeight="1">
      <c r="A689" s="37" t="n"/>
      <c r="B689" s="22">
        <f>IF(A689="","",IFERROR(INT((A689-DATE(2026,4,27))/7)+1,""))</f>
        <v/>
      </c>
      <c r="C689" s="22" t="n"/>
      <c r="D689" s="23" t="n"/>
      <c r="E689" s="22" t="n"/>
      <c r="F689" s="22" t="n"/>
      <c r="G689" s="38" t="n"/>
      <c r="H689" s="22" t="n"/>
      <c r="I689" s="25">
        <f>IF(OR(F689="",G689=""),"",F689*G689)</f>
        <v/>
      </c>
      <c r="J689" s="38">
        <f>IF(OR(F689="",G689=""),"",ROUND(G689*(1+F689/30),1))</f>
        <v/>
      </c>
      <c r="K689" s="26" t="n"/>
    </row>
    <row r="690" ht="18" customHeight="1">
      <c r="A690" s="35" t="n"/>
      <c r="B690" s="16">
        <f>IF(A690="","",IFERROR(INT((A690-DATE(2026,4,27))/7)+1,""))</f>
        <v/>
      </c>
      <c r="C690" s="16" t="n"/>
      <c r="D690" s="17" t="n"/>
      <c r="E690" s="16" t="n"/>
      <c r="F690" s="16" t="n"/>
      <c r="G690" s="36" t="n"/>
      <c r="H690" s="16" t="n"/>
      <c r="I690" s="19">
        <f>IF(OR(F690="",G690=""),"",F690*G690)</f>
        <v/>
      </c>
      <c r="J690" s="36">
        <f>IF(OR(F690="",G690=""),"",ROUND(G690*(1+F690/30),1))</f>
        <v/>
      </c>
      <c r="K690" s="20" t="n"/>
    </row>
    <row r="691" ht="18" customHeight="1">
      <c r="A691" s="37" t="n"/>
      <c r="B691" s="22">
        <f>IF(A691="","",IFERROR(INT((A691-DATE(2026,4,27))/7)+1,""))</f>
        <v/>
      </c>
      <c r="C691" s="22" t="n"/>
      <c r="D691" s="23" t="n"/>
      <c r="E691" s="22" t="n"/>
      <c r="F691" s="22" t="n"/>
      <c r="G691" s="38" t="n"/>
      <c r="H691" s="22" t="n"/>
      <c r="I691" s="25">
        <f>IF(OR(F691="",G691=""),"",F691*G691)</f>
        <v/>
      </c>
      <c r="J691" s="38">
        <f>IF(OR(F691="",G691=""),"",ROUND(G691*(1+F691/30),1))</f>
        <v/>
      </c>
      <c r="K691" s="26" t="n"/>
    </row>
    <row r="692" ht="18" customHeight="1">
      <c r="A692" s="35" t="n"/>
      <c r="B692" s="16">
        <f>IF(A692="","",IFERROR(INT((A692-DATE(2026,4,27))/7)+1,""))</f>
        <v/>
      </c>
      <c r="C692" s="16" t="n"/>
      <c r="D692" s="17" t="n"/>
      <c r="E692" s="16" t="n"/>
      <c r="F692" s="16" t="n"/>
      <c r="G692" s="36" t="n"/>
      <c r="H692" s="16" t="n"/>
      <c r="I692" s="19">
        <f>IF(OR(F692="",G692=""),"",F692*G692)</f>
        <v/>
      </c>
      <c r="J692" s="36">
        <f>IF(OR(F692="",G692=""),"",ROUND(G692*(1+F692/30),1))</f>
        <v/>
      </c>
      <c r="K692" s="20" t="n"/>
    </row>
    <row r="693" ht="18" customHeight="1">
      <c r="A693" s="37" t="n"/>
      <c r="B693" s="22">
        <f>IF(A693="","",IFERROR(INT((A693-DATE(2026,4,27))/7)+1,""))</f>
        <v/>
      </c>
      <c r="C693" s="22" t="n"/>
      <c r="D693" s="23" t="n"/>
      <c r="E693" s="22" t="n"/>
      <c r="F693" s="22" t="n"/>
      <c r="G693" s="38" t="n"/>
      <c r="H693" s="22" t="n"/>
      <c r="I693" s="25">
        <f>IF(OR(F693="",G693=""),"",F693*G693)</f>
        <v/>
      </c>
      <c r="J693" s="38">
        <f>IF(OR(F693="",G693=""),"",ROUND(G693*(1+F693/30),1))</f>
        <v/>
      </c>
      <c r="K693" s="26" t="n"/>
    </row>
    <row r="694" ht="18" customHeight="1">
      <c r="A694" s="35" t="n"/>
      <c r="B694" s="16">
        <f>IF(A694="","",IFERROR(INT((A694-DATE(2026,4,27))/7)+1,""))</f>
        <v/>
      </c>
      <c r="C694" s="16" t="n"/>
      <c r="D694" s="17" t="n"/>
      <c r="E694" s="16" t="n"/>
      <c r="F694" s="16" t="n"/>
      <c r="G694" s="36" t="n"/>
      <c r="H694" s="16" t="n"/>
      <c r="I694" s="19">
        <f>IF(OR(F694="",G694=""),"",F694*G694)</f>
        <v/>
      </c>
      <c r="J694" s="36">
        <f>IF(OR(F694="",G694=""),"",ROUND(G694*(1+F694/30),1))</f>
        <v/>
      </c>
      <c r="K694" s="20" t="n"/>
    </row>
    <row r="695" ht="18" customHeight="1">
      <c r="A695" s="37" t="n"/>
      <c r="B695" s="22">
        <f>IF(A695="","",IFERROR(INT((A695-DATE(2026,4,27))/7)+1,""))</f>
        <v/>
      </c>
      <c r="C695" s="22" t="n"/>
      <c r="D695" s="23" t="n"/>
      <c r="E695" s="22" t="n"/>
      <c r="F695" s="22" t="n"/>
      <c r="G695" s="38" t="n"/>
      <c r="H695" s="22" t="n"/>
      <c r="I695" s="25">
        <f>IF(OR(F695="",G695=""),"",F695*G695)</f>
        <v/>
      </c>
      <c r="J695" s="38">
        <f>IF(OR(F695="",G695=""),"",ROUND(G695*(1+F695/30),1))</f>
        <v/>
      </c>
      <c r="K695" s="26" t="n"/>
    </row>
    <row r="696" ht="18" customHeight="1">
      <c r="A696" s="35" t="n"/>
      <c r="B696" s="16">
        <f>IF(A696="","",IFERROR(INT((A696-DATE(2026,4,27))/7)+1,""))</f>
        <v/>
      </c>
      <c r="C696" s="16" t="n"/>
      <c r="D696" s="17" t="n"/>
      <c r="E696" s="16" t="n"/>
      <c r="F696" s="16" t="n"/>
      <c r="G696" s="36" t="n"/>
      <c r="H696" s="16" t="n"/>
      <c r="I696" s="19">
        <f>IF(OR(F696="",G696=""),"",F696*G696)</f>
        <v/>
      </c>
      <c r="J696" s="36">
        <f>IF(OR(F696="",G696=""),"",ROUND(G696*(1+F696/30),1))</f>
        <v/>
      </c>
      <c r="K696" s="20" t="n"/>
    </row>
    <row r="697" ht="18" customHeight="1">
      <c r="A697" s="37" t="n"/>
      <c r="B697" s="22">
        <f>IF(A697="","",IFERROR(INT((A697-DATE(2026,4,27))/7)+1,""))</f>
        <v/>
      </c>
      <c r="C697" s="22" t="n"/>
      <c r="D697" s="23" t="n"/>
      <c r="E697" s="22" t="n"/>
      <c r="F697" s="22" t="n"/>
      <c r="G697" s="38" t="n"/>
      <c r="H697" s="22" t="n"/>
      <c r="I697" s="25">
        <f>IF(OR(F697="",G697=""),"",F697*G697)</f>
        <v/>
      </c>
      <c r="J697" s="38">
        <f>IF(OR(F697="",G697=""),"",ROUND(G697*(1+F697/30),1))</f>
        <v/>
      </c>
      <c r="K697" s="26" t="n"/>
    </row>
    <row r="698" ht="18" customHeight="1">
      <c r="A698" s="35" t="n"/>
      <c r="B698" s="16">
        <f>IF(A698="","",IFERROR(INT((A698-DATE(2026,4,27))/7)+1,""))</f>
        <v/>
      </c>
      <c r="C698" s="16" t="n"/>
      <c r="D698" s="17" t="n"/>
      <c r="E698" s="16" t="n"/>
      <c r="F698" s="16" t="n"/>
      <c r="G698" s="36" t="n"/>
      <c r="H698" s="16" t="n"/>
      <c r="I698" s="19">
        <f>IF(OR(F698="",G698=""),"",F698*G698)</f>
        <v/>
      </c>
      <c r="J698" s="36">
        <f>IF(OR(F698="",G698=""),"",ROUND(G698*(1+F698/30),1))</f>
        <v/>
      </c>
      <c r="K698" s="20" t="n"/>
    </row>
    <row r="699" ht="18" customHeight="1">
      <c r="A699" s="37" t="n"/>
      <c r="B699" s="22">
        <f>IF(A699="","",IFERROR(INT((A699-DATE(2026,4,27))/7)+1,""))</f>
        <v/>
      </c>
      <c r="C699" s="22" t="n"/>
      <c r="D699" s="23" t="n"/>
      <c r="E699" s="22" t="n"/>
      <c r="F699" s="22" t="n"/>
      <c r="G699" s="38" t="n"/>
      <c r="H699" s="22" t="n"/>
      <c r="I699" s="25">
        <f>IF(OR(F699="",G699=""),"",F699*G699)</f>
        <v/>
      </c>
      <c r="J699" s="38">
        <f>IF(OR(F699="",G699=""),"",ROUND(G699*(1+F699/30),1))</f>
        <v/>
      </c>
      <c r="K699" s="26" t="n"/>
    </row>
    <row r="700" ht="18" customHeight="1">
      <c r="A700" s="35" t="n"/>
      <c r="B700" s="16">
        <f>IF(A700="","",IFERROR(INT((A700-DATE(2026,4,27))/7)+1,""))</f>
        <v/>
      </c>
      <c r="C700" s="16" t="n"/>
      <c r="D700" s="17" t="n"/>
      <c r="E700" s="16" t="n"/>
      <c r="F700" s="16" t="n"/>
      <c r="G700" s="36" t="n"/>
      <c r="H700" s="16" t="n"/>
      <c r="I700" s="19">
        <f>IF(OR(F700="",G700=""),"",F700*G700)</f>
        <v/>
      </c>
      <c r="J700" s="36">
        <f>IF(OR(F700="",G700=""),"",ROUND(G700*(1+F700/30),1))</f>
        <v/>
      </c>
      <c r="K700" s="20" t="n"/>
    </row>
    <row r="701" ht="18" customHeight="1">
      <c r="A701" s="37" t="n"/>
      <c r="B701" s="22">
        <f>IF(A701="","",IFERROR(INT((A701-DATE(2026,4,27))/7)+1,""))</f>
        <v/>
      </c>
      <c r="C701" s="22" t="n"/>
      <c r="D701" s="23" t="n"/>
      <c r="E701" s="22" t="n"/>
      <c r="F701" s="22" t="n"/>
      <c r="G701" s="38" t="n"/>
      <c r="H701" s="22" t="n"/>
      <c r="I701" s="25">
        <f>IF(OR(F701="",G701=""),"",F701*G701)</f>
        <v/>
      </c>
      <c r="J701" s="38">
        <f>IF(OR(F701="",G701=""),"",ROUND(G701*(1+F701/30),1))</f>
        <v/>
      </c>
      <c r="K701" s="26" t="n"/>
    </row>
    <row r="702" ht="18" customHeight="1">
      <c r="A702" s="35" t="n"/>
      <c r="B702" s="16">
        <f>IF(A702="","",IFERROR(INT((A702-DATE(2026,4,27))/7)+1,""))</f>
        <v/>
      </c>
      <c r="C702" s="16" t="n"/>
      <c r="D702" s="17" t="n"/>
      <c r="E702" s="16" t="n"/>
      <c r="F702" s="16" t="n"/>
      <c r="G702" s="36" t="n"/>
      <c r="H702" s="16" t="n"/>
      <c r="I702" s="19">
        <f>IF(OR(F702="",G702=""),"",F702*G702)</f>
        <v/>
      </c>
      <c r="J702" s="36">
        <f>IF(OR(F702="",G702=""),"",ROUND(G702*(1+F702/30),1))</f>
        <v/>
      </c>
      <c r="K702" s="20" t="n"/>
    </row>
    <row r="703" ht="18" customHeight="1">
      <c r="A703" s="37" t="n"/>
      <c r="B703" s="22">
        <f>IF(A703="","",IFERROR(INT((A703-DATE(2026,4,27))/7)+1,""))</f>
        <v/>
      </c>
      <c r="C703" s="22" t="n"/>
      <c r="D703" s="23" t="n"/>
      <c r="E703" s="22" t="n"/>
      <c r="F703" s="22" t="n"/>
      <c r="G703" s="38" t="n"/>
      <c r="H703" s="22" t="n"/>
      <c r="I703" s="25">
        <f>IF(OR(F703="",G703=""),"",F703*G703)</f>
        <v/>
      </c>
      <c r="J703" s="38">
        <f>IF(OR(F703="",G703=""),"",ROUND(G703*(1+F703/30),1))</f>
        <v/>
      </c>
      <c r="K703" s="26" t="n"/>
    </row>
    <row r="704" ht="18" customHeight="1">
      <c r="A704" s="35" t="n"/>
      <c r="B704" s="16">
        <f>IF(A704="","",IFERROR(INT((A704-DATE(2026,4,27))/7)+1,""))</f>
        <v/>
      </c>
      <c r="C704" s="16" t="n"/>
      <c r="D704" s="17" t="n"/>
      <c r="E704" s="16" t="n"/>
      <c r="F704" s="16" t="n"/>
      <c r="G704" s="36" t="n"/>
      <c r="H704" s="16" t="n"/>
      <c r="I704" s="19">
        <f>IF(OR(F704="",G704=""),"",F704*G704)</f>
        <v/>
      </c>
      <c r="J704" s="36">
        <f>IF(OR(F704="",G704=""),"",ROUND(G704*(1+F704/30),1))</f>
        <v/>
      </c>
      <c r="K704" s="20" t="n"/>
    </row>
    <row r="705" ht="18" customHeight="1">
      <c r="A705" s="37" t="n"/>
      <c r="B705" s="22">
        <f>IF(A705="","",IFERROR(INT((A705-DATE(2026,4,27))/7)+1,""))</f>
        <v/>
      </c>
      <c r="C705" s="22" t="n"/>
      <c r="D705" s="23" t="n"/>
      <c r="E705" s="22" t="n"/>
      <c r="F705" s="22" t="n"/>
      <c r="G705" s="38" t="n"/>
      <c r="H705" s="22" t="n"/>
      <c r="I705" s="25">
        <f>IF(OR(F705="",G705=""),"",F705*G705)</f>
        <v/>
      </c>
      <c r="J705" s="38">
        <f>IF(OR(F705="",G705=""),"",ROUND(G705*(1+F705/30),1))</f>
        <v/>
      </c>
      <c r="K705" s="26" t="n"/>
    </row>
    <row r="706" ht="18" customHeight="1">
      <c r="A706" s="35" t="n"/>
      <c r="B706" s="16">
        <f>IF(A706="","",IFERROR(INT((A706-DATE(2026,4,27))/7)+1,""))</f>
        <v/>
      </c>
      <c r="C706" s="16" t="n"/>
      <c r="D706" s="17" t="n"/>
      <c r="E706" s="16" t="n"/>
      <c r="F706" s="16" t="n"/>
      <c r="G706" s="36" t="n"/>
      <c r="H706" s="16" t="n"/>
      <c r="I706" s="19">
        <f>IF(OR(F706="",G706=""),"",F706*G706)</f>
        <v/>
      </c>
      <c r="J706" s="36">
        <f>IF(OR(F706="",G706=""),"",ROUND(G706*(1+F706/30),1))</f>
        <v/>
      </c>
      <c r="K706" s="20" t="n"/>
    </row>
    <row r="707" ht="18" customHeight="1">
      <c r="A707" s="37" t="n"/>
      <c r="B707" s="22">
        <f>IF(A707="","",IFERROR(INT((A707-DATE(2026,4,27))/7)+1,""))</f>
        <v/>
      </c>
      <c r="C707" s="22" t="n"/>
      <c r="D707" s="23" t="n"/>
      <c r="E707" s="22" t="n"/>
      <c r="F707" s="22" t="n"/>
      <c r="G707" s="38" t="n"/>
      <c r="H707" s="22" t="n"/>
      <c r="I707" s="25">
        <f>IF(OR(F707="",G707=""),"",F707*G707)</f>
        <v/>
      </c>
      <c r="J707" s="38">
        <f>IF(OR(F707="",G707=""),"",ROUND(G707*(1+F707/30),1))</f>
        <v/>
      </c>
      <c r="K707" s="26" t="n"/>
    </row>
    <row r="708" ht="18" customHeight="1">
      <c r="A708" s="35" t="n"/>
      <c r="B708" s="16">
        <f>IF(A708="","",IFERROR(INT((A708-DATE(2026,4,27))/7)+1,""))</f>
        <v/>
      </c>
      <c r="C708" s="16" t="n"/>
      <c r="D708" s="17" t="n"/>
      <c r="E708" s="16" t="n"/>
      <c r="F708" s="16" t="n"/>
      <c r="G708" s="36" t="n"/>
      <c r="H708" s="16" t="n"/>
      <c r="I708" s="19">
        <f>IF(OR(F708="",G708=""),"",F708*G708)</f>
        <v/>
      </c>
      <c r="J708" s="36">
        <f>IF(OR(F708="",G708=""),"",ROUND(G708*(1+F708/30),1))</f>
        <v/>
      </c>
      <c r="K708" s="20" t="n"/>
    </row>
    <row r="709" ht="18" customHeight="1">
      <c r="A709" s="37" t="n"/>
      <c r="B709" s="22">
        <f>IF(A709="","",IFERROR(INT((A709-DATE(2026,4,27))/7)+1,""))</f>
        <v/>
      </c>
      <c r="C709" s="22" t="n"/>
      <c r="D709" s="23" t="n"/>
      <c r="E709" s="22" t="n"/>
      <c r="F709" s="22" t="n"/>
      <c r="G709" s="38" t="n"/>
      <c r="H709" s="22" t="n"/>
      <c r="I709" s="25">
        <f>IF(OR(F709="",G709=""),"",F709*G709)</f>
        <v/>
      </c>
      <c r="J709" s="38">
        <f>IF(OR(F709="",G709=""),"",ROUND(G709*(1+F709/30),1))</f>
        <v/>
      </c>
      <c r="K709" s="26" t="n"/>
    </row>
    <row r="710" ht="18" customHeight="1">
      <c r="A710" s="35" t="n"/>
      <c r="B710" s="16">
        <f>IF(A710="","",IFERROR(INT((A710-DATE(2026,4,27))/7)+1,""))</f>
        <v/>
      </c>
      <c r="C710" s="16" t="n"/>
      <c r="D710" s="17" t="n"/>
      <c r="E710" s="16" t="n"/>
      <c r="F710" s="16" t="n"/>
      <c r="G710" s="36" t="n"/>
      <c r="H710" s="16" t="n"/>
      <c r="I710" s="19">
        <f>IF(OR(F710="",G710=""),"",F710*G710)</f>
        <v/>
      </c>
      <c r="J710" s="36">
        <f>IF(OR(F710="",G710=""),"",ROUND(G710*(1+F710/30),1))</f>
        <v/>
      </c>
      <c r="K710" s="20" t="n"/>
    </row>
    <row r="711" ht="18" customHeight="1">
      <c r="A711" s="37" t="n"/>
      <c r="B711" s="22">
        <f>IF(A711="","",IFERROR(INT((A711-DATE(2026,4,27))/7)+1,""))</f>
        <v/>
      </c>
      <c r="C711" s="22" t="n"/>
      <c r="D711" s="23" t="n"/>
      <c r="E711" s="22" t="n"/>
      <c r="F711" s="22" t="n"/>
      <c r="G711" s="38" t="n"/>
      <c r="H711" s="22" t="n"/>
      <c r="I711" s="25">
        <f>IF(OR(F711="",G711=""),"",F711*G711)</f>
        <v/>
      </c>
      <c r="J711" s="38">
        <f>IF(OR(F711="",G711=""),"",ROUND(G711*(1+F711/30),1))</f>
        <v/>
      </c>
      <c r="K711" s="26" t="n"/>
    </row>
    <row r="712" ht="18" customHeight="1">
      <c r="A712" s="35" t="n"/>
      <c r="B712" s="16">
        <f>IF(A712="","",IFERROR(INT((A712-DATE(2026,4,27))/7)+1,""))</f>
        <v/>
      </c>
      <c r="C712" s="16" t="n"/>
      <c r="D712" s="17" t="n"/>
      <c r="E712" s="16" t="n"/>
      <c r="F712" s="16" t="n"/>
      <c r="G712" s="36" t="n"/>
      <c r="H712" s="16" t="n"/>
      <c r="I712" s="19">
        <f>IF(OR(F712="",G712=""),"",F712*G712)</f>
        <v/>
      </c>
      <c r="J712" s="36">
        <f>IF(OR(F712="",G712=""),"",ROUND(G712*(1+F712/30),1))</f>
        <v/>
      </c>
      <c r="K712" s="20" t="n"/>
    </row>
    <row r="713" ht="18" customHeight="1">
      <c r="A713" s="37" t="n"/>
      <c r="B713" s="22">
        <f>IF(A713="","",IFERROR(INT((A713-DATE(2026,4,27))/7)+1,""))</f>
        <v/>
      </c>
      <c r="C713" s="22" t="n"/>
      <c r="D713" s="23" t="n"/>
      <c r="E713" s="22" t="n"/>
      <c r="F713" s="22" t="n"/>
      <c r="G713" s="38" t="n"/>
      <c r="H713" s="22" t="n"/>
      <c r="I713" s="25">
        <f>IF(OR(F713="",G713=""),"",F713*G713)</f>
        <v/>
      </c>
      <c r="J713" s="38">
        <f>IF(OR(F713="",G713=""),"",ROUND(G713*(1+F713/30),1))</f>
        <v/>
      </c>
      <c r="K713" s="26" t="n"/>
    </row>
    <row r="714" ht="18" customHeight="1">
      <c r="A714" s="35" t="n"/>
      <c r="B714" s="16">
        <f>IF(A714="","",IFERROR(INT((A714-DATE(2026,4,27))/7)+1,""))</f>
        <v/>
      </c>
      <c r="C714" s="16" t="n"/>
      <c r="D714" s="17" t="n"/>
      <c r="E714" s="16" t="n"/>
      <c r="F714" s="16" t="n"/>
      <c r="G714" s="36" t="n"/>
      <c r="H714" s="16" t="n"/>
      <c r="I714" s="19">
        <f>IF(OR(F714="",G714=""),"",F714*G714)</f>
        <v/>
      </c>
      <c r="J714" s="36">
        <f>IF(OR(F714="",G714=""),"",ROUND(G714*(1+F714/30),1))</f>
        <v/>
      </c>
      <c r="K714" s="20" t="n"/>
    </row>
    <row r="715" ht="18" customHeight="1">
      <c r="A715" s="37" t="n"/>
      <c r="B715" s="22">
        <f>IF(A715="","",IFERROR(INT((A715-DATE(2026,4,27))/7)+1,""))</f>
        <v/>
      </c>
      <c r="C715" s="22" t="n"/>
      <c r="D715" s="23" t="n"/>
      <c r="E715" s="22" t="n"/>
      <c r="F715" s="22" t="n"/>
      <c r="G715" s="38" t="n"/>
      <c r="H715" s="22" t="n"/>
      <c r="I715" s="25">
        <f>IF(OR(F715="",G715=""),"",F715*G715)</f>
        <v/>
      </c>
      <c r="J715" s="38">
        <f>IF(OR(F715="",G715=""),"",ROUND(G715*(1+F715/30),1))</f>
        <v/>
      </c>
      <c r="K715" s="26" t="n"/>
    </row>
    <row r="716" ht="18" customHeight="1">
      <c r="A716" s="35" t="n"/>
      <c r="B716" s="16">
        <f>IF(A716="","",IFERROR(INT((A716-DATE(2026,4,27))/7)+1,""))</f>
        <v/>
      </c>
      <c r="C716" s="16" t="n"/>
      <c r="D716" s="17" t="n"/>
      <c r="E716" s="16" t="n"/>
      <c r="F716" s="16" t="n"/>
      <c r="G716" s="36" t="n"/>
      <c r="H716" s="16" t="n"/>
      <c r="I716" s="19">
        <f>IF(OR(F716="",G716=""),"",F716*G716)</f>
        <v/>
      </c>
      <c r="J716" s="36">
        <f>IF(OR(F716="",G716=""),"",ROUND(G716*(1+F716/30),1))</f>
        <v/>
      </c>
      <c r="K716" s="20" t="n"/>
    </row>
    <row r="717" ht="18" customHeight="1">
      <c r="A717" s="37" t="n"/>
      <c r="B717" s="22">
        <f>IF(A717="","",IFERROR(INT((A717-DATE(2026,4,27))/7)+1,""))</f>
        <v/>
      </c>
      <c r="C717" s="22" t="n"/>
      <c r="D717" s="23" t="n"/>
      <c r="E717" s="22" t="n"/>
      <c r="F717" s="22" t="n"/>
      <c r="G717" s="38" t="n"/>
      <c r="H717" s="22" t="n"/>
      <c r="I717" s="25">
        <f>IF(OR(F717="",G717=""),"",F717*G717)</f>
        <v/>
      </c>
      <c r="J717" s="38">
        <f>IF(OR(F717="",G717=""),"",ROUND(G717*(1+F717/30),1))</f>
        <v/>
      </c>
      <c r="K717" s="26" t="n"/>
    </row>
    <row r="718" ht="18" customHeight="1">
      <c r="A718" s="35" t="n"/>
      <c r="B718" s="16">
        <f>IF(A718="","",IFERROR(INT((A718-DATE(2026,4,27))/7)+1,""))</f>
        <v/>
      </c>
      <c r="C718" s="16" t="n"/>
      <c r="D718" s="17" t="n"/>
      <c r="E718" s="16" t="n"/>
      <c r="F718" s="16" t="n"/>
      <c r="G718" s="36" t="n"/>
      <c r="H718" s="16" t="n"/>
      <c r="I718" s="19">
        <f>IF(OR(F718="",G718=""),"",F718*G718)</f>
        <v/>
      </c>
      <c r="J718" s="36">
        <f>IF(OR(F718="",G718=""),"",ROUND(G718*(1+F718/30),1))</f>
        <v/>
      </c>
      <c r="K718" s="20" t="n"/>
    </row>
    <row r="719" ht="18" customHeight="1">
      <c r="A719" s="37" t="n"/>
      <c r="B719" s="22">
        <f>IF(A719="","",IFERROR(INT((A719-DATE(2026,4,27))/7)+1,""))</f>
        <v/>
      </c>
      <c r="C719" s="22" t="n"/>
      <c r="D719" s="23" t="n"/>
      <c r="E719" s="22" t="n"/>
      <c r="F719" s="22" t="n"/>
      <c r="G719" s="38" t="n"/>
      <c r="H719" s="22" t="n"/>
      <c r="I719" s="25">
        <f>IF(OR(F719="",G719=""),"",F719*G719)</f>
        <v/>
      </c>
      <c r="J719" s="38">
        <f>IF(OR(F719="",G719=""),"",ROUND(G719*(1+F719/30),1))</f>
        <v/>
      </c>
      <c r="K719" s="26" t="n"/>
    </row>
    <row r="720" ht="18" customHeight="1">
      <c r="A720" s="35" t="n"/>
      <c r="B720" s="16">
        <f>IF(A720="","",IFERROR(INT((A720-DATE(2026,4,27))/7)+1,""))</f>
        <v/>
      </c>
      <c r="C720" s="16" t="n"/>
      <c r="D720" s="17" t="n"/>
      <c r="E720" s="16" t="n"/>
      <c r="F720" s="16" t="n"/>
      <c r="G720" s="36" t="n"/>
      <c r="H720" s="16" t="n"/>
      <c r="I720" s="19">
        <f>IF(OR(F720="",G720=""),"",F720*G720)</f>
        <v/>
      </c>
      <c r="J720" s="36">
        <f>IF(OR(F720="",G720=""),"",ROUND(G720*(1+F720/30),1))</f>
        <v/>
      </c>
      <c r="K720" s="20" t="n"/>
    </row>
    <row r="721" ht="18" customHeight="1">
      <c r="A721" s="37" t="n"/>
      <c r="B721" s="22">
        <f>IF(A721="","",IFERROR(INT((A721-DATE(2026,4,27))/7)+1,""))</f>
        <v/>
      </c>
      <c r="C721" s="22" t="n"/>
      <c r="D721" s="23" t="n"/>
      <c r="E721" s="22" t="n"/>
      <c r="F721" s="22" t="n"/>
      <c r="G721" s="38" t="n"/>
      <c r="H721" s="22" t="n"/>
      <c r="I721" s="25">
        <f>IF(OR(F721="",G721=""),"",F721*G721)</f>
        <v/>
      </c>
      <c r="J721" s="38">
        <f>IF(OR(F721="",G721=""),"",ROUND(G721*(1+F721/30),1))</f>
        <v/>
      </c>
      <c r="K721" s="26" t="n"/>
    </row>
    <row r="722" ht="18" customHeight="1">
      <c r="A722" s="35" t="n"/>
      <c r="B722" s="16">
        <f>IF(A722="","",IFERROR(INT((A722-DATE(2026,4,27))/7)+1,""))</f>
        <v/>
      </c>
      <c r="C722" s="16" t="n"/>
      <c r="D722" s="17" t="n"/>
      <c r="E722" s="16" t="n"/>
      <c r="F722" s="16" t="n"/>
      <c r="G722" s="36" t="n"/>
      <c r="H722" s="16" t="n"/>
      <c r="I722" s="19">
        <f>IF(OR(F722="",G722=""),"",F722*G722)</f>
        <v/>
      </c>
      <c r="J722" s="36">
        <f>IF(OR(F722="",G722=""),"",ROUND(G722*(1+F722/30),1))</f>
        <v/>
      </c>
      <c r="K722" s="20" t="n"/>
    </row>
    <row r="723" ht="18" customHeight="1">
      <c r="A723" s="37" t="n"/>
      <c r="B723" s="22">
        <f>IF(A723="","",IFERROR(INT((A723-DATE(2026,4,27))/7)+1,""))</f>
        <v/>
      </c>
      <c r="C723" s="22" t="n"/>
      <c r="D723" s="23" t="n"/>
      <c r="E723" s="22" t="n"/>
      <c r="F723" s="22" t="n"/>
      <c r="G723" s="38" t="n"/>
      <c r="H723" s="22" t="n"/>
      <c r="I723" s="25">
        <f>IF(OR(F723="",G723=""),"",F723*G723)</f>
        <v/>
      </c>
      <c r="J723" s="38">
        <f>IF(OR(F723="",G723=""),"",ROUND(G723*(1+F723/30),1))</f>
        <v/>
      </c>
      <c r="K723" s="26" t="n"/>
    </row>
    <row r="724" ht="18" customHeight="1">
      <c r="A724" s="35" t="n"/>
      <c r="B724" s="16">
        <f>IF(A724="","",IFERROR(INT((A724-DATE(2026,4,27))/7)+1,""))</f>
        <v/>
      </c>
      <c r="C724" s="16" t="n"/>
      <c r="D724" s="17" t="n"/>
      <c r="E724" s="16" t="n"/>
      <c r="F724" s="16" t="n"/>
      <c r="G724" s="36" t="n"/>
      <c r="H724" s="16" t="n"/>
      <c r="I724" s="19">
        <f>IF(OR(F724="",G724=""),"",F724*G724)</f>
        <v/>
      </c>
      <c r="J724" s="36">
        <f>IF(OR(F724="",G724=""),"",ROUND(G724*(1+F724/30),1))</f>
        <v/>
      </c>
      <c r="K724" s="20" t="n"/>
    </row>
    <row r="725" ht="18" customHeight="1">
      <c r="A725" s="37" t="n"/>
      <c r="B725" s="22">
        <f>IF(A725="","",IFERROR(INT((A725-DATE(2026,4,27))/7)+1,""))</f>
        <v/>
      </c>
      <c r="C725" s="22" t="n"/>
      <c r="D725" s="23" t="n"/>
      <c r="E725" s="22" t="n"/>
      <c r="F725" s="22" t="n"/>
      <c r="G725" s="38" t="n"/>
      <c r="H725" s="22" t="n"/>
      <c r="I725" s="25">
        <f>IF(OR(F725="",G725=""),"",F725*G725)</f>
        <v/>
      </c>
      <c r="J725" s="38">
        <f>IF(OR(F725="",G725=""),"",ROUND(G725*(1+F725/30),1))</f>
        <v/>
      </c>
      <c r="K725" s="26" t="n"/>
    </row>
    <row r="726" ht="18" customHeight="1">
      <c r="A726" s="35" t="n"/>
      <c r="B726" s="16">
        <f>IF(A726="","",IFERROR(INT((A726-DATE(2026,4,27))/7)+1,""))</f>
        <v/>
      </c>
      <c r="C726" s="16" t="n"/>
      <c r="D726" s="17" t="n"/>
      <c r="E726" s="16" t="n"/>
      <c r="F726" s="16" t="n"/>
      <c r="G726" s="36" t="n"/>
      <c r="H726" s="16" t="n"/>
      <c r="I726" s="19">
        <f>IF(OR(F726="",G726=""),"",F726*G726)</f>
        <v/>
      </c>
      <c r="J726" s="36">
        <f>IF(OR(F726="",G726=""),"",ROUND(G726*(1+F726/30),1))</f>
        <v/>
      </c>
      <c r="K726" s="20" t="n"/>
    </row>
    <row r="727" ht="18" customHeight="1">
      <c r="A727" s="37" t="n"/>
      <c r="B727" s="22">
        <f>IF(A727="","",IFERROR(INT((A727-DATE(2026,4,27))/7)+1,""))</f>
        <v/>
      </c>
      <c r="C727" s="22" t="n"/>
      <c r="D727" s="23" t="n"/>
      <c r="E727" s="22" t="n"/>
      <c r="F727" s="22" t="n"/>
      <c r="G727" s="38" t="n"/>
      <c r="H727" s="22" t="n"/>
      <c r="I727" s="25">
        <f>IF(OR(F727="",G727=""),"",F727*G727)</f>
        <v/>
      </c>
      <c r="J727" s="38">
        <f>IF(OR(F727="",G727=""),"",ROUND(G727*(1+F727/30),1))</f>
        <v/>
      </c>
      <c r="K727" s="26" t="n"/>
    </row>
    <row r="728" ht="18" customHeight="1">
      <c r="A728" s="35" t="n"/>
      <c r="B728" s="16">
        <f>IF(A728="","",IFERROR(INT((A728-DATE(2026,4,27))/7)+1,""))</f>
        <v/>
      </c>
      <c r="C728" s="16" t="n"/>
      <c r="D728" s="17" t="n"/>
      <c r="E728" s="16" t="n"/>
      <c r="F728" s="16" t="n"/>
      <c r="G728" s="36" t="n"/>
      <c r="H728" s="16" t="n"/>
      <c r="I728" s="19">
        <f>IF(OR(F728="",G728=""),"",F728*G728)</f>
        <v/>
      </c>
      <c r="J728" s="36">
        <f>IF(OR(F728="",G728=""),"",ROUND(G728*(1+F728/30),1))</f>
        <v/>
      </c>
      <c r="K728" s="20" t="n"/>
    </row>
    <row r="729" ht="18" customHeight="1">
      <c r="A729" s="37" t="n"/>
      <c r="B729" s="22">
        <f>IF(A729="","",IFERROR(INT((A729-DATE(2026,4,27))/7)+1,""))</f>
        <v/>
      </c>
      <c r="C729" s="22" t="n"/>
      <c r="D729" s="23" t="n"/>
      <c r="E729" s="22" t="n"/>
      <c r="F729" s="22" t="n"/>
      <c r="G729" s="38" t="n"/>
      <c r="H729" s="22" t="n"/>
      <c r="I729" s="25">
        <f>IF(OR(F729="",G729=""),"",F729*G729)</f>
        <v/>
      </c>
      <c r="J729" s="38">
        <f>IF(OR(F729="",G729=""),"",ROUND(G729*(1+F729/30),1))</f>
        <v/>
      </c>
      <c r="K729" s="26" t="n"/>
    </row>
    <row r="730" ht="18" customHeight="1">
      <c r="A730" s="35" t="n"/>
      <c r="B730" s="16">
        <f>IF(A730="","",IFERROR(INT((A730-DATE(2026,4,27))/7)+1,""))</f>
        <v/>
      </c>
      <c r="C730" s="16" t="n"/>
      <c r="D730" s="17" t="n"/>
      <c r="E730" s="16" t="n"/>
      <c r="F730" s="16" t="n"/>
      <c r="G730" s="36" t="n"/>
      <c r="H730" s="16" t="n"/>
      <c r="I730" s="19">
        <f>IF(OR(F730="",G730=""),"",F730*G730)</f>
        <v/>
      </c>
      <c r="J730" s="36">
        <f>IF(OR(F730="",G730=""),"",ROUND(G730*(1+F730/30),1))</f>
        <v/>
      </c>
      <c r="K730" s="20" t="n"/>
    </row>
    <row r="731" ht="18" customHeight="1">
      <c r="A731" s="37" t="n"/>
      <c r="B731" s="22">
        <f>IF(A731="","",IFERROR(INT((A731-DATE(2026,4,27))/7)+1,""))</f>
        <v/>
      </c>
      <c r="C731" s="22" t="n"/>
      <c r="D731" s="23" t="n"/>
      <c r="E731" s="22" t="n"/>
      <c r="F731" s="22" t="n"/>
      <c r="G731" s="38" t="n"/>
      <c r="H731" s="22" t="n"/>
      <c r="I731" s="25">
        <f>IF(OR(F731="",G731=""),"",F731*G731)</f>
        <v/>
      </c>
      <c r="J731" s="38">
        <f>IF(OR(F731="",G731=""),"",ROUND(G731*(1+F731/30),1))</f>
        <v/>
      </c>
      <c r="K731" s="26" t="n"/>
    </row>
    <row r="732" ht="18" customHeight="1">
      <c r="A732" s="35" t="n"/>
      <c r="B732" s="16">
        <f>IF(A732="","",IFERROR(INT((A732-DATE(2026,4,27))/7)+1,""))</f>
        <v/>
      </c>
      <c r="C732" s="16" t="n"/>
      <c r="D732" s="17" t="n"/>
      <c r="E732" s="16" t="n"/>
      <c r="F732" s="16" t="n"/>
      <c r="G732" s="36" t="n"/>
      <c r="H732" s="16" t="n"/>
      <c r="I732" s="19">
        <f>IF(OR(F732="",G732=""),"",F732*G732)</f>
        <v/>
      </c>
      <c r="J732" s="36">
        <f>IF(OR(F732="",G732=""),"",ROUND(G732*(1+F732/30),1))</f>
        <v/>
      </c>
      <c r="K732" s="20" t="n"/>
    </row>
    <row r="733" ht="18" customHeight="1">
      <c r="A733" s="37" t="n"/>
      <c r="B733" s="22">
        <f>IF(A733="","",IFERROR(INT((A733-DATE(2026,4,27))/7)+1,""))</f>
        <v/>
      </c>
      <c r="C733" s="22" t="n"/>
      <c r="D733" s="23" t="n"/>
      <c r="E733" s="22" t="n"/>
      <c r="F733" s="22" t="n"/>
      <c r="G733" s="38" t="n"/>
      <c r="H733" s="22" t="n"/>
      <c r="I733" s="25">
        <f>IF(OR(F733="",G733=""),"",F733*G733)</f>
        <v/>
      </c>
      <c r="J733" s="38">
        <f>IF(OR(F733="",G733=""),"",ROUND(G733*(1+F733/30),1))</f>
        <v/>
      </c>
      <c r="K733" s="26" t="n"/>
    </row>
    <row r="734" ht="18" customHeight="1">
      <c r="A734" s="35" t="n"/>
      <c r="B734" s="16">
        <f>IF(A734="","",IFERROR(INT((A734-DATE(2026,4,27))/7)+1,""))</f>
        <v/>
      </c>
      <c r="C734" s="16" t="n"/>
      <c r="D734" s="17" t="n"/>
      <c r="E734" s="16" t="n"/>
      <c r="F734" s="16" t="n"/>
      <c r="G734" s="36" t="n"/>
      <c r="H734" s="16" t="n"/>
      <c r="I734" s="19">
        <f>IF(OR(F734="",G734=""),"",F734*G734)</f>
        <v/>
      </c>
      <c r="J734" s="36">
        <f>IF(OR(F734="",G734=""),"",ROUND(G734*(1+F734/30),1))</f>
        <v/>
      </c>
      <c r="K734" s="20" t="n"/>
    </row>
    <row r="735" ht="18" customHeight="1">
      <c r="A735" s="37" t="n"/>
      <c r="B735" s="22">
        <f>IF(A735="","",IFERROR(INT((A735-DATE(2026,4,27))/7)+1,""))</f>
        <v/>
      </c>
      <c r="C735" s="22" t="n"/>
      <c r="D735" s="23" t="n"/>
      <c r="E735" s="22" t="n"/>
      <c r="F735" s="22" t="n"/>
      <c r="G735" s="38" t="n"/>
      <c r="H735" s="22" t="n"/>
      <c r="I735" s="25">
        <f>IF(OR(F735="",G735=""),"",F735*G735)</f>
        <v/>
      </c>
      <c r="J735" s="38">
        <f>IF(OR(F735="",G735=""),"",ROUND(G735*(1+F735/30),1))</f>
        <v/>
      </c>
      <c r="K735" s="26" t="n"/>
    </row>
    <row r="736" ht="18" customHeight="1">
      <c r="A736" s="35" t="n"/>
      <c r="B736" s="16">
        <f>IF(A736="","",IFERROR(INT((A736-DATE(2026,4,27))/7)+1,""))</f>
        <v/>
      </c>
      <c r="C736" s="16" t="n"/>
      <c r="D736" s="17" t="n"/>
      <c r="E736" s="16" t="n"/>
      <c r="F736" s="16" t="n"/>
      <c r="G736" s="36" t="n"/>
      <c r="H736" s="16" t="n"/>
      <c r="I736" s="19">
        <f>IF(OR(F736="",G736=""),"",F736*G736)</f>
        <v/>
      </c>
      <c r="J736" s="36">
        <f>IF(OR(F736="",G736=""),"",ROUND(G736*(1+F736/30),1))</f>
        <v/>
      </c>
      <c r="K736" s="20" t="n"/>
    </row>
    <row r="737" ht="18" customHeight="1">
      <c r="A737" s="37" t="n"/>
      <c r="B737" s="22">
        <f>IF(A737="","",IFERROR(INT((A737-DATE(2026,4,27))/7)+1,""))</f>
        <v/>
      </c>
      <c r="C737" s="22" t="n"/>
      <c r="D737" s="23" t="n"/>
      <c r="E737" s="22" t="n"/>
      <c r="F737" s="22" t="n"/>
      <c r="G737" s="38" t="n"/>
      <c r="H737" s="22" t="n"/>
      <c r="I737" s="25">
        <f>IF(OR(F737="",G737=""),"",F737*G737)</f>
        <v/>
      </c>
      <c r="J737" s="38">
        <f>IF(OR(F737="",G737=""),"",ROUND(G737*(1+F737/30),1))</f>
        <v/>
      </c>
      <c r="K737" s="26" t="n"/>
    </row>
    <row r="738" ht="18" customHeight="1">
      <c r="A738" s="35" t="n"/>
      <c r="B738" s="16">
        <f>IF(A738="","",IFERROR(INT((A738-DATE(2026,4,27))/7)+1,""))</f>
        <v/>
      </c>
      <c r="C738" s="16" t="n"/>
      <c r="D738" s="17" t="n"/>
      <c r="E738" s="16" t="n"/>
      <c r="F738" s="16" t="n"/>
      <c r="G738" s="36" t="n"/>
      <c r="H738" s="16" t="n"/>
      <c r="I738" s="19">
        <f>IF(OR(F738="",G738=""),"",F738*G738)</f>
        <v/>
      </c>
      <c r="J738" s="36">
        <f>IF(OR(F738="",G738=""),"",ROUND(G738*(1+F738/30),1))</f>
        <v/>
      </c>
      <c r="K738" s="20" t="n"/>
    </row>
    <row r="739" ht="18" customHeight="1">
      <c r="A739" s="37" t="n"/>
      <c r="B739" s="22">
        <f>IF(A739="","",IFERROR(INT((A739-DATE(2026,4,27))/7)+1,""))</f>
        <v/>
      </c>
      <c r="C739" s="22" t="n"/>
      <c r="D739" s="23" t="n"/>
      <c r="E739" s="22" t="n"/>
      <c r="F739" s="22" t="n"/>
      <c r="G739" s="38" t="n"/>
      <c r="H739" s="22" t="n"/>
      <c r="I739" s="25">
        <f>IF(OR(F739="",G739=""),"",F739*G739)</f>
        <v/>
      </c>
      <c r="J739" s="38">
        <f>IF(OR(F739="",G739=""),"",ROUND(G739*(1+F739/30),1))</f>
        <v/>
      </c>
      <c r="K739" s="26" t="n"/>
    </row>
    <row r="740" ht="18" customHeight="1">
      <c r="A740" s="35" t="n"/>
      <c r="B740" s="16">
        <f>IF(A740="","",IFERROR(INT((A740-DATE(2026,4,27))/7)+1,""))</f>
        <v/>
      </c>
      <c r="C740" s="16" t="n"/>
      <c r="D740" s="17" t="n"/>
      <c r="E740" s="16" t="n"/>
      <c r="F740" s="16" t="n"/>
      <c r="G740" s="36" t="n"/>
      <c r="H740" s="16" t="n"/>
      <c r="I740" s="19">
        <f>IF(OR(F740="",G740=""),"",F740*G740)</f>
        <v/>
      </c>
      <c r="J740" s="36">
        <f>IF(OR(F740="",G740=""),"",ROUND(G740*(1+F740/30),1))</f>
        <v/>
      </c>
      <c r="K740" s="20" t="n"/>
    </row>
    <row r="741" ht="18" customHeight="1">
      <c r="A741" s="37" t="n"/>
      <c r="B741" s="22">
        <f>IF(A741="","",IFERROR(INT((A741-DATE(2026,4,27))/7)+1,""))</f>
        <v/>
      </c>
      <c r="C741" s="22" t="n"/>
      <c r="D741" s="23" t="n"/>
      <c r="E741" s="22" t="n"/>
      <c r="F741" s="22" t="n"/>
      <c r="G741" s="38" t="n"/>
      <c r="H741" s="22" t="n"/>
      <c r="I741" s="25">
        <f>IF(OR(F741="",G741=""),"",F741*G741)</f>
        <v/>
      </c>
      <c r="J741" s="38">
        <f>IF(OR(F741="",G741=""),"",ROUND(G741*(1+F741/30),1))</f>
        <v/>
      </c>
      <c r="K741" s="26" t="n"/>
    </row>
    <row r="742" ht="18" customHeight="1">
      <c r="A742" s="35" t="n"/>
      <c r="B742" s="16">
        <f>IF(A742="","",IFERROR(INT((A742-DATE(2026,4,27))/7)+1,""))</f>
        <v/>
      </c>
      <c r="C742" s="16" t="n"/>
      <c r="D742" s="17" t="n"/>
      <c r="E742" s="16" t="n"/>
      <c r="F742" s="16" t="n"/>
      <c r="G742" s="36" t="n"/>
      <c r="H742" s="16" t="n"/>
      <c r="I742" s="19">
        <f>IF(OR(F742="",G742=""),"",F742*G742)</f>
        <v/>
      </c>
      <c r="J742" s="36">
        <f>IF(OR(F742="",G742=""),"",ROUND(G742*(1+F742/30),1))</f>
        <v/>
      </c>
      <c r="K742" s="20" t="n"/>
    </row>
    <row r="743" ht="18" customHeight="1">
      <c r="A743" s="37" t="n"/>
      <c r="B743" s="22">
        <f>IF(A743="","",IFERROR(INT((A743-DATE(2026,4,27))/7)+1,""))</f>
        <v/>
      </c>
      <c r="C743" s="22" t="n"/>
      <c r="D743" s="23" t="n"/>
      <c r="E743" s="22" t="n"/>
      <c r="F743" s="22" t="n"/>
      <c r="G743" s="38" t="n"/>
      <c r="H743" s="22" t="n"/>
      <c r="I743" s="25">
        <f>IF(OR(F743="",G743=""),"",F743*G743)</f>
        <v/>
      </c>
      <c r="J743" s="38">
        <f>IF(OR(F743="",G743=""),"",ROUND(G743*(1+F743/30),1))</f>
        <v/>
      </c>
      <c r="K743" s="26" t="n"/>
    </row>
    <row r="744" ht="18" customHeight="1">
      <c r="A744" s="35" t="n"/>
      <c r="B744" s="16">
        <f>IF(A744="","",IFERROR(INT((A744-DATE(2026,4,27))/7)+1,""))</f>
        <v/>
      </c>
      <c r="C744" s="16" t="n"/>
      <c r="D744" s="17" t="n"/>
      <c r="E744" s="16" t="n"/>
      <c r="F744" s="16" t="n"/>
      <c r="G744" s="36" t="n"/>
      <c r="H744" s="16" t="n"/>
      <c r="I744" s="19">
        <f>IF(OR(F744="",G744=""),"",F744*G744)</f>
        <v/>
      </c>
      <c r="J744" s="36">
        <f>IF(OR(F744="",G744=""),"",ROUND(G744*(1+F744/30),1))</f>
        <v/>
      </c>
      <c r="K744" s="20" t="n"/>
    </row>
    <row r="745" ht="18" customHeight="1">
      <c r="A745" s="37" t="n"/>
      <c r="B745" s="22">
        <f>IF(A745="","",IFERROR(INT((A745-DATE(2026,4,27))/7)+1,""))</f>
        <v/>
      </c>
      <c r="C745" s="22" t="n"/>
      <c r="D745" s="23" t="n"/>
      <c r="E745" s="22" t="n"/>
      <c r="F745" s="22" t="n"/>
      <c r="G745" s="38" t="n"/>
      <c r="H745" s="22" t="n"/>
      <c r="I745" s="25">
        <f>IF(OR(F745="",G745=""),"",F745*G745)</f>
        <v/>
      </c>
      <c r="J745" s="38">
        <f>IF(OR(F745="",G745=""),"",ROUND(G745*(1+F745/30),1))</f>
        <v/>
      </c>
      <c r="K745" s="26" t="n"/>
    </row>
    <row r="746" ht="18" customHeight="1">
      <c r="A746" s="35" t="n"/>
      <c r="B746" s="16">
        <f>IF(A746="","",IFERROR(INT((A746-DATE(2026,4,27))/7)+1,""))</f>
        <v/>
      </c>
      <c r="C746" s="16" t="n"/>
      <c r="D746" s="17" t="n"/>
      <c r="E746" s="16" t="n"/>
      <c r="F746" s="16" t="n"/>
      <c r="G746" s="36" t="n"/>
      <c r="H746" s="16" t="n"/>
      <c r="I746" s="19">
        <f>IF(OR(F746="",G746=""),"",F746*G746)</f>
        <v/>
      </c>
      <c r="J746" s="36">
        <f>IF(OR(F746="",G746=""),"",ROUND(G746*(1+F746/30),1))</f>
        <v/>
      </c>
      <c r="K746" s="20" t="n"/>
    </row>
    <row r="747" ht="18" customHeight="1">
      <c r="A747" s="37" t="n"/>
      <c r="B747" s="22">
        <f>IF(A747="","",IFERROR(INT((A747-DATE(2026,4,27))/7)+1,""))</f>
        <v/>
      </c>
      <c r="C747" s="22" t="n"/>
      <c r="D747" s="23" t="n"/>
      <c r="E747" s="22" t="n"/>
      <c r="F747" s="22" t="n"/>
      <c r="G747" s="38" t="n"/>
      <c r="H747" s="22" t="n"/>
      <c r="I747" s="25">
        <f>IF(OR(F747="",G747=""),"",F747*G747)</f>
        <v/>
      </c>
      <c r="J747" s="38">
        <f>IF(OR(F747="",G747=""),"",ROUND(G747*(1+F747/30),1))</f>
        <v/>
      </c>
      <c r="K747" s="26" t="n"/>
    </row>
    <row r="748" ht="18" customHeight="1">
      <c r="A748" s="35" t="n"/>
      <c r="B748" s="16">
        <f>IF(A748="","",IFERROR(INT((A748-DATE(2026,4,27))/7)+1,""))</f>
        <v/>
      </c>
      <c r="C748" s="16" t="n"/>
      <c r="D748" s="17" t="n"/>
      <c r="E748" s="16" t="n"/>
      <c r="F748" s="16" t="n"/>
      <c r="G748" s="36" t="n"/>
      <c r="H748" s="16" t="n"/>
      <c r="I748" s="19">
        <f>IF(OR(F748="",G748=""),"",F748*G748)</f>
        <v/>
      </c>
      <c r="J748" s="36">
        <f>IF(OR(F748="",G748=""),"",ROUND(G748*(1+F748/30),1))</f>
        <v/>
      </c>
      <c r="K748" s="20" t="n"/>
    </row>
    <row r="749" ht="18" customHeight="1">
      <c r="A749" s="37" t="n"/>
      <c r="B749" s="22">
        <f>IF(A749="","",IFERROR(INT((A749-DATE(2026,4,27))/7)+1,""))</f>
        <v/>
      </c>
      <c r="C749" s="22" t="n"/>
      <c r="D749" s="23" t="n"/>
      <c r="E749" s="22" t="n"/>
      <c r="F749" s="22" t="n"/>
      <c r="G749" s="38" t="n"/>
      <c r="H749" s="22" t="n"/>
      <c r="I749" s="25">
        <f>IF(OR(F749="",G749=""),"",F749*G749)</f>
        <v/>
      </c>
      <c r="J749" s="38">
        <f>IF(OR(F749="",G749=""),"",ROUND(G749*(1+F749/30),1))</f>
        <v/>
      </c>
      <c r="K749" s="26" t="n"/>
    </row>
    <row r="750" ht="18" customHeight="1">
      <c r="A750" s="35" t="n"/>
      <c r="B750" s="16">
        <f>IF(A750="","",IFERROR(INT((A750-DATE(2026,4,27))/7)+1,""))</f>
        <v/>
      </c>
      <c r="C750" s="16" t="n"/>
      <c r="D750" s="17" t="n"/>
      <c r="E750" s="16" t="n"/>
      <c r="F750" s="16" t="n"/>
      <c r="G750" s="36" t="n"/>
      <c r="H750" s="16" t="n"/>
      <c r="I750" s="19">
        <f>IF(OR(F750="",G750=""),"",F750*G750)</f>
        <v/>
      </c>
      <c r="J750" s="36">
        <f>IF(OR(F750="",G750=""),"",ROUND(G750*(1+F750/30),1))</f>
        <v/>
      </c>
      <c r="K750" s="20" t="n"/>
    </row>
    <row r="751" ht="18" customHeight="1">
      <c r="A751" s="37" t="n"/>
      <c r="B751" s="22">
        <f>IF(A751="","",IFERROR(INT((A751-DATE(2026,4,27))/7)+1,""))</f>
        <v/>
      </c>
      <c r="C751" s="22" t="n"/>
      <c r="D751" s="23" t="n"/>
      <c r="E751" s="22" t="n"/>
      <c r="F751" s="22" t="n"/>
      <c r="G751" s="38" t="n"/>
      <c r="H751" s="22" t="n"/>
      <c r="I751" s="25">
        <f>IF(OR(F751="",G751=""),"",F751*G751)</f>
        <v/>
      </c>
      <c r="J751" s="38">
        <f>IF(OR(F751="",G751=""),"",ROUND(G751*(1+F751/30),1))</f>
        <v/>
      </c>
      <c r="K751" s="26" t="n"/>
    </row>
    <row r="752" ht="18" customHeight="1">
      <c r="A752" s="35" t="n"/>
      <c r="B752" s="16">
        <f>IF(A752="","",IFERROR(INT((A752-DATE(2026,4,27))/7)+1,""))</f>
        <v/>
      </c>
      <c r="C752" s="16" t="n"/>
      <c r="D752" s="17" t="n"/>
      <c r="E752" s="16" t="n"/>
      <c r="F752" s="16" t="n"/>
      <c r="G752" s="36" t="n"/>
      <c r="H752" s="16" t="n"/>
      <c r="I752" s="19">
        <f>IF(OR(F752="",G752=""),"",F752*G752)</f>
        <v/>
      </c>
      <c r="J752" s="36">
        <f>IF(OR(F752="",G752=""),"",ROUND(G752*(1+F752/30),1))</f>
        <v/>
      </c>
      <c r="K752" s="20" t="n"/>
    </row>
    <row r="753" ht="18" customHeight="1">
      <c r="A753" s="37" t="n"/>
      <c r="B753" s="22">
        <f>IF(A753="","",IFERROR(INT((A753-DATE(2026,4,27))/7)+1,""))</f>
        <v/>
      </c>
      <c r="C753" s="22" t="n"/>
      <c r="D753" s="23" t="n"/>
      <c r="E753" s="22" t="n"/>
      <c r="F753" s="22" t="n"/>
      <c r="G753" s="38" t="n"/>
      <c r="H753" s="22" t="n"/>
      <c r="I753" s="25">
        <f>IF(OR(F753="",G753=""),"",F753*G753)</f>
        <v/>
      </c>
      <c r="J753" s="38">
        <f>IF(OR(F753="",G753=""),"",ROUND(G753*(1+F753/30),1))</f>
        <v/>
      </c>
      <c r="K753" s="26" t="n"/>
    </row>
    <row r="754" ht="18" customHeight="1">
      <c r="A754" s="35" t="n"/>
      <c r="B754" s="16">
        <f>IF(A754="","",IFERROR(INT((A754-DATE(2026,4,27))/7)+1,""))</f>
        <v/>
      </c>
      <c r="C754" s="16" t="n"/>
      <c r="D754" s="17" t="n"/>
      <c r="E754" s="16" t="n"/>
      <c r="F754" s="16" t="n"/>
      <c r="G754" s="36" t="n"/>
      <c r="H754" s="16" t="n"/>
      <c r="I754" s="19">
        <f>IF(OR(F754="",G754=""),"",F754*G754)</f>
        <v/>
      </c>
      <c r="J754" s="36">
        <f>IF(OR(F754="",G754=""),"",ROUND(G754*(1+F754/30),1))</f>
        <v/>
      </c>
      <c r="K754" s="20" t="n"/>
    </row>
    <row r="755" ht="18" customHeight="1">
      <c r="A755" s="37" t="n"/>
      <c r="B755" s="22">
        <f>IF(A755="","",IFERROR(INT((A755-DATE(2026,4,27))/7)+1,""))</f>
        <v/>
      </c>
      <c r="C755" s="22" t="n"/>
      <c r="D755" s="23" t="n"/>
      <c r="E755" s="22" t="n"/>
      <c r="F755" s="22" t="n"/>
      <c r="G755" s="38" t="n"/>
      <c r="H755" s="22" t="n"/>
      <c r="I755" s="25">
        <f>IF(OR(F755="",G755=""),"",F755*G755)</f>
        <v/>
      </c>
      <c r="J755" s="38">
        <f>IF(OR(F755="",G755=""),"",ROUND(G755*(1+F755/30),1))</f>
        <v/>
      </c>
      <c r="K755" s="26" t="n"/>
    </row>
    <row r="756" ht="18" customHeight="1">
      <c r="A756" s="35" t="n"/>
      <c r="B756" s="16">
        <f>IF(A756="","",IFERROR(INT((A756-DATE(2026,4,27))/7)+1,""))</f>
        <v/>
      </c>
      <c r="C756" s="16" t="n"/>
      <c r="D756" s="17" t="n"/>
      <c r="E756" s="16" t="n"/>
      <c r="F756" s="16" t="n"/>
      <c r="G756" s="36" t="n"/>
      <c r="H756" s="16" t="n"/>
      <c r="I756" s="19">
        <f>IF(OR(F756="",G756=""),"",F756*G756)</f>
        <v/>
      </c>
      <c r="J756" s="36">
        <f>IF(OR(F756="",G756=""),"",ROUND(G756*(1+F756/30),1))</f>
        <v/>
      </c>
      <c r="K756" s="20" t="n"/>
    </row>
    <row r="757" ht="18" customHeight="1">
      <c r="A757" s="37" t="n"/>
      <c r="B757" s="22">
        <f>IF(A757="","",IFERROR(INT((A757-DATE(2026,4,27))/7)+1,""))</f>
        <v/>
      </c>
      <c r="C757" s="22" t="n"/>
      <c r="D757" s="23" t="n"/>
      <c r="E757" s="22" t="n"/>
      <c r="F757" s="22" t="n"/>
      <c r="G757" s="38" t="n"/>
      <c r="H757" s="22" t="n"/>
      <c r="I757" s="25">
        <f>IF(OR(F757="",G757=""),"",F757*G757)</f>
        <v/>
      </c>
      <c r="J757" s="38">
        <f>IF(OR(F757="",G757=""),"",ROUND(G757*(1+F757/30),1))</f>
        <v/>
      </c>
      <c r="K757" s="26" t="n"/>
    </row>
    <row r="758" ht="18" customHeight="1">
      <c r="A758" s="35" t="n"/>
      <c r="B758" s="16">
        <f>IF(A758="","",IFERROR(INT((A758-DATE(2026,4,27))/7)+1,""))</f>
        <v/>
      </c>
      <c r="C758" s="16" t="n"/>
      <c r="D758" s="17" t="n"/>
      <c r="E758" s="16" t="n"/>
      <c r="F758" s="16" t="n"/>
      <c r="G758" s="36" t="n"/>
      <c r="H758" s="16" t="n"/>
      <c r="I758" s="19">
        <f>IF(OR(F758="",G758=""),"",F758*G758)</f>
        <v/>
      </c>
      <c r="J758" s="36">
        <f>IF(OR(F758="",G758=""),"",ROUND(G758*(1+F758/30),1))</f>
        <v/>
      </c>
      <c r="K758" s="20" t="n"/>
    </row>
    <row r="759" ht="18" customHeight="1">
      <c r="A759" s="37" t="n"/>
      <c r="B759" s="22">
        <f>IF(A759="","",IFERROR(INT((A759-DATE(2026,4,27))/7)+1,""))</f>
        <v/>
      </c>
      <c r="C759" s="22" t="n"/>
      <c r="D759" s="23" t="n"/>
      <c r="E759" s="22" t="n"/>
      <c r="F759" s="22" t="n"/>
      <c r="G759" s="38" t="n"/>
      <c r="H759" s="22" t="n"/>
      <c r="I759" s="25">
        <f>IF(OR(F759="",G759=""),"",F759*G759)</f>
        <v/>
      </c>
      <c r="J759" s="38">
        <f>IF(OR(F759="",G759=""),"",ROUND(G759*(1+F759/30),1))</f>
        <v/>
      </c>
      <c r="K759" s="26" t="n"/>
    </row>
    <row r="760" ht="18" customHeight="1">
      <c r="A760" s="35" t="n"/>
      <c r="B760" s="16">
        <f>IF(A760="","",IFERROR(INT((A760-DATE(2026,4,27))/7)+1,""))</f>
        <v/>
      </c>
      <c r="C760" s="16" t="n"/>
      <c r="D760" s="17" t="n"/>
      <c r="E760" s="16" t="n"/>
      <c r="F760" s="16" t="n"/>
      <c r="G760" s="36" t="n"/>
      <c r="H760" s="16" t="n"/>
      <c r="I760" s="19">
        <f>IF(OR(F760="",G760=""),"",F760*G760)</f>
        <v/>
      </c>
      <c r="J760" s="36">
        <f>IF(OR(F760="",G760=""),"",ROUND(G760*(1+F760/30),1))</f>
        <v/>
      </c>
      <c r="K760" s="20" t="n"/>
    </row>
    <row r="761" ht="18" customHeight="1">
      <c r="A761" s="37" t="n"/>
      <c r="B761" s="22">
        <f>IF(A761="","",IFERROR(INT((A761-DATE(2026,4,27))/7)+1,""))</f>
        <v/>
      </c>
      <c r="C761" s="22" t="n"/>
      <c r="D761" s="23" t="n"/>
      <c r="E761" s="22" t="n"/>
      <c r="F761" s="22" t="n"/>
      <c r="G761" s="38" t="n"/>
      <c r="H761" s="22" t="n"/>
      <c r="I761" s="25">
        <f>IF(OR(F761="",G761=""),"",F761*G761)</f>
        <v/>
      </c>
      <c r="J761" s="38">
        <f>IF(OR(F761="",G761=""),"",ROUND(G761*(1+F761/30),1))</f>
        <v/>
      </c>
      <c r="K761" s="26" t="n"/>
    </row>
    <row r="762" ht="18" customHeight="1">
      <c r="A762" s="35" t="n"/>
      <c r="B762" s="16">
        <f>IF(A762="","",IFERROR(INT((A762-DATE(2026,4,27))/7)+1,""))</f>
        <v/>
      </c>
      <c r="C762" s="16" t="n"/>
      <c r="D762" s="17" t="n"/>
      <c r="E762" s="16" t="n"/>
      <c r="F762" s="16" t="n"/>
      <c r="G762" s="36" t="n"/>
      <c r="H762" s="16" t="n"/>
      <c r="I762" s="19">
        <f>IF(OR(F762="",G762=""),"",F762*G762)</f>
        <v/>
      </c>
      <c r="J762" s="36">
        <f>IF(OR(F762="",G762=""),"",ROUND(G762*(1+F762/30),1))</f>
        <v/>
      </c>
      <c r="K762" s="20" t="n"/>
    </row>
    <row r="763" ht="18" customHeight="1">
      <c r="A763" s="37" t="n"/>
      <c r="B763" s="22">
        <f>IF(A763="","",IFERROR(INT((A763-DATE(2026,4,27))/7)+1,""))</f>
        <v/>
      </c>
      <c r="C763" s="22" t="n"/>
      <c r="D763" s="23" t="n"/>
      <c r="E763" s="22" t="n"/>
      <c r="F763" s="22" t="n"/>
      <c r="G763" s="38" t="n"/>
      <c r="H763" s="22" t="n"/>
      <c r="I763" s="25">
        <f>IF(OR(F763="",G763=""),"",F763*G763)</f>
        <v/>
      </c>
      <c r="J763" s="38">
        <f>IF(OR(F763="",G763=""),"",ROUND(G763*(1+F763/30),1))</f>
        <v/>
      </c>
      <c r="K763" s="26" t="n"/>
    </row>
    <row r="764" ht="18" customHeight="1">
      <c r="A764" s="35" t="n"/>
      <c r="B764" s="16">
        <f>IF(A764="","",IFERROR(INT((A764-DATE(2026,4,27))/7)+1,""))</f>
        <v/>
      </c>
      <c r="C764" s="16" t="n"/>
      <c r="D764" s="17" t="n"/>
      <c r="E764" s="16" t="n"/>
      <c r="F764" s="16" t="n"/>
      <c r="G764" s="36" t="n"/>
      <c r="H764" s="16" t="n"/>
      <c r="I764" s="19">
        <f>IF(OR(F764="",G764=""),"",F764*G764)</f>
        <v/>
      </c>
      <c r="J764" s="36">
        <f>IF(OR(F764="",G764=""),"",ROUND(G764*(1+F764/30),1))</f>
        <v/>
      </c>
      <c r="K764" s="20" t="n"/>
    </row>
    <row r="765" ht="18" customHeight="1">
      <c r="A765" s="37" t="n"/>
      <c r="B765" s="22">
        <f>IF(A765="","",IFERROR(INT((A765-DATE(2026,4,27))/7)+1,""))</f>
        <v/>
      </c>
      <c r="C765" s="22" t="n"/>
      <c r="D765" s="23" t="n"/>
      <c r="E765" s="22" t="n"/>
      <c r="F765" s="22" t="n"/>
      <c r="G765" s="38" t="n"/>
      <c r="H765" s="22" t="n"/>
      <c r="I765" s="25">
        <f>IF(OR(F765="",G765=""),"",F765*G765)</f>
        <v/>
      </c>
      <c r="J765" s="38">
        <f>IF(OR(F765="",G765=""),"",ROUND(G765*(1+F765/30),1))</f>
        <v/>
      </c>
      <c r="K765" s="26" t="n"/>
    </row>
    <row r="766" ht="18" customHeight="1">
      <c r="A766" s="35" t="n"/>
      <c r="B766" s="16">
        <f>IF(A766="","",IFERROR(INT((A766-DATE(2026,4,27))/7)+1,""))</f>
        <v/>
      </c>
      <c r="C766" s="16" t="n"/>
      <c r="D766" s="17" t="n"/>
      <c r="E766" s="16" t="n"/>
      <c r="F766" s="16" t="n"/>
      <c r="G766" s="36" t="n"/>
      <c r="H766" s="16" t="n"/>
      <c r="I766" s="19">
        <f>IF(OR(F766="",G766=""),"",F766*G766)</f>
        <v/>
      </c>
      <c r="J766" s="36">
        <f>IF(OR(F766="",G766=""),"",ROUND(G766*(1+F766/30),1))</f>
        <v/>
      </c>
      <c r="K766" s="20" t="n"/>
    </row>
    <row r="767" ht="18" customHeight="1">
      <c r="A767" s="37" t="n"/>
      <c r="B767" s="22">
        <f>IF(A767="","",IFERROR(INT((A767-DATE(2026,4,27))/7)+1,""))</f>
        <v/>
      </c>
      <c r="C767" s="22" t="n"/>
      <c r="D767" s="23" t="n"/>
      <c r="E767" s="22" t="n"/>
      <c r="F767" s="22" t="n"/>
      <c r="G767" s="38" t="n"/>
      <c r="H767" s="22" t="n"/>
      <c r="I767" s="25">
        <f>IF(OR(F767="",G767=""),"",F767*G767)</f>
        <v/>
      </c>
      <c r="J767" s="38">
        <f>IF(OR(F767="",G767=""),"",ROUND(G767*(1+F767/30),1))</f>
        <v/>
      </c>
      <c r="K767" s="26" t="n"/>
    </row>
    <row r="768" ht="18" customHeight="1">
      <c r="A768" s="35" t="n"/>
      <c r="B768" s="16">
        <f>IF(A768="","",IFERROR(INT((A768-DATE(2026,4,27))/7)+1,""))</f>
        <v/>
      </c>
      <c r="C768" s="16" t="n"/>
      <c r="D768" s="17" t="n"/>
      <c r="E768" s="16" t="n"/>
      <c r="F768" s="16" t="n"/>
      <c r="G768" s="36" t="n"/>
      <c r="H768" s="16" t="n"/>
      <c r="I768" s="19">
        <f>IF(OR(F768="",G768=""),"",F768*G768)</f>
        <v/>
      </c>
      <c r="J768" s="36">
        <f>IF(OR(F768="",G768=""),"",ROUND(G768*(1+F768/30),1))</f>
        <v/>
      </c>
      <c r="K768" s="20" t="n"/>
    </row>
    <row r="769" ht="18" customHeight="1">
      <c r="A769" s="37" t="n"/>
      <c r="B769" s="22">
        <f>IF(A769="","",IFERROR(INT((A769-DATE(2026,4,27))/7)+1,""))</f>
        <v/>
      </c>
      <c r="C769" s="22" t="n"/>
      <c r="D769" s="23" t="n"/>
      <c r="E769" s="22" t="n"/>
      <c r="F769" s="22" t="n"/>
      <c r="G769" s="38" t="n"/>
      <c r="H769" s="22" t="n"/>
      <c r="I769" s="25">
        <f>IF(OR(F769="",G769=""),"",F769*G769)</f>
        <v/>
      </c>
      <c r="J769" s="38">
        <f>IF(OR(F769="",G769=""),"",ROUND(G769*(1+F769/30),1))</f>
        <v/>
      </c>
      <c r="K769" s="26" t="n"/>
    </row>
    <row r="770" ht="18" customHeight="1">
      <c r="A770" s="35" t="n"/>
      <c r="B770" s="16">
        <f>IF(A770="","",IFERROR(INT((A770-DATE(2026,4,27))/7)+1,""))</f>
        <v/>
      </c>
      <c r="C770" s="16" t="n"/>
      <c r="D770" s="17" t="n"/>
      <c r="E770" s="16" t="n"/>
      <c r="F770" s="16" t="n"/>
      <c r="G770" s="36" t="n"/>
      <c r="H770" s="16" t="n"/>
      <c r="I770" s="19">
        <f>IF(OR(F770="",G770=""),"",F770*G770)</f>
        <v/>
      </c>
      <c r="J770" s="36">
        <f>IF(OR(F770="",G770=""),"",ROUND(G770*(1+F770/30),1))</f>
        <v/>
      </c>
      <c r="K770" s="20" t="n"/>
    </row>
    <row r="771" ht="18" customHeight="1">
      <c r="A771" s="37" t="n"/>
      <c r="B771" s="22">
        <f>IF(A771="","",IFERROR(INT((A771-DATE(2026,4,27))/7)+1,""))</f>
        <v/>
      </c>
      <c r="C771" s="22" t="n"/>
      <c r="D771" s="23" t="n"/>
      <c r="E771" s="22" t="n"/>
      <c r="F771" s="22" t="n"/>
      <c r="G771" s="38" t="n"/>
      <c r="H771" s="22" t="n"/>
      <c r="I771" s="25">
        <f>IF(OR(F771="",G771=""),"",F771*G771)</f>
        <v/>
      </c>
      <c r="J771" s="38">
        <f>IF(OR(F771="",G771=""),"",ROUND(G771*(1+F771/30),1))</f>
        <v/>
      </c>
      <c r="K771" s="26" t="n"/>
    </row>
    <row r="772" ht="18" customHeight="1">
      <c r="A772" s="35" t="n"/>
      <c r="B772" s="16">
        <f>IF(A772="","",IFERROR(INT((A772-DATE(2026,4,27))/7)+1,""))</f>
        <v/>
      </c>
      <c r="C772" s="16" t="n"/>
      <c r="D772" s="17" t="n"/>
      <c r="E772" s="16" t="n"/>
      <c r="F772" s="16" t="n"/>
      <c r="G772" s="36" t="n"/>
      <c r="H772" s="16" t="n"/>
      <c r="I772" s="19">
        <f>IF(OR(F772="",G772=""),"",F772*G772)</f>
        <v/>
      </c>
      <c r="J772" s="36">
        <f>IF(OR(F772="",G772=""),"",ROUND(G772*(1+F772/30),1))</f>
        <v/>
      </c>
      <c r="K772" s="20" t="n"/>
    </row>
    <row r="773" ht="18" customHeight="1">
      <c r="A773" s="37" t="n"/>
      <c r="B773" s="22">
        <f>IF(A773="","",IFERROR(INT((A773-DATE(2026,4,27))/7)+1,""))</f>
        <v/>
      </c>
      <c r="C773" s="22" t="n"/>
      <c r="D773" s="23" t="n"/>
      <c r="E773" s="22" t="n"/>
      <c r="F773" s="22" t="n"/>
      <c r="G773" s="38" t="n"/>
      <c r="H773" s="22" t="n"/>
      <c r="I773" s="25">
        <f>IF(OR(F773="",G773=""),"",F773*G773)</f>
        <v/>
      </c>
      <c r="J773" s="38">
        <f>IF(OR(F773="",G773=""),"",ROUND(G773*(1+F773/30),1))</f>
        <v/>
      </c>
      <c r="K773" s="26" t="n"/>
    </row>
    <row r="774" ht="18" customHeight="1">
      <c r="A774" s="35" t="n"/>
      <c r="B774" s="16">
        <f>IF(A774="","",IFERROR(INT((A774-DATE(2026,4,27))/7)+1,""))</f>
        <v/>
      </c>
      <c r="C774" s="16" t="n"/>
      <c r="D774" s="17" t="n"/>
      <c r="E774" s="16" t="n"/>
      <c r="F774" s="16" t="n"/>
      <c r="G774" s="36" t="n"/>
      <c r="H774" s="16" t="n"/>
      <c r="I774" s="19">
        <f>IF(OR(F774="",G774=""),"",F774*G774)</f>
        <v/>
      </c>
      <c r="J774" s="36">
        <f>IF(OR(F774="",G774=""),"",ROUND(G774*(1+F774/30),1))</f>
        <v/>
      </c>
      <c r="K774" s="20" t="n"/>
    </row>
    <row r="775" ht="18" customHeight="1">
      <c r="A775" s="37" t="n"/>
      <c r="B775" s="22">
        <f>IF(A775="","",IFERROR(INT((A775-DATE(2026,4,27))/7)+1,""))</f>
        <v/>
      </c>
      <c r="C775" s="22" t="n"/>
      <c r="D775" s="23" t="n"/>
      <c r="E775" s="22" t="n"/>
      <c r="F775" s="22" t="n"/>
      <c r="G775" s="38" t="n"/>
      <c r="H775" s="22" t="n"/>
      <c r="I775" s="25">
        <f>IF(OR(F775="",G775=""),"",F775*G775)</f>
        <v/>
      </c>
      <c r="J775" s="38">
        <f>IF(OR(F775="",G775=""),"",ROUND(G775*(1+F775/30),1))</f>
        <v/>
      </c>
      <c r="K775" s="26" t="n"/>
    </row>
    <row r="776" ht="18" customHeight="1">
      <c r="A776" s="35" t="n"/>
      <c r="B776" s="16">
        <f>IF(A776="","",IFERROR(INT((A776-DATE(2026,4,27))/7)+1,""))</f>
        <v/>
      </c>
      <c r="C776" s="16" t="n"/>
      <c r="D776" s="17" t="n"/>
      <c r="E776" s="16" t="n"/>
      <c r="F776" s="16" t="n"/>
      <c r="G776" s="36" t="n"/>
      <c r="H776" s="16" t="n"/>
      <c r="I776" s="19">
        <f>IF(OR(F776="",G776=""),"",F776*G776)</f>
        <v/>
      </c>
      <c r="J776" s="36">
        <f>IF(OR(F776="",G776=""),"",ROUND(G776*(1+F776/30),1))</f>
        <v/>
      </c>
      <c r="K776" s="20" t="n"/>
    </row>
    <row r="777" ht="18" customHeight="1">
      <c r="A777" s="37" t="n"/>
      <c r="B777" s="22">
        <f>IF(A777="","",IFERROR(INT((A777-DATE(2026,4,27))/7)+1,""))</f>
        <v/>
      </c>
      <c r="C777" s="22" t="n"/>
      <c r="D777" s="23" t="n"/>
      <c r="E777" s="22" t="n"/>
      <c r="F777" s="22" t="n"/>
      <c r="G777" s="38" t="n"/>
      <c r="H777" s="22" t="n"/>
      <c r="I777" s="25">
        <f>IF(OR(F777="",G777=""),"",F777*G777)</f>
        <v/>
      </c>
      <c r="J777" s="38">
        <f>IF(OR(F777="",G777=""),"",ROUND(G777*(1+F777/30),1))</f>
        <v/>
      </c>
      <c r="K777" s="26" t="n"/>
    </row>
    <row r="778" ht="18" customHeight="1">
      <c r="A778" s="35" t="n"/>
      <c r="B778" s="16">
        <f>IF(A778="","",IFERROR(INT((A778-DATE(2026,4,27))/7)+1,""))</f>
        <v/>
      </c>
      <c r="C778" s="16" t="n"/>
      <c r="D778" s="17" t="n"/>
      <c r="E778" s="16" t="n"/>
      <c r="F778" s="16" t="n"/>
      <c r="G778" s="36" t="n"/>
      <c r="H778" s="16" t="n"/>
      <c r="I778" s="19">
        <f>IF(OR(F778="",G778=""),"",F778*G778)</f>
        <v/>
      </c>
      <c r="J778" s="36">
        <f>IF(OR(F778="",G778=""),"",ROUND(G778*(1+F778/30),1))</f>
        <v/>
      </c>
      <c r="K778" s="20" t="n"/>
    </row>
    <row r="779" ht="18" customHeight="1">
      <c r="A779" s="37" t="n"/>
      <c r="B779" s="22">
        <f>IF(A779="","",IFERROR(INT((A779-DATE(2026,4,27))/7)+1,""))</f>
        <v/>
      </c>
      <c r="C779" s="22" t="n"/>
      <c r="D779" s="23" t="n"/>
      <c r="E779" s="22" t="n"/>
      <c r="F779" s="22" t="n"/>
      <c r="G779" s="38" t="n"/>
      <c r="H779" s="22" t="n"/>
      <c r="I779" s="25">
        <f>IF(OR(F779="",G779=""),"",F779*G779)</f>
        <v/>
      </c>
      <c r="J779" s="38">
        <f>IF(OR(F779="",G779=""),"",ROUND(G779*(1+F779/30),1))</f>
        <v/>
      </c>
      <c r="K779" s="26" t="n"/>
    </row>
    <row r="780" ht="18" customHeight="1">
      <c r="A780" s="35" t="n"/>
      <c r="B780" s="16">
        <f>IF(A780="","",IFERROR(INT((A780-DATE(2026,4,27))/7)+1,""))</f>
        <v/>
      </c>
      <c r="C780" s="16" t="n"/>
      <c r="D780" s="17" t="n"/>
      <c r="E780" s="16" t="n"/>
      <c r="F780" s="16" t="n"/>
      <c r="G780" s="36" t="n"/>
      <c r="H780" s="16" t="n"/>
      <c r="I780" s="19">
        <f>IF(OR(F780="",G780=""),"",F780*G780)</f>
        <v/>
      </c>
      <c r="J780" s="36">
        <f>IF(OR(F780="",G780=""),"",ROUND(G780*(1+F780/30),1))</f>
        <v/>
      </c>
      <c r="K780" s="20" t="n"/>
    </row>
    <row r="781" ht="18" customHeight="1">
      <c r="A781" s="37" t="n"/>
      <c r="B781" s="22">
        <f>IF(A781="","",IFERROR(INT((A781-DATE(2026,4,27))/7)+1,""))</f>
        <v/>
      </c>
      <c r="C781" s="22" t="n"/>
      <c r="D781" s="23" t="n"/>
      <c r="E781" s="22" t="n"/>
      <c r="F781" s="22" t="n"/>
      <c r="G781" s="38" t="n"/>
      <c r="H781" s="22" t="n"/>
      <c r="I781" s="25">
        <f>IF(OR(F781="",G781=""),"",F781*G781)</f>
        <v/>
      </c>
      <c r="J781" s="38">
        <f>IF(OR(F781="",G781=""),"",ROUND(G781*(1+F781/30),1))</f>
        <v/>
      </c>
      <c r="K781" s="26" t="n"/>
    </row>
    <row r="782" ht="18" customHeight="1">
      <c r="A782" s="35" t="n"/>
      <c r="B782" s="16">
        <f>IF(A782="","",IFERROR(INT((A782-DATE(2026,4,27))/7)+1,""))</f>
        <v/>
      </c>
      <c r="C782" s="16" t="n"/>
      <c r="D782" s="17" t="n"/>
      <c r="E782" s="16" t="n"/>
      <c r="F782" s="16" t="n"/>
      <c r="G782" s="36" t="n"/>
      <c r="H782" s="16" t="n"/>
      <c r="I782" s="19">
        <f>IF(OR(F782="",G782=""),"",F782*G782)</f>
        <v/>
      </c>
      <c r="J782" s="36">
        <f>IF(OR(F782="",G782=""),"",ROUND(G782*(1+F782/30),1))</f>
        <v/>
      </c>
      <c r="K782" s="20" t="n"/>
    </row>
    <row r="783" ht="18" customHeight="1">
      <c r="A783" s="37" t="n"/>
      <c r="B783" s="22">
        <f>IF(A783="","",IFERROR(INT((A783-DATE(2026,4,27))/7)+1,""))</f>
        <v/>
      </c>
      <c r="C783" s="22" t="n"/>
      <c r="D783" s="23" t="n"/>
      <c r="E783" s="22" t="n"/>
      <c r="F783" s="22" t="n"/>
      <c r="G783" s="38" t="n"/>
      <c r="H783" s="22" t="n"/>
      <c r="I783" s="25">
        <f>IF(OR(F783="",G783=""),"",F783*G783)</f>
        <v/>
      </c>
      <c r="J783" s="38">
        <f>IF(OR(F783="",G783=""),"",ROUND(G783*(1+F783/30),1))</f>
        <v/>
      </c>
      <c r="K783" s="26" t="n"/>
    </row>
    <row r="784" ht="18" customHeight="1">
      <c r="A784" s="35" t="n"/>
      <c r="B784" s="16">
        <f>IF(A784="","",IFERROR(INT((A784-DATE(2026,4,27))/7)+1,""))</f>
        <v/>
      </c>
      <c r="C784" s="16" t="n"/>
      <c r="D784" s="17" t="n"/>
      <c r="E784" s="16" t="n"/>
      <c r="F784" s="16" t="n"/>
      <c r="G784" s="36" t="n"/>
      <c r="H784" s="16" t="n"/>
      <c r="I784" s="19">
        <f>IF(OR(F784="",G784=""),"",F784*G784)</f>
        <v/>
      </c>
      <c r="J784" s="36">
        <f>IF(OR(F784="",G784=""),"",ROUND(G784*(1+F784/30),1))</f>
        <v/>
      </c>
      <c r="K784" s="20" t="n"/>
    </row>
    <row r="785" ht="18" customHeight="1">
      <c r="A785" s="37" t="n"/>
      <c r="B785" s="22">
        <f>IF(A785="","",IFERROR(INT((A785-DATE(2026,4,27))/7)+1,""))</f>
        <v/>
      </c>
      <c r="C785" s="22" t="n"/>
      <c r="D785" s="23" t="n"/>
      <c r="E785" s="22" t="n"/>
      <c r="F785" s="22" t="n"/>
      <c r="G785" s="38" t="n"/>
      <c r="H785" s="22" t="n"/>
      <c r="I785" s="25">
        <f>IF(OR(F785="",G785=""),"",F785*G785)</f>
        <v/>
      </c>
      <c r="J785" s="38">
        <f>IF(OR(F785="",G785=""),"",ROUND(G785*(1+F785/30),1))</f>
        <v/>
      </c>
      <c r="K785" s="26" t="n"/>
    </row>
    <row r="786" ht="18" customHeight="1">
      <c r="A786" s="35" t="n"/>
      <c r="B786" s="16">
        <f>IF(A786="","",IFERROR(INT((A786-DATE(2026,4,27))/7)+1,""))</f>
        <v/>
      </c>
      <c r="C786" s="16" t="n"/>
      <c r="D786" s="17" t="n"/>
      <c r="E786" s="16" t="n"/>
      <c r="F786" s="16" t="n"/>
      <c r="G786" s="36" t="n"/>
      <c r="H786" s="16" t="n"/>
      <c r="I786" s="19">
        <f>IF(OR(F786="",G786=""),"",F786*G786)</f>
        <v/>
      </c>
      <c r="J786" s="36">
        <f>IF(OR(F786="",G786=""),"",ROUND(G786*(1+F786/30),1))</f>
        <v/>
      </c>
      <c r="K786" s="20" t="n"/>
    </row>
    <row r="787" ht="18" customHeight="1">
      <c r="A787" s="37" t="n"/>
      <c r="B787" s="22">
        <f>IF(A787="","",IFERROR(INT((A787-DATE(2026,4,27))/7)+1,""))</f>
        <v/>
      </c>
      <c r="C787" s="22" t="n"/>
      <c r="D787" s="23" t="n"/>
      <c r="E787" s="22" t="n"/>
      <c r="F787" s="22" t="n"/>
      <c r="G787" s="38" t="n"/>
      <c r="H787" s="22" t="n"/>
      <c r="I787" s="25">
        <f>IF(OR(F787="",G787=""),"",F787*G787)</f>
        <v/>
      </c>
      <c r="J787" s="38">
        <f>IF(OR(F787="",G787=""),"",ROUND(G787*(1+F787/30),1))</f>
        <v/>
      </c>
      <c r="K787" s="26" t="n"/>
    </row>
    <row r="788" ht="18" customHeight="1">
      <c r="A788" s="35" t="n"/>
      <c r="B788" s="16">
        <f>IF(A788="","",IFERROR(INT((A788-DATE(2026,4,27))/7)+1,""))</f>
        <v/>
      </c>
      <c r="C788" s="16" t="n"/>
      <c r="D788" s="17" t="n"/>
      <c r="E788" s="16" t="n"/>
      <c r="F788" s="16" t="n"/>
      <c r="G788" s="36" t="n"/>
      <c r="H788" s="16" t="n"/>
      <c r="I788" s="19">
        <f>IF(OR(F788="",G788=""),"",F788*G788)</f>
        <v/>
      </c>
      <c r="J788" s="36">
        <f>IF(OR(F788="",G788=""),"",ROUND(G788*(1+F788/30),1))</f>
        <v/>
      </c>
      <c r="K788" s="20" t="n"/>
    </row>
    <row r="789" ht="18" customHeight="1">
      <c r="A789" s="37" t="n"/>
      <c r="B789" s="22">
        <f>IF(A789="","",IFERROR(INT((A789-DATE(2026,4,27))/7)+1,""))</f>
        <v/>
      </c>
      <c r="C789" s="22" t="n"/>
      <c r="D789" s="23" t="n"/>
      <c r="E789" s="22" t="n"/>
      <c r="F789" s="22" t="n"/>
      <c r="G789" s="38" t="n"/>
      <c r="H789" s="22" t="n"/>
      <c r="I789" s="25">
        <f>IF(OR(F789="",G789=""),"",F789*G789)</f>
        <v/>
      </c>
      <c r="J789" s="38">
        <f>IF(OR(F789="",G789=""),"",ROUND(G789*(1+F789/30),1))</f>
        <v/>
      </c>
      <c r="K789" s="26" t="n"/>
    </row>
    <row r="790" ht="18" customHeight="1">
      <c r="A790" s="35" t="n"/>
      <c r="B790" s="16">
        <f>IF(A790="","",IFERROR(INT((A790-DATE(2026,4,27))/7)+1,""))</f>
        <v/>
      </c>
      <c r="C790" s="16" t="n"/>
      <c r="D790" s="17" t="n"/>
      <c r="E790" s="16" t="n"/>
      <c r="F790" s="16" t="n"/>
      <c r="G790" s="36" t="n"/>
      <c r="H790" s="16" t="n"/>
      <c r="I790" s="19">
        <f>IF(OR(F790="",G790=""),"",F790*G790)</f>
        <v/>
      </c>
      <c r="J790" s="36">
        <f>IF(OR(F790="",G790=""),"",ROUND(G790*(1+F790/30),1))</f>
        <v/>
      </c>
      <c r="K790" s="20" t="n"/>
    </row>
    <row r="791" ht="18" customHeight="1">
      <c r="A791" s="37" t="n"/>
      <c r="B791" s="22">
        <f>IF(A791="","",IFERROR(INT((A791-DATE(2026,4,27))/7)+1,""))</f>
        <v/>
      </c>
      <c r="C791" s="22" t="n"/>
      <c r="D791" s="23" t="n"/>
      <c r="E791" s="22" t="n"/>
      <c r="F791" s="22" t="n"/>
      <c r="G791" s="38" t="n"/>
      <c r="H791" s="22" t="n"/>
      <c r="I791" s="25">
        <f>IF(OR(F791="",G791=""),"",F791*G791)</f>
        <v/>
      </c>
      <c r="J791" s="38">
        <f>IF(OR(F791="",G791=""),"",ROUND(G791*(1+F791/30),1))</f>
        <v/>
      </c>
      <c r="K791" s="26" t="n"/>
    </row>
    <row r="792" ht="18" customHeight="1">
      <c r="A792" s="35" t="n"/>
      <c r="B792" s="16">
        <f>IF(A792="","",IFERROR(INT((A792-DATE(2026,4,27))/7)+1,""))</f>
        <v/>
      </c>
      <c r="C792" s="16" t="n"/>
      <c r="D792" s="17" t="n"/>
      <c r="E792" s="16" t="n"/>
      <c r="F792" s="16" t="n"/>
      <c r="G792" s="36" t="n"/>
      <c r="H792" s="16" t="n"/>
      <c r="I792" s="19">
        <f>IF(OR(F792="",G792=""),"",F792*G792)</f>
        <v/>
      </c>
      <c r="J792" s="36">
        <f>IF(OR(F792="",G792=""),"",ROUND(G792*(1+F792/30),1))</f>
        <v/>
      </c>
      <c r="K792" s="20" t="n"/>
    </row>
    <row r="793" ht="18" customHeight="1">
      <c r="A793" s="37" t="n"/>
      <c r="B793" s="22">
        <f>IF(A793="","",IFERROR(INT((A793-DATE(2026,4,27))/7)+1,""))</f>
        <v/>
      </c>
      <c r="C793" s="22" t="n"/>
      <c r="D793" s="23" t="n"/>
      <c r="E793" s="22" t="n"/>
      <c r="F793" s="22" t="n"/>
      <c r="G793" s="38" t="n"/>
      <c r="H793" s="22" t="n"/>
      <c r="I793" s="25">
        <f>IF(OR(F793="",G793=""),"",F793*G793)</f>
        <v/>
      </c>
      <c r="J793" s="38">
        <f>IF(OR(F793="",G793=""),"",ROUND(G793*(1+F793/30),1))</f>
        <v/>
      </c>
      <c r="K793" s="26" t="n"/>
    </row>
    <row r="794" ht="18" customHeight="1">
      <c r="A794" s="35" t="n"/>
      <c r="B794" s="16">
        <f>IF(A794="","",IFERROR(INT((A794-DATE(2026,4,27))/7)+1,""))</f>
        <v/>
      </c>
      <c r="C794" s="16" t="n"/>
      <c r="D794" s="17" t="n"/>
      <c r="E794" s="16" t="n"/>
      <c r="F794" s="16" t="n"/>
      <c r="G794" s="36" t="n"/>
      <c r="H794" s="16" t="n"/>
      <c r="I794" s="19">
        <f>IF(OR(F794="",G794=""),"",F794*G794)</f>
        <v/>
      </c>
      <c r="J794" s="36">
        <f>IF(OR(F794="",G794=""),"",ROUND(G794*(1+F794/30),1))</f>
        <v/>
      </c>
      <c r="K794" s="20" t="n"/>
    </row>
    <row r="795" ht="18" customHeight="1">
      <c r="A795" s="37" t="n"/>
      <c r="B795" s="22">
        <f>IF(A795="","",IFERROR(INT((A795-DATE(2026,4,27))/7)+1,""))</f>
        <v/>
      </c>
      <c r="C795" s="22" t="n"/>
      <c r="D795" s="23" t="n"/>
      <c r="E795" s="22" t="n"/>
      <c r="F795" s="22" t="n"/>
      <c r="G795" s="38" t="n"/>
      <c r="H795" s="22" t="n"/>
      <c r="I795" s="25">
        <f>IF(OR(F795="",G795=""),"",F795*G795)</f>
        <v/>
      </c>
      <c r="J795" s="38">
        <f>IF(OR(F795="",G795=""),"",ROUND(G795*(1+F795/30),1))</f>
        <v/>
      </c>
      <c r="K795" s="26" t="n"/>
    </row>
    <row r="796" ht="18" customHeight="1">
      <c r="A796" s="35" t="n"/>
      <c r="B796" s="16">
        <f>IF(A796="","",IFERROR(INT((A796-DATE(2026,4,27))/7)+1,""))</f>
        <v/>
      </c>
      <c r="C796" s="16" t="n"/>
      <c r="D796" s="17" t="n"/>
      <c r="E796" s="16" t="n"/>
      <c r="F796" s="16" t="n"/>
      <c r="G796" s="36" t="n"/>
      <c r="H796" s="16" t="n"/>
      <c r="I796" s="19">
        <f>IF(OR(F796="",G796=""),"",F796*G796)</f>
        <v/>
      </c>
      <c r="J796" s="36">
        <f>IF(OR(F796="",G796=""),"",ROUND(G796*(1+F796/30),1))</f>
        <v/>
      </c>
      <c r="K796" s="20" t="n"/>
    </row>
    <row r="797" ht="18" customHeight="1">
      <c r="A797" s="37" t="n"/>
      <c r="B797" s="22">
        <f>IF(A797="","",IFERROR(INT((A797-DATE(2026,4,27))/7)+1,""))</f>
        <v/>
      </c>
      <c r="C797" s="22" t="n"/>
      <c r="D797" s="23" t="n"/>
      <c r="E797" s="22" t="n"/>
      <c r="F797" s="22" t="n"/>
      <c r="G797" s="38" t="n"/>
      <c r="H797" s="22" t="n"/>
      <c r="I797" s="25">
        <f>IF(OR(F797="",G797=""),"",F797*G797)</f>
        <v/>
      </c>
      <c r="J797" s="38">
        <f>IF(OR(F797="",G797=""),"",ROUND(G797*(1+F797/30),1))</f>
        <v/>
      </c>
      <c r="K797" s="26" t="n"/>
    </row>
    <row r="798" ht="18" customHeight="1">
      <c r="A798" s="35" t="n"/>
      <c r="B798" s="16">
        <f>IF(A798="","",IFERROR(INT((A798-DATE(2026,4,27))/7)+1,""))</f>
        <v/>
      </c>
      <c r="C798" s="16" t="n"/>
      <c r="D798" s="17" t="n"/>
      <c r="E798" s="16" t="n"/>
      <c r="F798" s="16" t="n"/>
      <c r="G798" s="36" t="n"/>
      <c r="H798" s="16" t="n"/>
      <c r="I798" s="19">
        <f>IF(OR(F798="",G798=""),"",F798*G798)</f>
        <v/>
      </c>
      <c r="J798" s="36">
        <f>IF(OR(F798="",G798=""),"",ROUND(G798*(1+F798/30),1))</f>
        <v/>
      </c>
      <c r="K798" s="20" t="n"/>
    </row>
    <row r="799" ht="18" customHeight="1">
      <c r="A799" s="37" t="n"/>
      <c r="B799" s="22">
        <f>IF(A799="","",IFERROR(INT((A799-DATE(2026,4,27))/7)+1,""))</f>
        <v/>
      </c>
      <c r="C799" s="22" t="n"/>
      <c r="D799" s="23" t="n"/>
      <c r="E799" s="22" t="n"/>
      <c r="F799" s="22" t="n"/>
      <c r="G799" s="38" t="n"/>
      <c r="H799" s="22" t="n"/>
      <c r="I799" s="25">
        <f>IF(OR(F799="",G799=""),"",F799*G799)</f>
        <v/>
      </c>
      <c r="J799" s="38">
        <f>IF(OR(F799="",G799=""),"",ROUND(G799*(1+F799/30),1))</f>
        <v/>
      </c>
      <c r="K799" s="26" t="n"/>
    </row>
    <row r="800" ht="18" customHeight="1">
      <c r="A800" s="35" t="n"/>
      <c r="B800" s="16">
        <f>IF(A800="","",IFERROR(INT((A800-DATE(2026,4,27))/7)+1,""))</f>
        <v/>
      </c>
      <c r="C800" s="16" t="n"/>
      <c r="D800" s="17" t="n"/>
      <c r="E800" s="16" t="n"/>
      <c r="F800" s="16" t="n"/>
      <c r="G800" s="36" t="n"/>
      <c r="H800" s="16" t="n"/>
      <c r="I800" s="19">
        <f>IF(OR(F800="",G800=""),"",F800*G800)</f>
        <v/>
      </c>
      <c r="J800" s="36">
        <f>IF(OR(F800="",G800=""),"",ROUND(G800*(1+F800/30),1))</f>
        <v/>
      </c>
      <c r="K800" s="20" t="n"/>
    </row>
    <row r="801" ht="18" customHeight="1">
      <c r="A801" s="37" t="n"/>
      <c r="B801" s="22">
        <f>IF(A801="","",IFERROR(INT((A801-DATE(2026,4,27))/7)+1,""))</f>
        <v/>
      </c>
      <c r="C801" s="22" t="n"/>
      <c r="D801" s="23" t="n"/>
      <c r="E801" s="22" t="n"/>
      <c r="F801" s="22" t="n"/>
      <c r="G801" s="38" t="n"/>
      <c r="H801" s="22" t="n"/>
      <c r="I801" s="25">
        <f>IF(OR(F801="",G801=""),"",F801*G801)</f>
        <v/>
      </c>
      <c r="J801" s="38">
        <f>IF(OR(F801="",G801=""),"",ROUND(G801*(1+F801/30),1))</f>
        <v/>
      </c>
      <c r="K801" s="26" t="n"/>
    </row>
  </sheetData>
  <dataValidations count="2">
    <dataValidation sqref="C2:C801" showDropDown="0" showInputMessage="0" showErrorMessage="0" allowBlank="1" type="list">
      <formula1>"Upper A,Lower A,Upper B,Lower B"</formula1>
    </dataValidation>
    <dataValidation sqref="H2:H801" showDropDown="0" showInputMessage="0" showErrorMessage="0" allowBlank="1" type="list">
      <formula1>"5,5.5,6,6.5,7,7.5,8,8.5,9,9.5,10"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1"/>
  <sheetViews>
    <sheetView workbookViewId="0">
      <pane ySplit="1" topLeftCell="A2" activePane="bottomLeft" state="frozen"/>
      <selection pane="bottomLeft" activeCell="A1" sqref="A1"/>
    </sheetView>
  </sheetViews>
  <sheetFormatPr baseColWidth="8" defaultRowHeight="15"/>
  <cols>
    <col width="12" customWidth="1" min="1" max="1"/>
    <col width="7" customWidth="1" min="2" max="2"/>
    <col width="14" customWidth="1" min="3" max="3"/>
    <col width="12" customWidth="1" min="4" max="4"/>
    <col width="14" customWidth="1" min="5" max="5"/>
    <col width="10" customWidth="1" min="6" max="6"/>
    <col width="10" customWidth="1" min="7" max="7"/>
    <col width="7" customWidth="1" min="8" max="8"/>
    <col width="16" customWidth="1" min="9" max="9"/>
    <col width="42" customWidth="1" min="10" max="10"/>
  </cols>
  <sheetData>
    <row r="1" ht="26" customHeight="1">
      <c r="A1" s="14" t="inlineStr">
        <is>
          <t>Date</t>
        </is>
      </c>
      <c r="B1" s="14" t="inlineStr">
        <is>
          <t>Week</t>
        </is>
      </c>
      <c r="C1" s="14" t="inlineStr">
        <is>
          <t>Distance (km)</t>
        </is>
      </c>
      <c r="D1" s="14" t="inlineStr">
        <is>
          <t>Time (min)</t>
        </is>
      </c>
      <c r="E1" s="14" t="inlineStr">
        <is>
          <t>Pace (min/km)</t>
        </is>
      </c>
      <c r="F1" s="14" t="inlineStr">
        <is>
          <t>Avg HR</t>
        </is>
      </c>
      <c r="G1" s="14" t="inlineStr">
        <is>
          <t>Max HR</t>
        </is>
      </c>
      <c r="H1" s="14" t="inlineStr">
        <is>
          <t>RPE</t>
        </is>
      </c>
      <c r="I1" s="14" t="inlineStr">
        <is>
          <t>Type</t>
        </is>
      </c>
      <c r="J1" s="14" t="inlineStr">
        <is>
          <t>Notes</t>
        </is>
      </c>
      <c r="K1" s="14" t="inlineStr">
        <is>
          <t>Bike km</t>
        </is>
      </c>
    </row>
    <row r="2" ht="18" customHeight="1">
      <c r="A2" s="35" t="n">
        <v>46150</v>
      </c>
      <c r="B2" s="16">
        <f>IF(A2="","",IFERROR(INT((A2-DATE(2026,4,27))/7)+1,""))</f>
        <v/>
      </c>
      <c r="C2" s="27" t="n">
        <v>5</v>
      </c>
      <c r="D2" s="36" t="n">
        <v>25.97</v>
      </c>
      <c r="E2" s="16">
        <f>IF(OR(C2="",D2=""),"",TEXT(D2/C2/1440,"m:ss"))</f>
        <v/>
      </c>
      <c r="F2" s="16" t="n">
        <v>176</v>
      </c>
      <c r="G2" s="16" t="n">
        <v>204</v>
      </c>
      <c r="H2" s="16" t="n">
        <v>9</v>
      </c>
      <c r="I2" s="16" t="inlineStr">
        <is>
          <t>Other</t>
        </is>
      </c>
      <c r="J2" s="20" t="inlineStr">
        <is>
          <t>5K PR 25:58 @5:12/km. Z5 65%, planned Z2 — full CNS dump</t>
        </is>
      </c>
    </row>
    <row r="3" ht="18" customHeight="1">
      <c r="A3" s="37" t="n">
        <v>46159</v>
      </c>
      <c r="B3" s="22">
        <f>IF(A3="","",IFERROR(INT((A3-DATE(2026,4,27))/7)+1,""))</f>
        <v/>
      </c>
      <c r="C3" s="28" t="n">
        <v>5.2</v>
      </c>
      <c r="D3" s="38" t="n">
        <v>35</v>
      </c>
      <c r="E3" s="22">
        <f>IF(OR(C3="",D3=""),"",TEXT(D3/C3/1440,"m:ss"))</f>
        <v/>
      </c>
      <c r="F3" s="22" t="n">
        <v>160</v>
      </c>
      <c r="G3" s="22" t="n">
        <v>0</v>
      </c>
      <c r="H3" s="22" t="n">
        <v>3</v>
      </c>
      <c r="I3" s="22" t="inlineStr">
        <is>
          <t>Easy</t>
        </is>
      </c>
      <c r="J3" s="26" t="inlineStr">
        <is>
          <t>Sun Z2 chill 6:43/km; avg HR 160; max not recorded; aerobic base held</t>
        </is>
      </c>
    </row>
    <row r="4" ht="18" customHeight="1">
      <c r="A4" s="35" t="n">
        <v>46182</v>
      </c>
      <c r="B4" s="16">
        <f>IF(A4="","",IFERROR(INT((A4-DATE(2026,4,27))/7)+1,""))</f>
        <v/>
      </c>
      <c r="C4" s="27" t="n">
        <v>6</v>
      </c>
      <c r="D4" s="36" t="n">
        <v>38.08</v>
      </c>
      <c r="E4" s="16">
        <f>IF(OR(C4="",D4=""),"",TEXT(D4/C4/1440,"m:ss"))</f>
        <v/>
      </c>
      <c r="F4" s="16" t="n">
        <v>165</v>
      </c>
      <c r="G4" s="16" t="n">
        <v>181</v>
      </c>
      <c r="H4" s="16" t="n">
        <v>6</v>
      </c>
      <c r="I4" s="16" t="inlineStr">
        <is>
          <t>Easy</t>
        </is>
      </c>
      <c r="J4" s="20" t="inlineStr">
        <is>
          <t>6:21/km; cadence 162 (+7 vs W0 155); Z3 49%+Z4 45% — too hot, cap HR ≤150 next; shin HELD, no pinpoint</t>
        </is>
      </c>
    </row>
    <row r="5" ht="18" customHeight="1">
      <c r="A5" s="37" t="n">
        <v>46184</v>
      </c>
      <c r="B5" s="22">
        <f>IF(A5="","",IFERROR(INT((A5-DATE(2026,4,27))/7)+1,""))</f>
        <v/>
      </c>
      <c r="C5" s="28" t="n">
        <v>6</v>
      </c>
      <c r="D5" s="38" t="n">
        <v>45.8</v>
      </c>
      <c r="E5" s="22">
        <f>IF(OR(C5="",D5=""),"",TEXT(D5/C5/1440,"m:ss"))</f>
        <v/>
      </c>
      <c r="F5" s="22" t="n">
        <v>149</v>
      </c>
      <c r="G5" s="22" t="n">
        <v>164</v>
      </c>
      <c r="H5" s="22" t="n">
        <v>3</v>
      </c>
      <c r="I5" s="22" t="inlineStr">
        <is>
          <t>Easy</t>
        </is>
      </c>
      <c r="J5" s="26" t="inlineStr">
        <is>
          <t>7:38/km; cadence 162; 25%Z2/73%Z3 — pace fix landed (HR 165-&gt;149, RPE 6-&gt;3); shin clean</t>
        </is>
      </c>
    </row>
    <row r="6" ht="18" customHeight="1">
      <c r="A6" s="35" t="n">
        <v>46187</v>
      </c>
      <c r="B6" s="16">
        <f>IF(A6="","",IFERROR(INT((A6-DATE(2026,4,27))/7)+1,""))</f>
        <v/>
      </c>
      <c r="C6" s="27" t="n">
        <v>14</v>
      </c>
      <c r="D6" s="36" t="n">
        <v>108.87</v>
      </c>
      <c r="E6" s="16">
        <f>IF(OR(C6="",D6=""),"",TEXT(D6/C6/1440,"m:ss"))</f>
        <v/>
      </c>
      <c r="F6" s="16" t="n">
        <v>152</v>
      </c>
      <c r="G6" s="16" t="n">
        <v>171</v>
      </c>
      <c r="H6" s="16" t="n">
        <v>5</v>
      </c>
      <c r="I6" s="16" t="inlineStr">
        <is>
          <t>Long</t>
        </is>
      </c>
      <c r="J6" s="20" t="inlineStr">
        <is>
          <t>LONG #1 off layoff. 7:46/km; cadence 161; 91%Z2; walk breaks k5/k9/k12; 71 g in-run carbs; shin perfect</t>
        </is>
      </c>
    </row>
    <row r="7" ht="18" customHeight="1">
      <c r="A7" s="37" t="n">
        <v>46189</v>
      </c>
      <c r="B7" s="22">
        <f>IF(A7="","",IFERROR(INT((A7-DATE(2026,4,27))/7)+1,""))</f>
        <v/>
      </c>
      <c r="C7" s="28" t="n">
        <v>7</v>
      </c>
      <c r="D7" s="38" t="n">
        <v>46.8</v>
      </c>
      <c r="E7" s="22">
        <f>IF(OR(C7="",D7=""),"",TEXT(D7/C7/1440,"m:ss"))</f>
        <v/>
      </c>
      <c r="F7" s="22" t="n">
        <v>148</v>
      </c>
      <c r="G7" s="22" t="n">
        <v>167</v>
      </c>
      <c r="H7" s="22" t="n">
        <v>6</v>
      </c>
      <c r="I7" s="22" t="inlineStr">
        <is>
          <t>Easy</t>
        </is>
      </c>
      <c r="J7" s="26" t="inlineStr">
        <is>
          <t>6:41/km; cadence 164 (+2-3, one short of 165); avg HR 148 in 145-155 band, 91% Z2; shin clean, everything fine</t>
        </is>
      </c>
    </row>
    <row r="8" ht="18" customHeight="1">
      <c r="A8" s="35" t="n">
        <v>46191</v>
      </c>
      <c r="B8" s="16">
        <f>IF(A8="","",IFERROR(INT((A8-DATE(2026,4,27))/7)+1,""))</f>
        <v/>
      </c>
      <c r="C8" s="27" t="n">
        <v>10</v>
      </c>
      <c r="D8" s="36" t="n">
        <v>73.73</v>
      </c>
      <c r="E8" s="16">
        <f>IF(OR(C8="",D8=""),"",TEXT(D8/C8/1440,"m:ss"))</f>
        <v/>
      </c>
      <c r="F8" s="16" t="n">
        <v>150</v>
      </c>
      <c r="G8" s="16" t="n">
        <v>165</v>
      </c>
      <c r="H8" s="16" t="n">
        <v>4</v>
      </c>
      <c r="I8" s="16" t="inlineStr">
        <is>
          <t>Easy</t>
        </is>
      </c>
      <c r="J8" s="20" t="inlineStr">
        <is>
          <t>7:22/km; cadence 164; 96%Z2 = best zone control; k7 shin blip cleared in-run; EASY Z2 REFERENCE</t>
        </is>
      </c>
    </row>
    <row r="9" ht="18" customHeight="1">
      <c r="A9" s="37" t="n">
        <v>46195</v>
      </c>
      <c r="B9" s="22">
        <f>IF(A9="","",IFERROR(INT((A9-DATE(2026,4,27))/7)+1,""))</f>
        <v/>
      </c>
      <c r="C9" s="28" t="n">
        <v>18</v>
      </c>
      <c r="D9" s="38" t="n">
        <v>127</v>
      </c>
      <c r="E9" s="22">
        <f>IF(OR(C9="",D9=""),"",TEXT(D9/C9/1440,"m:ss"))</f>
        <v/>
      </c>
      <c r="F9" s="22" t="n">
        <v>149</v>
      </c>
      <c r="G9" s="22" t="n">
        <v>166</v>
      </c>
      <c r="H9" s="22" t="n">
        <v>4</v>
      </c>
      <c r="I9" s="22" t="inlineStr">
        <is>
          <t>Long</t>
        </is>
      </c>
      <c r="J9" s="26" t="inlineStr">
        <is>
          <t>LONG #2 = LONGEST RUN EVER. 7:03/km; cadence 164; 95%Z2 under 150 cap; 100 g in-run (~47 g/hr); shin perfect; EASY Z2 REFERENCE</t>
        </is>
      </c>
    </row>
    <row r="10" ht="18" customHeight="1">
      <c r="A10" s="35" t="n">
        <v>46201</v>
      </c>
      <c r="B10" s="16">
        <f>IF(A10="","",IFERROR(INT((A10-DATE(2026,4,27))/7)+1,""))</f>
        <v/>
      </c>
      <c r="C10" s="27" t="n">
        <v>7.27</v>
      </c>
      <c r="D10" s="36" t="n">
        <v>41.25</v>
      </c>
      <c r="E10" s="16">
        <f>IF(OR(C10="",D10=""),"",TEXT(D10/C10/1440,"m:ss"))</f>
        <v/>
      </c>
      <c r="F10" s="16" t="n">
        <v>164</v>
      </c>
      <c r="G10" s="16" t="n">
        <v>197</v>
      </c>
      <c r="H10" s="16" t="n">
        <v>7</v>
      </c>
      <c r="I10" s="16" t="inlineStr">
        <is>
          <t>Social</t>
        </is>
      </c>
      <c r="J10" s="20" t="inlineStr">
        <is>
          <t>5:40/km social — HOT: 31%Z2/42%Z3/19%Z4/1%Z5, avg 164; cadence 166 (FIRST &gt;=165, breaks 164 park); flat+sunny; quality run not base</t>
        </is>
      </c>
    </row>
    <row r="11" ht="18" customHeight="1">
      <c r="A11" s="37" t="n">
        <v>46203</v>
      </c>
      <c r="B11" s="22">
        <f>IF(A11="","",IFERROR(INT((A11-DATE(2026,4,27))/7)+1,""))</f>
        <v/>
      </c>
      <c r="C11" s="28" t="n">
        <v>8.029999999999999</v>
      </c>
      <c r="D11" s="38" t="n">
        <v>50.53</v>
      </c>
      <c r="E11" s="22">
        <f>IF(OR(C11="",D11=""),"",TEXT(D11/C11/1440,"m:ss"))</f>
        <v/>
      </c>
      <c r="F11" s="22" t="n">
        <v>155</v>
      </c>
      <c r="G11" s="22" t="n">
        <v>204</v>
      </c>
      <c r="H11" s="22" t="n">
        <v>8</v>
      </c>
      <c r="I11" s="22" t="inlineStr">
        <is>
          <t>Social</t>
        </is>
      </c>
      <c r="J11" s="26" t="inlineStr">
        <is>
          <t>6:18/km social — 57%Z2/35%Z3/2%Z4, avg 155 but max 204 spike; cadence 159 (regressed from 166); RPE 8 at slower pace than 6/28 = residual fatigue/heat</t>
        </is>
      </c>
    </row>
    <row r="12" ht="18" customHeight="1">
      <c r="A12" s="35" t="n">
        <v>46222</v>
      </c>
      <c r="B12" s="16">
        <f>IF(A12="","",IFERROR(INT((A12-DATE(2026,4,27))/7)+1,""))</f>
        <v/>
      </c>
      <c r="C12" s="27" t="n">
        <v>8.01</v>
      </c>
      <c r="D12" s="36" t="n">
        <v>52.17</v>
      </c>
      <c r="E12" s="16">
        <f>IF(OR(C12="",D12=""),"",TEXT(D12/C12/1440,"m:ss"))</f>
        <v/>
      </c>
      <c r="F12" s="16" t="n">
        <v>145</v>
      </c>
      <c r="G12" s="16" t="n">
        <v>162</v>
      </c>
      <c r="H12" s="16" t="n">
        <v>5</v>
      </c>
      <c r="I12" s="16" t="inlineStr">
        <is>
          <t>Easy</t>
        </is>
      </c>
      <c r="J12" s="20" t="inlineStr">
        <is>
          <t>BLOCK 2 W0 BENCHMARK PASSED — 6:31/km; cadence 166 (first 165+ at easy HR); 94%Z2; -51 s/km vs 6/18 at -5 bpm; first impact in ~4 wks, shin clean</t>
        </is>
      </c>
    </row>
    <row r="13" ht="18" customHeight="1">
      <c r="A13" s="37" t="n">
        <v>46224</v>
      </c>
      <c r="B13" s="22">
        <f>IF(A13="","",IFERROR(INT((A13-DATE(2026,4,27))/7)+1,""))</f>
        <v/>
      </c>
      <c r="C13" s="28" t="n">
        <v>5</v>
      </c>
      <c r="D13" s="38" t="n">
        <v>33.88</v>
      </c>
      <c r="E13" s="22">
        <f>IF(OR(C13="",D13=""),"",TEXT(D13/C13/1440,"m:ss"))</f>
        <v/>
      </c>
      <c r="F13" s="22" t="n">
        <v>147</v>
      </c>
      <c r="G13" s="22" t="n">
        <v>164</v>
      </c>
      <c r="H13" s="22" t="n">
        <v>5</v>
      </c>
      <c r="I13" s="22" t="inlineStr">
        <is>
          <t>Easy</t>
        </is>
      </c>
      <c r="J13" s="26" t="inlineStr">
        <is>
          <t>W1 Tue. 6:46/km; cadence 166 (2nd straight 165+ easy); 92%Z2; 2x1 min walk; run 24h post first legs day in 62d (DOMS 3/3/3) — shin clean during+after</t>
        </is>
      </c>
    </row>
    <row r="14" ht="18" customHeight="1">
      <c r="A14" s="35" t="n">
        <v>46225</v>
      </c>
      <c r="B14" s="16">
        <f>IF(A14="","",IFERROR(INT((A14-DATE(2026,4,27))/7)+1,""))</f>
        <v/>
      </c>
      <c r="C14" s="27" t="n">
        <v>6</v>
      </c>
      <c r="D14" s="36" t="n">
        <v>40.45</v>
      </c>
      <c r="E14" s="16">
        <f>IF(OR(C14="",D14=""),"",TEXT(D14/C14/1440,"m:ss"))</f>
        <v/>
      </c>
      <c r="F14" s="16" t="n">
        <v>144</v>
      </c>
      <c r="G14" s="16" t="n">
        <v>161</v>
      </c>
      <c r="H14" s="16" t="n">
        <v>6</v>
      </c>
      <c r="I14" s="16" t="inlineStr">
        <is>
          <t>Easy</t>
        </is>
      </c>
      <c r="J14" s="20" t="inlineStr">
        <is>
          <t>W1 Wed. 6:44/km; cadence 168 (PR, 3rd straight 165+ easy, above 166 target); 93%Z2; avg HR 144 = block-low; 0 walk breaks = first continuous run of block; shin clean start/mid/end; -3 bpm &amp; 0 breaks vs Tue at same pace = DOMS tax gone</t>
        </is>
      </c>
    </row>
    <row r="15" ht="18" customHeight="1">
      <c r="A15" s="37" t="n">
        <v>46228</v>
      </c>
      <c r="B15" s="22">
        <f>IF(A15="","",IFERROR(INT((A15-DATE(2026,4,27))/7)+1,""))</f>
        <v/>
      </c>
      <c r="C15" s="28" t="n">
        <v>5</v>
      </c>
      <c r="D15" s="38" t="n">
        <v>34.27</v>
      </c>
      <c r="E15" s="22">
        <f>IF(OR(C15="",D15=""),"",TEXT(D15/C15/1440,"m:ss"))</f>
        <v/>
      </c>
      <c r="F15" s="22" t="n">
        <v>148</v>
      </c>
      <c r="G15" s="22" t="n">
        <v>158</v>
      </c>
      <c r="H15" s="22" t="n">
        <v>7</v>
      </c>
      <c r="I15" s="22" t="inlineStr">
        <is>
          <t>Easy</t>
        </is>
      </c>
      <c r="J15" s="26" t="inlineStr">
        <is>
          <t>W1 Sat. 6:51/km; cadence 167 (4th straight 165+ easy); 96%Z2; 0 walk breaks (2nd continuous); shin clean during+after = check #8; RPE 7 + general discomfort on week-low sleep 7:32 (2nd straight post-midnight bed) — sleep tax read, watch not flag</t>
        </is>
      </c>
    </row>
    <row r="16" ht="18" customHeight="1">
      <c r="A16" s="35" t="n">
        <v>46267</v>
      </c>
      <c r="B16" s="16">
        <f>IF(A16="","",IFERROR(INT((A16-DATE(2026,4,27))/7)+1,""))</f>
        <v/>
      </c>
      <c r="C16" s="27" t="n">
        <v>5</v>
      </c>
      <c r="D16" s="36" t="n">
        <v>37.57</v>
      </c>
      <c r="E16" s="16">
        <f>IF(OR(C16="",D16=""),"",TEXT(D16/C16/1440,"m:ss"))</f>
        <v/>
      </c>
      <c r="F16" s="16" t="n">
        <v>145</v>
      </c>
      <c r="G16" s="16" t="n">
        <v>176</v>
      </c>
      <c r="H16" s="16" t="n">
        <v>4</v>
      </c>
      <c r="I16" s="16" t="inlineStr">
        <is>
          <t>Easy</t>
        </is>
      </c>
      <c r="J16" s="20" t="inlineStr">
        <is>
          <t>Blk2 Wk A Wed (swapped in for skipped Tue). FIRST RUN AFTER THE 34-DAY DARK GAP (Jul 29-Aug 30). 7:30/km raw but 4 walk breaks inside 37:34 -&gt; running pace ~6:43/km at avg HR 145 vs 6:44/km at HR 144 on 7/22 = ENGINE INTACT, gap cost nothing aerobically. 94%Z2, RPE 4 = easiest run in the log. Shin CLEAN check #10. CADENCE 160 = REGRESSION, streak was 166/166/168PR/167 (7/19-7/25) -&gt; fell back to pre-metronome band; habit was never habitual, metronome 166 now mandatory every run incl. long (bone lever: shorter ground contact = less tibial impact). 4 walk breaks also a regression (0 on 7/22 and 7/25). Max HR 176 = brief restart surge off a walk break.</t>
        </is>
      </c>
    </row>
    <row r="17" ht="18" customHeight="1">
      <c r="A17" s="37" t="n">
        <v>46269</v>
      </c>
      <c r="B17" s="22">
        <f>IF(A17="","",IFERROR(INT((A17-DATE(2026,4,27))/7)+1,""))</f>
        <v/>
      </c>
      <c r="C17" s="28" t="n">
        <v>6</v>
      </c>
      <c r="D17" s="38" t="n">
        <v>42.82</v>
      </c>
      <c r="E17" s="22">
        <f>IF(OR(C17="",D17=""),"",TEXT(D17/C17/1440,"m:ss"))</f>
        <v/>
      </c>
      <c r="F17" s="22" t="n">
        <v>145</v>
      </c>
      <c r="G17" s="22" t="n">
        <v>166</v>
      </c>
      <c r="H17" s="22" t="n">
        <v>3</v>
      </c>
      <c r="I17" s="22" t="inlineStr">
        <is>
          <t>Easy</t>
        </is>
      </c>
      <c r="J17" s="26" t="inlineStr">
        <is>
          <t>Blk2 Wk A Fri, run-only (cali MOVED to Sat 9/5 at user request). 7:08/km, 80%Z2, RPE 3 = lowest in log, 13C raining. CADENCE 166 = target hit, re-closed in ONE run after 160 on 9/2 -&gt; cadence is CUE-DEPENDENT, not lost; metronome mandatory every run to race incl. long (bone lever). 0 WALK BREAKS (4 on 9/2) over a longer run = continuous-run item green again, matches 7/22 and 7/25. Both 9/2 regressions closed in one session. TRUE POST-GAP EASY BENCHMARK = 7:08/km @ HR 145 (use this, NOT 9/2 7:30 which was walk-break distorted): vs 7/22 6k 6:44/km @ HR 144 = 24 s/km slower at same HR = expected chassis cost of 34 dark days, not an engine problem. Do not chase it back. %Z2 94-&gt;80 at same avg HR, max only 166 = late drift into low Z3, not a spike; watch Sun 10k, &lt;75%Z2 = too fast. Shin CLEAN check #12. Legs fresh. Fuel 2946 kcal = +546 over ~2400 maintenance, after +977 on 9/2 = ~+1500 over two logged days = drift not noise; protein 151 in band but at floor; creatine Y. BW not logged since 75.0 on 8/31.</t>
        </is>
      </c>
    </row>
    <row r="18" ht="18" customHeight="1">
      <c r="A18" s="35" t="n">
        <v>46271</v>
      </c>
      <c r="B18" s="16">
        <f>IF(A18="","",IFERROR(INT((A18-DATE(2026,4,27))/7)+1,""))</f>
        <v/>
      </c>
      <c r="C18" s="27" t="n">
        <v>10</v>
      </c>
      <c r="D18" s="36" t="n">
        <v>75.15000000000001</v>
      </c>
      <c r="E18" s="16">
        <f>IF(OR(C18="",D18=""),"",TEXT(D18/C18/1440,"m:ss"))</f>
        <v/>
      </c>
      <c r="F18" s="16" t="n">
        <v>150</v>
      </c>
      <c r="G18" s="16" t="n">
        <v>161</v>
      </c>
      <c r="H18" s="16" t="n">
        <v>4</v>
      </c>
      <c r="I18" s="16" t="inlineStr">
        <is>
          <t>Long</t>
        </is>
      </c>
      <c r="J18" s="20" t="inlineStr">
        <is>
          <t>Blk2 Wk A Sun - LONG 10k, WEEK A CLOSER. 7:31/km, 97%Z2 = HIGHEST IN LOG (94 on 5k -&gt; 80 on 6k -&gt; 97 on 10k; easy-day discipline scaled UP with distance). Longest run since 2026-06-22 (18k); +36% step over Fri's 6k; taken 20h post-lifting instead of 48h (cali moved Fri-&gt;Sat). CADENCE 167 = BLOCK'S OLDEST OPEN ITEM CLOSED: 3rd cued run, 3rd hit (166/166/167), 1 spm off the 168 PR, held through 75 min where fatigue had every chance to drag turnover down. Never lost, only uncued - metronome every run to the race, bone lever (shorter ground contact = less tibial impact). 0 WALK BREAKS over 10k = continuous running green at 6k AND at 10k under fatigue; the 4 breaks on 9/2 were first-run-back rust, not a pattern. SHIN CLEAN check #15, 15 straight, through the biggest distance jump of the block. HONEST PACE READ: 7:31/km @ HR 150 today vs 7:08/km @ HR 145 on 9/4 = slower pace at HIGHER HR. Over 67% more distance, sunny vs 13C rain = ordinary decoupling on a re-entry long run, NOT a flag; max 161 = steady drift, no spikes. But the run sat AT the ceiling, not under it -&gt; Wk B's 12k must OPEN SLOWER (~7:35-7:50/km early); the extra 2km comes out of the first half's pace budget, not the second half's HR. RPE 4 + user: 'a bit tired but could have done 15km chill' = engine ahead of chassis and ahead of plan. Extraction audit verdict: the un-cashed lever is COMPLIANCE (3 of 4 runs run, 21 of 26 km), NOT more km - long-run ramp is already stacked at its ceiling and bone, not lungs, sets the ceiling. Wk B long stays 12k; set distance by bone, not by breath. Fuel during run: half banana + 80% Powerade ~30-40g carbs / 75 min = on the 30 g/h prescription, unprompted. Kcal 2693 vs ~2600 long-day cap = +93 = FUEL DRIFT ARRESTED (was +977/+546/+937). Protein 170 (down from 227). Creatine Y.</t>
        </is>
      </c>
    </row>
    <row r="19" ht="18" customHeight="1">
      <c r="A19" s="37" t="n">
        <v>46272</v>
      </c>
      <c r="B19" s="22">
        <f>IF(A19="","",IFERROR(INT((A19-DATE(2026,4,27))/7)+1,""))</f>
        <v/>
      </c>
      <c r="C19" s="28" t="n">
        <v>5</v>
      </c>
      <c r="D19" s="38" t="n">
        <v>36.5</v>
      </c>
      <c r="E19" s="22">
        <f>IF(OR(C19="",D19=""),"",TEXT(D19/C19/1440,"m:ss"))</f>
        <v/>
      </c>
      <c r="F19" s="22" t="n">
        <v>147</v>
      </c>
      <c r="G19" s="22" t="n">
        <v>162</v>
      </c>
      <c r="H19" s="22" t="n">
        <v>3</v>
      </c>
      <c r="I19" s="22" t="inlineStr">
        <is>
          <t>Easy</t>
        </is>
      </c>
      <c r="J19" s="26" t="inlineStr">
        <is>
          <t>Blk2 Wk B Mon - 5k easy shakeout, 24h after Sun's 10k long. Monday was a REST day until two same-day schedule swaps (cali #3 Mon-&gt;Wed, cali #4 Fri-&gt;Sat) would have left 6 consecutive loaded days on one rest day; rebalanced by spending Monday's rest on the week's shortest run and making Thursday the rest day. 7:18/km @ HR 147, 97%Z2, RPE 3 = LOWEST RUN RPE IN THE LOG. Prescription was 7:35-7:50/km -&gt; ran ~20 s/km HOT. Allowed to stand because HR 147 held under the 150 ceiling, but it is the block's recurring pattern: feeling good becomes FASTER, not EASIER. On Sunday's 12k that costs the back half - open at 7:50 and mean it. EFFICIENCY: 7:18 @ 147 vs the clean rested comparable 7:08 @ 145 on 9/4 = 10 s/km slower at +2 bpm on a day-after-long shakeout = chassis recovering FASTER than the ramp assumed. CADENCE 167 = 4th straight cued run on target (166/166/167/167); metronome stays mandatory. 0 walk breaks, 3rd run running. SHIN CLEAN check #17. Fuel 2566 vs corrected uni-day ~2650-2700 = ~100 under, noise. Protein 169 (band 155-165). Creatine Y. Steps 9100. BIKE 24 km - uni-day commute, DISCLOSED TODAY as Tier 1 load (12 km each way, Mon-Thu = 96 km/wk, ~4-5 h, MORE clock time than the running). Zero bone cost (non-impact, does not spend the tibia budget) and it partly explains why the audits keep finding the engine ahead of the chassis. Makes the ~2400 kcal maintenance figure STALE: uni days 2650-2700, non-uni 2400, Sun long 2700. Sat+Sun are bike-free - that is what protects the long run. Wk B compliance: run 1 of 4.</t>
        </is>
      </c>
      <c r="K19" t="n">
        <v>24</v>
      </c>
    </row>
    <row r="20" ht="18" customHeight="1">
      <c r="A20" s="35" t="n">
        <v>46273</v>
      </c>
      <c r="B20" s="16">
        <f>IF(A20="","",IFERROR(INT((A20-DATE(2026,4,27))/7)+1,""))</f>
        <v/>
      </c>
      <c r="C20" s="27" t="n">
        <v>6</v>
      </c>
      <c r="D20" s="36" t="n">
        <v>48.22</v>
      </c>
      <c r="E20" s="16">
        <f>IF(OR(C20="",D20=""),"",TEXT(D20/C20/1440,"m:ss"))</f>
        <v/>
      </c>
      <c r="F20" s="16" t="n">
        <v>140</v>
      </c>
      <c r="G20" s="16" t="n">
        <v>153</v>
      </c>
      <c r="H20" s="16" t="n">
        <v>1</v>
      </c>
      <c r="I20" s="16" t="inlineStr">
        <is>
          <t>Easy Z2</t>
        </is>
      </c>
      <c r="J20" s="20" t="inlineStr">
        <is>
          <t>97% Z2, cadence 163 (first cued miss), 0 walk breaks, light rain, shin clean #19. Pace obeyed prescription 8:01 vs 7:45-8:00.</t>
        </is>
      </c>
      <c r="K20" t="n">
        <v>24</v>
      </c>
    </row>
    <row r="21" ht="18" customHeight="1">
      <c r="A21" s="35" t="n">
        <v>46276</v>
      </c>
      <c r="B21" s="16">
        <f>IF(A21="","",IFERROR(INT((A21-DATE(2026,4,27))/7)+1,""))</f>
        <v/>
      </c>
      <c r="C21" s="27" t="n">
        <v>6</v>
      </c>
      <c r="D21" s="36" t="n">
        <v>44.3</v>
      </c>
      <c r="E21" s="16">
        <f>IF(OR(C21="",D21=""),"",TEXT(D21/C21/1440,"m:ss"))</f>
        <v/>
      </c>
      <c r="F21" s="16" t="n">
        <v>146</v>
      </c>
      <c r="G21" s="16" t="n">
        <v>158</v>
      </c>
      <c r="H21" s="16" t="n">
        <v>2</v>
      </c>
      <c r="I21" s="16" t="inlineStr">
        <is>
          <t>Easy Z2</t>
        </is>
      </c>
      <c r="J21" s="20" t="inlineStr">
        <is>
          <t>Blk2 Wk B Fri - run easy 6 k, LAST SESSION OF WK B. 7:22/km @ HR 146, 98% Z2 = HIGHEST Z2 SHARE OF THE BLOCK, max 158, RPE 2, 0 walk breaks (streak 4), chilly cloudy, 'It was a chill day.' SHIN CLEAN check #23. Fri is bike-free. ENGINE READ EXCELLENT: clean comparable is 9/4 (7:08/km @ HR 145, fully rested) -&gt; 7:22 @ 146 shows NO drift; third consecutive run at RPE &lt;=3. CADENCE 166 HIT BUT BOUGHT WITH SPEED - THIS RUN DOES NOT ANSWER THE OPEN QUESTION. Prescription was open ~7:50/km; actual 7:22 = 28 s/km HOT, landing back in the 7:08-7:18 band where the cue has always worked. The session's own rule called it in advance: pace under 7:40 means cadence was bought with speed, not turnover. The metronome still has ZERO successful reps below ~7:20/km; the only honest test remains 9/8 (8:01/km -&gt; 163). THIRD REPEAT OF THE PATTERN: 9/7 ran 7:18 vs 7:35-7:50, 9/8 obeyed at 8:01, 9/11 ran 7:22 vs 7:50. The correction lands for exactly one run, then decays. Costs nothing on a 6 k; costs the back half on a 12-22 k, the only place opening pace matters. Carried forward and now overdue. PM NOT SUPPLIED - kcal, protein, creatine, steps, Friday-night symptoms written off, not reconstructed. Illness surfaced Saturday so this run was likely made on an incubating bug; HR 146 at RPE 2 shows no prodrome, so noted not weighted. WK B CLOSES HERE: runs 3 of 4, 17 of 29 km, cali 1 of 2 - Sat cali #4 and Sun long 12 k both LOST TO ILLNESS.</t>
        </is>
      </c>
      <c r="K21" t="n">
        <v>0</v>
      </c>
    </row>
    <row r="22" ht="18" customHeight="1">
      <c r="A22" s="35" t="n">
        <v>46281</v>
      </c>
      <c r="B22" s="16">
        <f>IF(A22="","",IFERROR(INT((A22-DATE(2026,4,27))/7)+1,""))</f>
        <v/>
      </c>
      <c r="C22" s="27" t="n">
        <v>4</v>
      </c>
      <c r="D22" s="36" t="n">
        <v>24.92</v>
      </c>
      <c r="E22" s="16">
        <f>IF(OR(C22="",D22=""),"",TEXT(D22/C22/1440,"m:ss"))</f>
        <v/>
      </c>
      <c r="F22" s="16" t="n">
        <v>159</v>
      </c>
      <c r="G22" s="16" t="n">
        <v>176</v>
      </c>
      <c r="H22" s="16" t="n">
        <v>5</v>
      </c>
      <c r="I22" s="16" t="inlineStr">
        <is>
          <t>Easy re-entry</t>
        </is>
      </c>
      <c r="J22" s="20" t="inlineStr">
        <is>
          <t>Blk2 Wk C Wed - RUN RE-ENTRY 4 k, first run after illness (sick 9/12-9/14, clear 9/15) and a 5-day run gap. DONE BUT OFF-PRESCRIPTION - three rule breaches. Prescribed 7:50-8:10/km, HARD HR ceiling 140, bike HALVED to 12 km. ACTUAL 6:14/km @ avg HR 159, max 176, 47%Z2 / 51%Z3 / 2%Z4+, RPE 5, cadence 167, bike 24 km, steps 23249, chill night. User: 'Good run I was feeling good so I just ran.' (1) HR CEILING BLOWN BY 19 BPM - more time above the cap than below it, on the single most tightly capped session in the block, the illness rule's mandatory one easy SHORT run before anything loaded. (2) BLOCK GATE BREACHED - nothing above HR 150 runs before Fri Sep 25; this sat above 150 for most of its length, and at 6:14/km it was 6 s/km FASTER than 30 k race pace. (3) BIKE 24 km vs 12 - the halving WAS the re-entry recovery budget. CADENCE 167 IS VOID: a cadence number only counts if the pace instruction was obeyed, and under ~7:40/km the datapoint does not exist - at 6:14 the beat is bought with speed, not turnover. The metronome still has ZERO successful reps below ~7:20/km; 9/8 (8:01/km -&gt; 163) remains the only honest test. ENGINE SIGNAL IS REAL AND IS THE ONE GOOD THING: 6:14/km at HR 159, RPE 5, five days detrained post-illness. The 9/06 addendum modelled race pace 6:20/km at HR 160-168 - he beat goal pace at the BOTTOM of that band and called it 5/10. This does NOT open sub-3:00 and does NOT move any distance: 4 km is 13% of the race, and sub-3:10 is gated by holding 6:20 at km 25 off a 22 k longest run, not by 4 km of pace. FINISHING PROBLEM UNCHANGED. It does make the Sep 25 benchmark very likely to clear - which is an argument for running it rested and measured, not for pre-spending it. SHIN CLEAN check #24, but the check was taken the same night and bone stress surfaces at 24-72 h -&gt; verdict deferred to the Thu 9/17 and Fri 9/18 AM checks. Steps 23249 with no job, stacked on 24 km of bike: soft-tissue load, no bone value. MACROS NOT COUNTED 9/16 - written off, not reconstructed, not re-asked. Creatine Y. Wk C after Day 1: runs 1 of 3, 4 of 21 km.</t>
        </is>
      </c>
      <c r="K22" t="n">
        <v>24</v>
      </c>
    </row>
    <row r="23" ht="18" customHeight="1">
      <c r="A23" s="37" t="n">
        <v>46286</v>
      </c>
      <c r="B23" s="22">
        <f>IF(A23="","",IFERROR(INT((A23-DATE(2026,4,27))/7)+1,""))</f>
        <v/>
      </c>
      <c r="C23" s="28" t="n">
        <v>6</v>
      </c>
      <c r="D23" s="38" t="n">
        <v>47.7</v>
      </c>
      <c r="E23" s="22">
        <f>IF(OR(C23="",D23=""),"",TEXT(D23/C23/1440,"m:ss"))</f>
        <v/>
      </c>
      <c r="F23" s="22" t="n">
        <v>145</v>
      </c>
      <c r="G23" s="22" t="n">
        <v>154</v>
      </c>
      <c r="H23" s="22" t="n">
        <v>4</v>
      </c>
      <c r="I23" s="22" t="inlineStr">
        <is>
          <t>Easy Z2</t>
        </is>
      </c>
      <c r="J23" s="26" t="inlineStr">
        <is>
          <t>Wk D Mon - run easy 6 k AM (Mon&lt;-&gt;Tue swap; cali #5 moved to Tue 9/22). 7:56/km, 99% Z2, CADENCE 170, 0 walk breaks, RPE 4, 'chill run'. SLOW-PACE CADENCE TEST - PASSED, ITEM CLOSED. Prescription was hold 7:45-8:00/km and hit 166 by SHORTENING STRIDE; pace came in at 7:56 = INSIDE the band, so the data point is VALID (no sub-7:40 void, nothing bought with speed) - the first obeyed opening pace in four tries (9/7 hot, 9/11 hot, 9/16 hot, 9/21 obeyed). Cadence 170 vs the only prior honest slow-pace test, 9/8 at 8:01/km -&gt; 163: same pace, +7 spm, and 4 ABOVE the 166 target. The cue does NOT break at slow pace; 9/8 was one failed rep, not a pace ceiling. NEW STANDING RULE: metronome 166 is a FLOOR at every pace, held by shortening stride; overshoot to 170 is welcome, do not chase it back down. Never re-test uncued (9/2 ran that: 160). Bone lever, not cosmetic - 163-&gt;170 across Sunday's 12 k easy portion is real reduction in impact per strike, and that is exactly where the tibia budget is spent. SHIN CLEAN - check #26, 26/26 this block. HR 145 @ 7:56 vs 140 @ 8:01 on 9/8 = +5 bpm at the same pace; NOT called as drift - 9/8 was RPE 1 in light rain, today RPE 4, and a shorter quicker stride carries a small metabolic cost. Noise band. Recheck Thu 9/24. BIKE 0 km on a uni day (class 12:00-17:00, run went AM) - zero training consequence, bike has no bone value; consequence is fuel only: Monday target drops from 2650-2700 to ~2400. Creatine Y. Loaded-day count intact: Mon run (1) -&gt; Tue cali #5 (2) -&gt; Wed full rest; max-2 holds, and the swap now gives the RPE-6 leg cap 48 h in front of Thu's 4 k. STILL OPEN: 9/18, 9/19, 9/20 unlogged - Sun 9/27 stays provisional at 15 k if the 9/20 long happened, 13 k if it was missed or cut short. Fri 9/25 benchmark unaffected.</t>
        </is>
      </c>
      <c r="K23" t="n">
        <v>0</v>
      </c>
    </row>
    <row r="24" ht="18" customHeight="1">
      <c r="A24" s="35" t="n">
        <v>46289</v>
      </c>
      <c r="B24" s="16">
        <f>IF(A24="","",IFERROR(INT((A24-DATE(2026,4,27))/7)+1,""))</f>
        <v/>
      </c>
      <c r="C24" s="27" t="n">
        <v>4</v>
      </c>
      <c r="D24" s="36" t="n">
        <v>26.38</v>
      </c>
      <c r="E24" s="16">
        <f>IF(OR(C24="",D24=""),"",TEXT(D24/C24/1440,"m:ss"))</f>
        <v/>
      </c>
      <c r="F24" s="16" t="n">
        <v>154</v>
      </c>
      <c r="G24" s="16" t="n">
        <v>167</v>
      </c>
      <c r="H24" s="16" t="n">
        <v>4</v>
      </c>
      <c r="I24" s="16" t="inlineStr">
        <is>
          <t>Easy Z2</t>
        </is>
      </c>
      <c r="J24" s="20" t="inlineStr">
        <is>
          <t>Wk D Thu - run easy 4 k, day before Fri 9/25 8 k benchmark. OFF-PRESCRIPTION: prescribed open 8:00/km, never under 7:40, HR ceiling 150. ACTUAL 6:35/km @ avg HR 154, max 167, Z1 7 / Z2 80 / Z3 13, cadence 165, 0 walk breaks, RPE 4, outdoor sunny. 'All good I felt really good.' Pace floor missed ~1:05/km, HR cap broken. Pace-obedience decay: 9/7 hot, 9/8 obeyed, 9/11 hot, 9/16 hot, 9/21 obeyed, 9/24 hot. CADENCE 165 VOID (pace &lt;7:40); note 170 @ 7:56 vs 165 @ 6:35 = longer stride at speed - metronome on for benchmark. HR drift check VOID (pace not matched to 9/21 145 @ 7:56); engine consistent with 9/16 (6:14 @ 159). SHIN CLEAN #30 (same-night; Fri AM is the gate). Benchmark cost small, Fri stands.</t>
        </is>
      </c>
      <c r="K24" t="n">
        <v>0</v>
      </c>
    </row>
    <row r="25" ht="18" customHeight="1">
      <c r="A25" s="37" t="n">
        <v>46290</v>
      </c>
      <c r="B25" s="22">
        <f>IF(A25="","",IFERROR(INT((A25-DATE(2026,4,27))/7)+1,""))</f>
        <v/>
      </c>
      <c r="C25" s="28" t="n">
        <v>9.01</v>
      </c>
      <c r="D25" s="38" t="n">
        <v>52.43</v>
      </c>
      <c r="E25" s="22">
        <f>IF(OR(C25="",D25=""),"",TEXT(D25/C25/1440,"m:ss"))</f>
        <v/>
      </c>
      <c r="F25" s="22" t="n">
        <v>173</v>
      </c>
      <c r="G25" s="22" t="n">
        <v>198</v>
      </c>
      <c r="H25" s="22" t="n">
        <v>9</v>
      </c>
      <c r="I25" s="22" t="inlineStr">
        <is>
          <t>Benchmark</t>
        </is>
      </c>
      <c r="J25" s="26" t="inlineStr">
        <is>
          <t>Wk D Fri - 8 K BENCHMARK, AM 09:34 (flipped from PM). Total 9.01 km moving 52:26, elapsed 54:43. WU 1 k (not 2) 6:46 @ 146, cadence 159. 8 k (km 2-9): 5:42/km moving, 5:58 elapsed. Splits 5:21 @179 (hero opener) / 6:05 @172 (+42 s traffic light) / 5:59 @174 / 5:52 @177 / 5:53 @177 / 6:03 @174 / 5:48 @177 / 4:37 @190 max 198 (+44 s traffic light). Even-effort core km 3-8 = 5:57 @ HR ~175. Cadence ~166 over the 8 k (laps 163-170). No CD. RPE 9. SHIN CLEAN #32. VERDICT: sub-3:10 CONFIRMED, sub-3:00 NOT opened (opener + stops + kick inflate moving avg; longest run 10 k). Race-pace HR model holds: 6:20 ~ HR 163-168. Tibialis moved to Sat.</t>
        </is>
      </c>
      <c r="K25" t="n">
        <v>0</v>
      </c>
    </row>
    <row r="26" ht="18" customHeight="1">
      <c r="A26" s="35" t="n">
        <v>46292</v>
      </c>
      <c r="B26" s="16">
        <f>IF(A26="","",IFERROR(INT((A26-DATE(2026,4,27))/7)+1,""))</f>
        <v/>
      </c>
      <c r="C26" s="27" t="n">
        <v>13.01</v>
      </c>
      <c r="D26" s="36" t="n">
        <v>98.92</v>
      </c>
      <c r="E26" s="16">
        <f>IF(OR(C26="",D26=""),"",TEXT(D26/C26/1440,"m:ss"))</f>
        <v/>
      </c>
      <c r="F26" s="16" t="n">
        <v>153</v>
      </c>
      <c r="G26" s="16" t="n">
        <v>179</v>
      </c>
      <c r="H26" s="16" t="n">
        <v>6</v>
      </c>
      <c r="I26" s="16" t="inlineStr">
        <is>
          <t>Long</t>
        </is>
      </c>
      <c r="J26" s="20" t="inlineStr">
        <is>
          <t>Wk D Sun - LONG 13 k, PM 15:43 (moved from AM). Moving 1:38:55, elapsed 1:46:38 (7.7 min stopped, 4.5 min at ~1.3 k). Gate 3 (legs 1 AM): 10 easy + 3 @ 6:20. Easy 10 k 8:03/km @ HR ~148, cadence ~164 (2 under floor). OPENING MISSED: km1-2 6:45/6:58 vs 7:50; km 3-9 8:15-8:36 under HR cap. Final 3 k 6:19 @171 / 6:06 @169 / 5:54 @171 = 6:06 avg @ HR 170, max 179 - kicked, not held; HR&gt;172 rule not obeyed. Race-pace HR on fatigue ~171 (model said 163-168). Easy HR ~149 @ 8:24 vs 145 @ 7:56 (9/21) - Tue 9/29 drift check. Fuel 80 g. RPE 6. SHIN CLEAN #36. Quad/calf post 3. Wk D closed 4/4 runs, 32 km. Strava 20353804584.</t>
        </is>
      </c>
      <c r="K26" t="n">
        <v>0</v>
      </c>
    </row>
    <row r="27" ht="18" customHeight="1">
      <c r="A27" s="37" t="n">
        <v>46294</v>
      </c>
      <c r="B27" s="22">
        <f>IF(A27="","",IFERROR(INT((A27-DATE(2026,4,27))/7)+1,""))</f>
        <v/>
      </c>
      <c r="C27" s="28" t="n">
        <v>6</v>
      </c>
      <c r="D27" s="38" t="n">
        <v>41.77</v>
      </c>
      <c r="E27" s="22">
        <f>IF(OR(C27="",D27=""),"",TEXT(D27/C27/1440,"m:ss"))</f>
        <v/>
      </c>
      <c r="F27" s="22" t="n">
        <v>142</v>
      </c>
      <c r="G27" s="22" t="n">
        <v>155</v>
      </c>
      <c r="H27" s="22" t="n">
        <v>4</v>
      </c>
      <c r="I27" s="22" t="inlineStr">
        <is>
          <t>Easy</t>
        </is>
      </c>
      <c r="J27" s="26" t="inlineStr">
        <is>
          <t>Wk E Tue - EASY 6 k DRIFT CHECK, PM 15:31. Moving 41:46 (6:57/km), elapsed 46:37 (4.3 min stop ~0.7 k). Splits 6:43@127 / 6:42@146 / 6:45@148 / 7:13@144 / 7:27@144 / 6:55@145. Km 2-6 = 7:00/km @ HR 145.5 vs 145 @ 7:56 (9/21) -&gt; check technically void (pace under 7:40) but NO DRIFT: same HR 56 s/km faster. Thu run stays. Opening missed 4th straight (6:43 vs 7:50). Cadence 164 (laps 165/166/166/164/163 - fades late, 2 under floor 2nd run running). RPE 4, 0 walk breaks. SHIN CLEAN #40. Quad/calf post 2. Strava 20378851247.</t>
        </is>
      </c>
      <c r="K27" t="n">
        <v>0</v>
      </c>
    </row>
    <row r="28" ht="18" customHeight="1">
      <c r="A28" s="35" t="n">
        <v>46301</v>
      </c>
      <c r="B28" s="16">
        <f>IF(A28="","",IFERROR(INT((A28-DATE(2026,4,27))/7)+1,""))</f>
        <v/>
      </c>
      <c r="C28" s="27" t="n">
        <v>5</v>
      </c>
      <c r="D28" s="36" t="n">
        <v>28.3</v>
      </c>
      <c r="E28" s="16">
        <f>IF(OR(C28="",D28=""),"",TEXT(D28/C28/1440,"m:ss"))</f>
        <v/>
      </c>
      <c r="F28" s="16" t="n">
        <v>160</v>
      </c>
      <c r="G28" s="16" t="n">
        <v>176</v>
      </c>
      <c r="H28" s="16" t="n">
        <v>6</v>
      </c>
      <c r="I28" s="16" t="inlineStr">
        <is>
          <t>Steady</t>
        </is>
      </c>
      <c r="J28" s="20" t="inlineStr">
        <is>
          <t>5K Wk 1 Tue - ROAD 5 k (track 6x400 swapped, user). PM 12:40. Moving 28:18 (5:39), elapsed 35:44 (6.5 min stop ~0.65 k). Splits 5:59@133 / 5:34@163 / 5:34@167 / 5:32@171 / 5:38@168. Main 4 k @ 5:34 HR ~167 max 176 vs prescribed 3 k @ 6:00 cap 172 - RAN HOT. No strides visible, no CD. Cadence 163. RPE 6. Engine: 9/25 5:57@175 RPE 9 -&gt; 5:34@167 RPE 6; 5K est ~26:30-27:00. SHIN CLEAN #41. Fri threshold up to 5:35-5:40. Strava 20472528970.</t>
        </is>
      </c>
      <c r="K28" t="n">
        <v>0</v>
      </c>
    </row>
    <row r="29" ht="18" customHeight="1">
      <c r="A29" s="37" t="n">
        <v>46303</v>
      </c>
      <c r="B29" s="22">
        <f>IF(A29="","",IFERROR(INT((A29-DATE(2026,4,27))/7)+1,""))</f>
        <v/>
      </c>
      <c r="C29" s="28" t="n">
        <v>5.12</v>
      </c>
      <c r="D29" s="38" t="n">
        <v>36.48</v>
      </c>
      <c r="E29" s="22">
        <f>IF(OR(C29="",D29=""),"",TEXT(D29/C29/1440,"m:ss"))</f>
        <v/>
      </c>
      <c r="F29" s="22" t="n">
        <v>146</v>
      </c>
      <c r="G29" s="22" t="n">
        <v>166</v>
      </c>
      <c r="H29" s="22" t="n">
        <v>5</v>
      </c>
      <c r="I29" s="22" t="inlineStr">
        <is>
          <t>Easy+Strides</t>
        </is>
      </c>
      <c r="J29" s="26" t="inlineStr">
        <is>
          <t>5K Wk 1 Thu - EASY 5 k + 6x20 s STRIDES. PM 18:23, light rain. Moving 36:29 (7:08), elapsed 41:39 (~4.7 min stop ~0.67 k). Laps 6:19@130 (GPS start) / 6:51@152 / 7:10@149 / 7:39@148 / 7:39@149 (strides) / 0.12 k. Easy km 2-4 = 7:13 @ ~150, pace obeyed. Cadence easy km 164/166/166/167 (floor back). Strides 6/6 smooth but GPS ~3:55-4:58, mostly 4:10-4:30 vs prescribed 5:10-5:20 = ran hot. RPE 5. SHIN CLEAN #45. Strava 20505117221.</t>
        </is>
      </c>
      <c r="K29" t="n">
        <v>0</v>
      </c>
    </row>
    <row r="30" ht="18" customHeight="1">
      <c r="A30" s="35" t="n">
        <v>46309</v>
      </c>
      <c r="B30" s="16">
        <f>IF(A30="","",IFERROR(INT((A30-DATE(2026,4,27))/7)+1,""))</f>
        <v/>
      </c>
      <c r="C30" s="27" t="n">
        <v>5.03</v>
      </c>
      <c r="D30" s="36" t="n">
        <v>37.53</v>
      </c>
      <c r="E30" s="16">
        <f>IF(OR(C30="",D30=""),"",TEXT(D30/C30/1440,"m:ss"))</f>
        <v/>
      </c>
      <c r="F30" s="16" t="n">
        <v>149</v>
      </c>
      <c r="G30" s="16" t="n">
        <v>170</v>
      </c>
      <c r="H30" s="16" t="n">
        <v>5</v>
      </c>
      <c r="I30" s="16" t="inlineStr">
        <is>
          <t>Easy+Strides</t>
        </is>
      </c>
      <c r="J30" s="20" t="inlineStr">
        <is>
          <t>5K Wk 2 Wed - EASY 5 k + 6x20 s STRIDES, re-entry after 6 run-free days (10/9-10/13 dark). PM 16:55, sunny. Moving = elapsed 37:32 (7:28), no stops. Laps 7:00@138 / 7:20@152 / 7:16@152 / 8:11@148 (+8 m) / 7:37@152 (strides). Cadence easy km 165/166/164/163 (under floor km 3-4). Strides 6/6, GPS ~5:00/4:23/4:46/4:38/5:08/4:54 - closer to 5:10-5:20 than 10/8. RPE 5, walk 0. SHIN CLEAN #46. Strava 20583383940.</t>
        </is>
      </c>
      <c r="K30" t="n">
        <v>0</v>
      </c>
    </row>
    <row r="31" ht="18" customHeight="1">
      <c r="A31" s="37" t="n">
        <v>46310</v>
      </c>
      <c r="B31" s="22">
        <f>IF(A31="","",IFERROR(INT((A31-DATE(2026,4,27))/7)+1,""))</f>
        <v/>
      </c>
      <c r="C31" s="28" t="n">
        <v>4.02</v>
      </c>
      <c r="D31" s="38" t="n">
        <v>28.85</v>
      </c>
      <c r="E31" s="22">
        <f>IF(OR(C31="",D31=""),"",TEXT(D31/C31/1440,"m:ss"))</f>
        <v/>
      </c>
      <c r="F31" s="22" t="n">
        <v>142</v>
      </c>
      <c r="G31" s="22" t="n">
        <v>157</v>
      </c>
      <c r="H31" s="22" t="n"/>
      <c r="I31" s="22" t="inlineStr">
        <is>
          <t>Easy</t>
        </is>
      </c>
      <c r="J31" s="26" t="inlineStr">
        <is>
          <t>5K Wk 2 Thu - EASY 4 k, AM 07:49 before Gym #2. Moving 28:51 (7:11), elapsed 29:36 (35 s stop km 3). Laps 7:05@124 / 7:00@147 / 7:34@146 (+9 m) / 7:05@151. HR cap obeyed. Cadence 160/163/162/162 - under 166 floor all run. RPE n/r. SHIN CLEAN #48. Strava 20591443035.</t>
        </is>
      </c>
      <c r="K31" t="n">
        <v>0</v>
      </c>
    </row>
    <row r="32" ht="18" customHeight="1">
      <c r="A32" s="35" t="n">
        <v>46312</v>
      </c>
      <c r="B32" s="16">
        <f>IF(A32="","",IFERROR(INT((A32-DATE(2026,4,27))/7)+1,""))</f>
        <v/>
      </c>
      <c r="C32" s="27" t="n">
        <v>6.82</v>
      </c>
      <c r="D32" s="36" t="n">
        <v>42.5</v>
      </c>
      <c r="E32" s="16">
        <f>IF(OR(C32="",D32=""),"",TEXT(D32/C32/1440,"m:ss"))</f>
        <v/>
      </c>
      <c r="F32" s="16" t="n">
        <v>161</v>
      </c>
      <c r="G32" s="16" t="n">
        <v>184</v>
      </c>
      <c r="H32" s="16" t="n"/>
      <c r="I32" s="16" t="inlineStr">
        <is>
          <t>Threshold</t>
        </is>
      </c>
      <c r="J32" s="20" t="inlineStr">
        <is>
          <t>5K Wk 2 Sat - THRESHOLD 2x~1.9 k, Sonderborg (travel). PM 13:51. Moving 42:30 (6:14), elapsed 45:23. WU ~2 k 6:30-7:00 @145-155; 3 strides ~4:00-4:30 (hot); rep 1 ~1.9 k @ ~5:26-5:31 HR 177-182; ~2:15 jog; rep 2 ~1.9 k @ ~5:33 HR 176-184, faded last ~750 m; CD skipped. HR cap 175 broken both reps: +10 bpm vs 10/6 at same pace. Cadence reps 165/167. RPE n/r, shin n/r. Strava 20620965276.</t>
        </is>
      </c>
      <c r="K32" t="n">
        <v>0</v>
      </c>
    </row>
    <row r="33" ht="18" customHeight="1">
      <c r="A33" s="37" t="n">
        <v>46316</v>
      </c>
      <c r="B33" s="22">
        <f>IF(A33="","",IFERROR(INT((A33-DATE(2026,4,27))/7)+1,""))</f>
        <v/>
      </c>
      <c r="C33" s="28" t="n">
        <v>6.17</v>
      </c>
      <c r="D33" s="38" t="n">
        <v>41</v>
      </c>
      <c r="E33" s="22">
        <f>IF(OR(C33="",D33=""),"",TEXT(D33/C33/1440,"m:ss"))</f>
        <v/>
      </c>
      <c r="F33" s="22" t="n">
        <v>158</v>
      </c>
      <c r="G33" s="22" t="n">
        <v>198</v>
      </c>
      <c r="H33" s="22" t="n">
        <v>8</v>
      </c>
      <c r="I33" s="22" t="inlineStr">
        <is>
          <t>3K TT</t>
        </is>
      </c>
      <c r="J33" s="26" t="inlineStr">
        <is>
          <t>5K Wk 3 Wed - 3 K TIME TRIAL, road, Ballerup, AM 07:28. Total moving 41:00 / elapsed 41:56. WU 2 k 7:36@132 / 7:23@149 (cad 162/161), 4 strides ~4:20-4:35. TT 3.00 k GPS: km 5:00 / 5:00 (5:42 elapsed, ~43 s standing ~1.5 k, HR 190-&gt;150) / 5:01 = 15:00 moving / 15:42 elapsed. TT HR ~183-187, max 198, cad 166. RPE 8. CD skipped. GATE: sub-27 CONFIRMED, PR not opened (borderline + rest) -&gt; run 2 4x1 k @ 5:10-5:12 decides PR. SHIN CLEAN #50. Strava 20670617068.</t>
        </is>
      </c>
      <c r="K33" t="n">
        <v>0</v>
      </c>
    </row>
    <row r="34" ht="18" customHeight="1">
      <c r="A34" s="35" t="n"/>
      <c r="B34" s="16">
        <f>IF(A34="","",IFERROR(INT((A34-DATE(2026,4,27))/7)+1,""))</f>
        <v/>
      </c>
      <c r="C34" s="27" t="n"/>
      <c r="D34" s="36" t="n"/>
      <c r="E34" s="16">
        <f>IF(OR(C34="",D34=""),"",TEXT(D34/C34/1440,"m:ss"))</f>
        <v/>
      </c>
      <c r="F34" s="16" t="n"/>
      <c r="G34" s="16" t="n"/>
      <c r="H34" s="16" t="n"/>
      <c r="I34" s="16" t="n"/>
      <c r="J34" s="20" t="n"/>
    </row>
    <row r="35" ht="18" customHeight="1">
      <c r="A35" s="37" t="n"/>
      <c r="B35" s="22">
        <f>IF(A35="","",IFERROR(INT((A35-DATE(2026,4,27))/7)+1,""))</f>
        <v/>
      </c>
      <c r="C35" s="28" t="n"/>
      <c r="D35" s="38" t="n"/>
      <c r="E35" s="22">
        <f>IF(OR(C35="",D35=""),"",TEXT(D35/C35/1440,"m:ss"))</f>
        <v/>
      </c>
      <c r="F35" s="22" t="n"/>
      <c r="G35" s="22" t="n"/>
      <c r="H35" s="22" t="n"/>
      <c r="I35" s="22" t="n"/>
      <c r="J35" s="26" t="n"/>
    </row>
    <row r="36" ht="18" customHeight="1">
      <c r="A36" s="35" t="n"/>
      <c r="B36" s="16">
        <f>IF(A36="","",IFERROR(INT((A36-DATE(2026,4,27))/7)+1,""))</f>
        <v/>
      </c>
      <c r="C36" s="27" t="n"/>
      <c r="D36" s="36" t="n"/>
      <c r="E36" s="16">
        <f>IF(OR(C36="",D36=""),"",TEXT(D36/C36/1440,"m:ss"))</f>
        <v/>
      </c>
      <c r="F36" s="16" t="n"/>
      <c r="G36" s="16" t="n"/>
      <c r="H36" s="16" t="n"/>
      <c r="I36" s="16" t="n"/>
      <c r="J36" s="20" t="n"/>
    </row>
    <row r="37" ht="18" customHeight="1">
      <c r="A37" s="37" t="n"/>
      <c r="B37" s="22">
        <f>IF(A37="","",IFERROR(INT((A37-DATE(2026,4,27))/7)+1,""))</f>
        <v/>
      </c>
      <c r="C37" s="28" t="n"/>
      <c r="D37" s="38" t="n"/>
      <c r="E37" s="22">
        <f>IF(OR(C37="",D37=""),"",TEXT(D37/C37/1440,"m:ss"))</f>
        <v/>
      </c>
      <c r="F37" s="22" t="n"/>
      <c r="G37" s="22" t="n"/>
      <c r="H37" s="22" t="n"/>
      <c r="I37" s="22" t="n"/>
      <c r="J37" s="26" t="n"/>
    </row>
    <row r="38" ht="18" customHeight="1">
      <c r="A38" s="35" t="n"/>
      <c r="B38" s="16">
        <f>IF(A38="","",IFERROR(INT((A38-DATE(2026,4,27))/7)+1,""))</f>
        <v/>
      </c>
      <c r="C38" s="27" t="n"/>
      <c r="D38" s="36" t="n"/>
      <c r="E38" s="16">
        <f>IF(OR(C38="",D38=""),"",TEXT(D38/C38/1440,"m:ss"))</f>
        <v/>
      </c>
      <c r="F38" s="16" t="n"/>
      <c r="G38" s="16" t="n"/>
      <c r="H38" s="16" t="n"/>
      <c r="I38" s="16" t="n"/>
      <c r="J38" s="20" t="n"/>
    </row>
    <row r="39" ht="18" customHeight="1">
      <c r="A39" s="37" t="n"/>
      <c r="B39" s="22">
        <f>IF(A39="","",IFERROR(INT((A39-DATE(2026,4,27))/7)+1,""))</f>
        <v/>
      </c>
      <c r="C39" s="28" t="n"/>
      <c r="D39" s="38" t="n"/>
      <c r="E39" s="22">
        <f>IF(OR(C39="",D39=""),"",TEXT(D39/C39/1440,"m:ss"))</f>
        <v/>
      </c>
      <c r="F39" s="22" t="n"/>
      <c r="G39" s="22" t="n"/>
      <c r="H39" s="22" t="n"/>
      <c r="I39" s="22" t="n"/>
      <c r="J39" s="26" t="n"/>
    </row>
    <row r="40" ht="18" customHeight="1">
      <c r="A40" s="35" t="n"/>
      <c r="B40" s="16">
        <f>IF(A40="","",IFERROR(INT((A40-DATE(2026,4,27))/7)+1,""))</f>
        <v/>
      </c>
      <c r="C40" s="27" t="n"/>
      <c r="D40" s="36" t="n"/>
      <c r="E40" s="16">
        <f>IF(OR(C40="",D40=""),"",TEXT(D40/C40/1440,"m:ss"))</f>
        <v/>
      </c>
      <c r="F40" s="16" t="n"/>
      <c r="G40" s="16" t="n"/>
      <c r="H40" s="16" t="n"/>
      <c r="I40" s="16" t="n"/>
      <c r="J40" s="20" t="n"/>
    </row>
    <row r="41" ht="18" customHeight="1">
      <c r="A41" s="37" t="n"/>
      <c r="B41" s="22">
        <f>IF(A41="","",IFERROR(INT((A41-DATE(2026,4,27))/7)+1,""))</f>
        <v/>
      </c>
      <c r="C41" s="28" t="n"/>
      <c r="D41" s="38" t="n"/>
      <c r="E41" s="22">
        <f>IF(OR(C41="",D41=""),"",TEXT(D41/C41/1440,"m:ss"))</f>
        <v/>
      </c>
      <c r="F41" s="22" t="n"/>
      <c r="G41" s="22" t="n"/>
      <c r="H41" s="22" t="n"/>
      <c r="I41" s="22" t="n"/>
      <c r="J41" s="26" t="n"/>
    </row>
    <row r="42" ht="18" customHeight="1">
      <c r="A42" s="35" t="n"/>
      <c r="B42" s="16">
        <f>IF(A42="","",IFERROR(INT((A42-DATE(2026,4,27))/7)+1,""))</f>
        <v/>
      </c>
      <c r="C42" s="27" t="n"/>
      <c r="D42" s="36" t="n"/>
      <c r="E42" s="16">
        <f>IF(OR(C42="",D42=""),"",TEXT(D42/C42/1440,"m:ss"))</f>
        <v/>
      </c>
      <c r="F42" s="16" t="n"/>
      <c r="G42" s="16" t="n"/>
      <c r="H42" s="16" t="n"/>
      <c r="I42" s="16" t="n"/>
      <c r="J42" s="20" t="n"/>
    </row>
    <row r="43" ht="18" customHeight="1">
      <c r="A43" s="37" t="n"/>
      <c r="B43" s="22">
        <f>IF(A43="","",IFERROR(INT((A43-DATE(2026,4,27))/7)+1,""))</f>
        <v/>
      </c>
      <c r="C43" s="28" t="n"/>
      <c r="D43" s="38" t="n"/>
      <c r="E43" s="22">
        <f>IF(OR(C43="",D43=""),"",TEXT(D43/C43/1440,"m:ss"))</f>
        <v/>
      </c>
      <c r="F43" s="22" t="n"/>
      <c r="G43" s="22" t="n"/>
      <c r="H43" s="22" t="n"/>
      <c r="I43" s="22" t="n"/>
      <c r="J43" s="26" t="n"/>
    </row>
    <row r="44" ht="18" customHeight="1">
      <c r="A44" s="35" t="n"/>
      <c r="B44" s="16">
        <f>IF(A44="","",IFERROR(INT((A44-DATE(2026,4,27))/7)+1,""))</f>
        <v/>
      </c>
      <c r="C44" s="27" t="n"/>
      <c r="D44" s="36" t="n"/>
      <c r="E44" s="16">
        <f>IF(OR(C44="",D44=""),"",TEXT(D44/C44/1440,"m:ss"))</f>
        <v/>
      </c>
      <c r="F44" s="16" t="n"/>
      <c r="G44" s="16" t="n"/>
      <c r="H44" s="16" t="n"/>
      <c r="I44" s="16" t="n"/>
      <c r="J44" s="20" t="n"/>
    </row>
    <row r="45" ht="18" customHeight="1">
      <c r="A45" s="37" t="n"/>
      <c r="B45" s="22">
        <f>IF(A45="","",IFERROR(INT((A45-DATE(2026,4,27))/7)+1,""))</f>
        <v/>
      </c>
      <c r="C45" s="28" t="n"/>
      <c r="D45" s="38" t="n"/>
      <c r="E45" s="22">
        <f>IF(OR(C45="",D45=""),"",TEXT(D45/C45/1440,"m:ss"))</f>
        <v/>
      </c>
      <c r="F45" s="22" t="n"/>
      <c r="G45" s="22" t="n"/>
      <c r="H45" s="22" t="n"/>
      <c r="I45" s="22" t="n"/>
      <c r="J45" s="26" t="n"/>
    </row>
    <row r="46" ht="18" customHeight="1">
      <c r="A46" s="35" t="n"/>
      <c r="B46" s="16">
        <f>IF(A46="","",IFERROR(INT((A46-DATE(2026,4,27))/7)+1,""))</f>
        <v/>
      </c>
      <c r="C46" s="27" t="n"/>
      <c r="D46" s="36" t="n"/>
      <c r="E46" s="16">
        <f>IF(OR(C46="",D46=""),"",TEXT(D46/C46/1440,"m:ss"))</f>
        <v/>
      </c>
      <c r="F46" s="16" t="n"/>
      <c r="G46" s="16" t="n"/>
      <c r="H46" s="16" t="n"/>
      <c r="I46" s="16" t="n"/>
      <c r="J46" s="20" t="n"/>
    </row>
    <row r="47" ht="18" customHeight="1">
      <c r="A47" s="37" t="n"/>
      <c r="B47" s="22">
        <f>IF(A47="","",IFERROR(INT((A47-DATE(2026,4,27))/7)+1,""))</f>
        <v/>
      </c>
      <c r="C47" s="28" t="n"/>
      <c r="D47" s="38" t="n"/>
      <c r="E47" s="22">
        <f>IF(OR(C47="",D47=""),"",TEXT(D47/C47/1440,"m:ss"))</f>
        <v/>
      </c>
      <c r="F47" s="22" t="n"/>
      <c r="G47" s="22" t="n"/>
      <c r="H47" s="22" t="n"/>
      <c r="I47" s="22" t="n"/>
      <c r="J47" s="26" t="n"/>
    </row>
    <row r="48" ht="18" customHeight="1">
      <c r="A48" s="35" t="n"/>
      <c r="B48" s="16">
        <f>IF(A48="","",IFERROR(INT((A48-DATE(2026,4,27))/7)+1,""))</f>
        <v/>
      </c>
      <c r="C48" s="27" t="n"/>
      <c r="D48" s="36" t="n"/>
      <c r="E48" s="16">
        <f>IF(OR(C48="",D48=""),"",TEXT(D48/C48/1440,"m:ss"))</f>
        <v/>
      </c>
      <c r="F48" s="16" t="n"/>
      <c r="G48" s="16" t="n"/>
      <c r="H48" s="16" t="n"/>
      <c r="I48" s="16" t="n"/>
      <c r="J48" s="20" t="n"/>
    </row>
    <row r="49" ht="18" customHeight="1">
      <c r="A49" s="37" t="n"/>
      <c r="B49" s="22">
        <f>IF(A49="","",IFERROR(INT((A49-DATE(2026,4,27))/7)+1,""))</f>
        <v/>
      </c>
      <c r="C49" s="28" t="n"/>
      <c r="D49" s="38" t="n"/>
      <c r="E49" s="22">
        <f>IF(OR(C49="",D49=""),"",TEXT(D49/C49/1440,"m:ss"))</f>
        <v/>
      </c>
      <c r="F49" s="22" t="n"/>
      <c r="G49" s="22" t="n"/>
      <c r="H49" s="22" t="n"/>
      <c r="I49" s="22" t="n"/>
      <c r="J49" s="26" t="n"/>
    </row>
    <row r="50" ht="18" customHeight="1">
      <c r="A50" s="35" t="n"/>
      <c r="B50" s="16">
        <f>IF(A50="","",IFERROR(INT((A50-DATE(2026,4,27))/7)+1,""))</f>
        <v/>
      </c>
      <c r="C50" s="27" t="n"/>
      <c r="D50" s="36" t="n"/>
      <c r="E50" s="16">
        <f>IF(OR(C50="",D50=""),"",TEXT(D50/C50/1440,"m:ss"))</f>
        <v/>
      </c>
      <c r="F50" s="16" t="n"/>
      <c r="G50" s="16" t="n"/>
      <c r="H50" s="16" t="n"/>
      <c r="I50" s="16" t="n"/>
      <c r="J50" s="20" t="n"/>
    </row>
    <row r="51" ht="18" customHeight="1">
      <c r="A51" s="37" t="n"/>
      <c r="B51" s="22">
        <f>IF(A51="","",IFERROR(INT((A51-DATE(2026,4,27))/7)+1,""))</f>
        <v/>
      </c>
      <c r="C51" s="28" t="n"/>
      <c r="D51" s="38" t="n"/>
      <c r="E51" s="22">
        <f>IF(OR(C51="",D51=""),"",TEXT(D51/C51/1440,"m:ss"))</f>
        <v/>
      </c>
      <c r="F51" s="22" t="n"/>
      <c r="G51" s="22" t="n"/>
      <c r="H51" s="22" t="n"/>
      <c r="I51" s="22" t="n"/>
      <c r="J51" s="26" t="n"/>
    </row>
    <row r="52" ht="18" customHeight="1">
      <c r="A52" s="35" t="n"/>
      <c r="B52" s="16">
        <f>IF(A52="","",IFERROR(INT((A52-DATE(2026,4,27))/7)+1,""))</f>
        <v/>
      </c>
      <c r="C52" s="27" t="n"/>
      <c r="D52" s="36" t="n"/>
      <c r="E52" s="16">
        <f>IF(OR(C52="",D52=""),"",TEXT(D52/C52/1440,"m:ss"))</f>
        <v/>
      </c>
      <c r="F52" s="16" t="n"/>
      <c r="G52" s="16" t="n"/>
      <c r="H52" s="16" t="n"/>
      <c r="I52" s="16" t="n"/>
      <c r="J52" s="20" t="n"/>
    </row>
    <row r="53" ht="18" customHeight="1">
      <c r="A53" s="37" t="n"/>
      <c r="B53" s="22">
        <f>IF(A53="","",IFERROR(INT((A53-DATE(2026,4,27))/7)+1,""))</f>
        <v/>
      </c>
      <c r="C53" s="28" t="n"/>
      <c r="D53" s="38" t="n"/>
      <c r="E53" s="22">
        <f>IF(OR(C53="",D53=""),"",TEXT(D53/C53/1440,"m:ss"))</f>
        <v/>
      </c>
      <c r="F53" s="22" t="n"/>
      <c r="G53" s="22" t="n"/>
      <c r="H53" s="22" t="n"/>
      <c r="I53" s="22" t="n"/>
      <c r="J53" s="26" t="n"/>
    </row>
    <row r="54" ht="18" customHeight="1">
      <c r="A54" s="35" t="n"/>
      <c r="B54" s="16">
        <f>IF(A54="","",IFERROR(INT((A54-DATE(2026,4,27))/7)+1,""))</f>
        <v/>
      </c>
      <c r="C54" s="27" t="n"/>
      <c r="D54" s="36" t="n"/>
      <c r="E54" s="16">
        <f>IF(OR(C54="",D54=""),"",TEXT(D54/C54/1440,"m:ss"))</f>
        <v/>
      </c>
      <c r="F54" s="16" t="n"/>
      <c r="G54" s="16" t="n"/>
      <c r="H54" s="16" t="n"/>
      <c r="I54" s="16" t="n"/>
      <c r="J54" s="20" t="n"/>
    </row>
    <row r="55" ht="18" customHeight="1">
      <c r="A55" s="37" t="n"/>
      <c r="B55" s="22">
        <f>IF(A55="","",IFERROR(INT((A55-DATE(2026,4,27))/7)+1,""))</f>
        <v/>
      </c>
      <c r="C55" s="28" t="n"/>
      <c r="D55" s="38" t="n"/>
      <c r="E55" s="22">
        <f>IF(OR(C55="",D55=""),"",TEXT(D55/C55/1440,"m:ss"))</f>
        <v/>
      </c>
      <c r="F55" s="22" t="n"/>
      <c r="G55" s="22" t="n"/>
      <c r="H55" s="22" t="n"/>
      <c r="I55" s="22" t="n"/>
      <c r="J55" s="26" t="n"/>
    </row>
    <row r="56" ht="18" customHeight="1">
      <c r="A56" s="35" t="n"/>
      <c r="B56" s="16">
        <f>IF(A56="","",IFERROR(INT((A56-DATE(2026,4,27))/7)+1,""))</f>
        <v/>
      </c>
      <c r="C56" s="27" t="n"/>
      <c r="D56" s="36" t="n"/>
      <c r="E56" s="16">
        <f>IF(OR(C56="",D56=""),"",TEXT(D56/C56/1440,"m:ss"))</f>
        <v/>
      </c>
      <c r="F56" s="16" t="n"/>
      <c r="G56" s="16" t="n"/>
      <c r="H56" s="16" t="n"/>
      <c r="I56" s="16" t="n"/>
      <c r="J56" s="20" t="n"/>
    </row>
    <row r="57" ht="18" customHeight="1">
      <c r="A57" s="37" t="n"/>
      <c r="B57" s="22">
        <f>IF(A57="","",IFERROR(INT((A57-DATE(2026,4,27))/7)+1,""))</f>
        <v/>
      </c>
      <c r="C57" s="28" t="n"/>
      <c r="D57" s="38" t="n"/>
      <c r="E57" s="22">
        <f>IF(OR(C57="",D57=""),"",TEXT(D57/C57/1440,"m:ss"))</f>
        <v/>
      </c>
      <c r="F57" s="22" t="n"/>
      <c r="G57" s="22" t="n"/>
      <c r="H57" s="22" t="n"/>
      <c r="I57" s="22" t="n"/>
      <c r="J57" s="26" t="n"/>
    </row>
    <row r="58" ht="18" customHeight="1">
      <c r="A58" s="35" t="n"/>
      <c r="B58" s="16">
        <f>IF(A58="","",IFERROR(INT((A58-DATE(2026,4,27))/7)+1,""))</f>
        <v/>
      </c>
      <c r="C58" s="27" t="n"/>
      <c r="D58" s="36" t="n"/>
      <c r="E58" s="16">
        <f>IF(OR(C58="",D58=""),"",TEXT(D58/C58/1440,"m:ss"))</f>
        <v/>
      </c>
      <c r="F58" s="16" t="n"/>
      <c r="G58" s="16" t="n"/>
      <c r="H58" s="16" t="n"/>
      <c r="I58" s="16" t="n"/>
      <c r="J58" s="20" t="n"/>
    </row>
    <row r="59" ht="18" customHeight="1">
      <c r="A59" s="37" t="n"/>
      <c r="B59" s="22">
        <f>IF(A59="","",IFERROR(INT((A59-DATE(2026,4,27))/7)+1,""))</f>
        <v/>
      </c>
      <c r="C59" s="28" t="n"/>
      <c r="D59" s="38" t="n"/>
      <c r="E59" s="22">
        <f>IF(OR(C59="",D59=""),"",TEXT(D59/C59/1440,"m:ss"))</f>
        <v/>
      </c>
      <c r="F59" s="22" t="n"/>
      <c r="G59" s="22" t="n"/>
      <c r="H59" s="22" t="n"/>
      <c r="I59" s="22" t="n"/>
      <c r="J59" s="26" t="n"/>
    </row>
    <row r="60" ht="18" customHeight="1">
      <c r="A60" s="35" t="n"/>
      <c r="B60" s="16">
        <f>IF(A60="","",IFERROR(INT((A60-DATE(2026,4,27))/7)+1,""))</f>
        <v/>
      </c>
      <c r="C60" s="27" t="n"/>
      <c r="D60" s="36" t="n"/>
      <c r="E60" s="16">
        <f>IF(OR(C60="",D60=""),"",TEXT(D60/C60/1440,"m:ss"))</f>
        <v/>
      </c>
      <c r="F60" s="16" t="n"/>
      <c r="G60" s="16" t="n"/>
      <c r="H60" s="16" t="n"/>
      <c r="I60" s="16" t="n"/>
      <c r="J60" s="20" t="n"/>
    </row>
    <row r="61" ht="18" customHeight="1">
      <c r="A61" s="37" t="n"/>
      <c r="B61" s="22">
        <f>IF(A61="","",IFERROR(INT((A61-DATE(2026,4,27))/7)+1,""))</f>
        <v/>
      </c>
      <c r="C61" s="28" t="n"/>
      <c r="D61" s="38" t="n"/>
      <c r="E61" s="22">
        <f>IF(OR(C61="",D61=""),"",TEXT(D61/C61/1440,"m:ss"))</f>
        <v/>
      </c>
      <c r="F61" s="22" t="n"/>
      <c r="G61" s="22" t="n"/>
      <c r="H61" s="22" t="n"/>
      <c r="I61" s="22" t="n"/>
      <c r="J61" s="26" t="n"/>
    </row>
    <row r="62" ht="18" customHeight="1">
      <c r="A62" s="35" t="n"/>
      <c r="B62" s="16">
        <f>IF(A62="","",IFERROR(INT((A62-DATE(2026,4,27))/7)+1,""))</f>
        <v/>
      </c>
      <c r="C62" s="27" t="n"/>
      <c r="D62" s="36" t="n"/>
      <c r="E62" s="16">
        <f>IF(OR(C62="",D62=""),"",TEXT(D62/C62/1440,"m:ss"))</f>
        <v/>
      </c>
      <c r="F62" s="16" t="n"/>
      <c r="G62" s="16" t="n"/>
      <c r="H62" s="16" t="n"/>
      <c r="I62" s="16" t="n"/>
      <c r="J62" s="20" t="n"/>
    </row>
    <row r="63" ht="18" customHeight="1">
      <c r="A63" s="37" t="n"/>
      <c r="B63" s="22">
        <f>IF(A63="","",IFERROR(INT((A63-DATE(2026,4,27))/7)+1,""))</f>
        <v/>
      </c>
      <c r="C63" s="28" t="n"/>
      <c r="D63" s="38" t="n"/>
      <c r="E63" s="22">
        <f>IF(OR(C63="",D63=""),"",TEXT(D63/C63/1440,"m:ss"))</f>
        <v/>
      </c>
      <c r="F63" s="22" t="n"/>
      <c r="G63" s="22" t="n"/>
      <c r="H63" s="22" t="n"/>
      <c r="I63" s="22" t="n"/>
      <c r="J63" s="26" t="n"/>
    </row>
    <row r="64" ht="18" customHeight="1">
      <c r="A64" s="35" t="n"/>
      <c r="B64" s="16">
        <f>IF(A64="","",IFERROR(INT((A64-DATE(2026,4,27))/7)+1,""))</f>
        <v/>
      </c>
      <c r="C64" s="27" t="n"/>
      <c r="D64" s="36" t="n"/>
      <c r="E64" s="16">
        <f>IF(OR(C64="",D64=""),"",TEXT(D64/C64/1440,"m:ss"))</f>
        <v/>
      </c>
      <c r="F64" s="16" t="n"/>
      <c r="G64" s="16" t="n"/>
      <c r="H64" s="16" t="n"/>
      <c r="I64" s="16" t="n"/>
      <c r="J64" s="20" t="n"/>
    </row>
    <row r="65" ht="18" customHeight="1">
      <c r="A65" s="37" t="n"/>
      <c r="B65" s="22">
        <f>IF(A65="","",IFERROR(INT((A65-DATE(2026,4,27))/7)+1,""))</f>
        <v/>
      </c>
      <c r="C65" s="28" t="n"/>
      <c r="D65" s="38" t="n"/>
      <c r="E65" s="22">
        <f>IF(OR(C65="",D65=""),"",TEXT(D65/C65/1440,"m:ss"))</f>
        <v/>
      </c>
      <c r="F65" s="22" t="n"/>
      <c r="G65" s="22" t="n"/>
      <c r="H65" s="22" t="n"/>
      <c r="I65" s="22" t="n"/>
      <c r="J65" s="26" t="n"/>
    </row>
    <row r="66" ht="18" customHeight="1">
      <c r="A66" s="35" t="n"/>
      <c r="B66" s="16">
        <f>IF(A66="","",IFERROR(INT((A66-DATE(2026,4,27))/7)+1,""))</f>
        <v/>
      </c>
      <c r="C66" s="27" t="n"/>
      <c r="D66" s="36" t="n"/>
      <c r="E66" s="16">
        <f>IF(OR(C66="",D66=""),"",TEXT(D66/C66/1440,"m:ss"))</f>
        <v/>
      </c>
      <c r="F66" s="16" t="n"/>
      <c r="G66" s="16" t="n"/>
      <c r="H66" s="16" t="n"/>
      <c r="I66" s="16" t="n"/>
      <c r="J66" s="20" t="n"/>
    </row>
    <row r="67" ht="18" customHeight="1">
      <c r="A67" s="37" t="n"/>
      <c r="B67" s="22">
        <f>IF(A67="","",IFERROR(INT((A67-DATE(2026,4,27))/7)+1,""))</f>
        <v/>
      </c>
      <c r="C67" s="28" t="n"/>
      <c r="D67" s="38" t="n"/>
      <c r="E67" s="22">
        <f>IF(OR(C67="",D67=""),"",TEXT(D67/C67/1440,"m:ss"))</f>
        <v/>
      </c>
      <c r="F67" s="22" t="n"/>
      <c r="G67" s="22" t="n"/>
      <c r="H67" s="22" t="n"/>
      <c r="I67" s="22" t="n"/>
      <c r="J67" s="26" t="n"/>
    </row>
    <row r="68" ht="18" customHeight="1">
      <c r="A68" s="35" t="n"/>
      <c r="B68" s="16">
        <f>IF(A68="","",IFERROR(INT((A68-DATE(2026,4,27))/7)+1,""))</f>
        <v/>
      </c>
      <c r="C68" s="27" t="n"/>
      <c r="D68" s="36" t="n"/>
      <c r="E68" s="16">
        <f>IF(OR(C68="",D68=""),"",TEXT(D68/C68/1440,"m:ss"))</f>
        <v/>
      </c>
      <c r="F68" s="16" t="n"/>
      <c r="G68" s="16" t="n"/>
      <c r="H68" s="16" t="n"/>
      <c r="I68" s="16" t="n"/>
      <c r="J68" s="20" t="n"/>
    </row>
    <row r="69" ht="18" customHeight="1">
      <c r="A69" s="37" t="n"/>
      <c r="B69" s="22">
        <f>IF(A69="","",IFERROR(INT((A69-DATE(2026,4,27))/7)+1,""))</f>
        <v/>
      </c>
      <c r="C69" s="28" t="n"/>
      <c r="D69" s="38" t="n"/>
      <c r="E69" s="22">
        <f>IF(OR(C69="",D69=""),"",TEXT(D69/C69/1440,"m:ss"))</f>
        <v/>
      </c>
      <c r="F69" s="22" t="n"/>
      <c r="G69" s="22" t="n"/>
      <c r="H69" s="22" t="n"/>
      <c r="I69" s="22" t="n"/>
      <c r="J69" s="26" t="n"/>
    </row>
    <row r="70" ht="18" customHeight="1">
      <c r="A70" s="35" t="n"/>
      <c r="B70" s="16">
        <f>IF(A70="","",IFERROR(INT((A70-DATE(2026,4,27))/7)+1,""))</f>
        <v/>
      </c>
      <c r="C70" s="27" t="n"/>
      <c r="D70" s="36" t="n"/>
      <c r="E70" s="16">
        <f>IF(OR(C70="",D70=""),"",TEXT(D70/C70/1440,"m:ss"))</f>
        <v/>
      </c>
      <c r="F70" s="16" t="n"/>
      <c r="G70" s="16" t="n"/>
      <c r="H70" s="16" t="n"/>
      <c r="I70" s="16" t="n"/>
      <c r="J70" s="20" t="n"/>
    </row>
    <row r="71" ht="18" customHeight="1">
      <c r="A71" s="37" t="n"/>
      <c r="B71" s="22">
        <f>IF(A71="","",IFERROR(INT((A71-DATE(2026,4,27))/7)+1,""))</f>
        <v/>
      </c>
      <c r="C71" s="28" t="n"/>
      <c r="D71" s="38" t="n"/>
      <c r="E71" s="22">
        <f>IF(OR(C71="",D71=""),"",TEXT(D71/C71/1440,"m:ss"))</f>
        <v/>
      </c>
      <c r="F71" s="22" t="n"/>
      <c r="G71" s="22" t="n"/>
      <c r="H71" s="22" t="n"/>
      <c r="I71" s="22" t="n"/>
      <c r="J71" s="26" t="n"/>
    </row>
    <row r="72" ht="18" customHeight="1">
      <c r="A72" s="35" t="n"/>
      <c r="B72" s="16">
        <f>IF(A72="","",IFERROR(INT((A72-DATE(2026,4,27))/7)+1,""))</f>
        <v/>
      </c>
      <c r="C72" s="27" t="n"/>
      <c r="D72" s="36" t="n"/>
      <c r="E72" s="16">
        <f>IF(OR(C72="",D72=""),"",TEXT(D72/C72/1440,"m:ss"))</f>
        <v/>
      </c>
      <c r="F72" s="16" t="n"/>
      <c r="G72" s="16" t="n"/>
      <c r="H72" s="16" t="n"/>
      <c r="I72" s="16" t="n"/>
      <c r="J72" s="20" t="n"/>
    </row>
    <row r="73" ht="18" customHeight="1">
      <c r="A73" s="37" t="n"/>
      <c r="B73" s="22">
        <f>IF(A73="","",IFERROR(INT((A73-DATE(2026,4,27))/7)+1,""))</f>
        <v/>
      </c>
      <c r="C73" s="28" t="n"/>
      <c r="D73" s="38" t="n"/>
      <c r="E73" s="22">
        <f>IF(OR(C73="",D73=""),"",TEXT(D73/C73/1440,"m:ss"))</f>
        <v/>
      </c>
      <c r="F73" s="22" t="n"/>
      <c r="G73" s="22" t="n"/>
      <c r="H73" s="22" t="n"/>
      <c r="I73" s="22" t="n"/>
      <c r="J73" s="26" t="n"/>
    </row>
    <row r="74" ht="18" customHeight="1">
      <c r="A74" s="35" t="n"/>
      <c r="B74" s="16">
        <f>IF(A74="","",IFERROR(INT((A74-DATE(2026,4,27))/7)+1,""))</f>
        <v/>
      </c>
      <c r="C74" s="27" t="n"/>
      <c r="D74" s="36" t="n"/>
      <c r="E74" s="16">
        <f>IF(OR(C74="",D74=""),"",TEXT(D74/C74/1440,"m:ss"))</f>
        <v/>
      </c>
      <c r="F74" s="16" t="n"/>
      <c r="G74" s="16" t="n"/>
      <c r="H74" s="16" t="n"/>
      <c r="I74" s="16" t="n"/>
      <c r="J74" s="20" t="n"/>
    </row>
    <row r="75" ht="18" customHeight="1">
      <c r="A75" s="37" t="n"/>
      <c r="B75" s="22">
        <f>IF(A75="","",IFERROR(INT((A75-DATE(2026,4,27))/7)+1,""))</f>
        <v/>
      </c>
      <c r="C75" s="28" t="n"/>
      <c r="D75" s="38" t="n"/>
      <c r="E75" s="22">
        <f>IF(OR(C75="",D75=""),"",TEXT(D75/C75/1440,"m:ss"))</f>
        <v/>
      </c>
      <c r="F75" s="22" t="n"/>
      <c r="G75" s="22" t="n"/>
      <c r="H75" s="22" t="n"/>
      <c r="I75" s="22" t="n"/>
      <c r="J75" s="26" t="n"/>
    </row>
    <row r="76" ht="18" customHeight="1">
      <c r="A76" s="35" t="n"/>
      <c r="B76" s="16">
        <f>IF(A76="","",IFERROR(INT((A76-DATE(2026,4,27))/7)+1,""))</f>
        <v/>
      </c>
      <c r="C76" s="27" t="n"/>
      <c r="D76" s="36" t="n"/>
      <c r="E76" s="16">
        <f>IF(OR(C76="",D76=""),"",TEXT(D76/C76/1440,"m:ss"))</f>
        <v/>
      </c>
      <c r="F76" s="16" t="n"/>
      <c r="G76" s="16" t="n"/>
      <c r="H76" s="16" t="n"/>
      <c r="I76" s="16" t="n"/>
      <c r="J76" s="20" t="n"/>
    </row>
    <row r="77" ht="18" customHeight="1">
      <c r="A77" s="37" t="n"/>
      <c r="B77" s="22">
        <f>IF(A77="","",IFERROR(INT((A77-DATE(2026,4,27))/7)+1,""))</f>
        <v/>
      </c>
      <c r="C77" s="28" t="n"/>
      <c r="D77" s="38" t="n"/>
      <c r="E77" s="22">
        <f>IF(OR(C77="",D77=""),"",TEXT(D77/C77/1440,"m:ss"))</f>
        <v/>
      </c>
      <c r="F77" s="22" t="n"/>
      <c r="G77" s="22" t="n"/>
      <c r="H77" s="22" t="n"/>
      <c r="I77" s="22" t="n"/>
      <c r="J77" s="26" t="n"/>
    </row>
    <row r="78" ht="18" customHeight="1">
      <c r="A78" s="35" t="n"/>
      <c r="B78" s="16">
        <f>IF(A78="","",IFERROR(INT((A78-DATE(2026,4,27))/7)+1,""))</f>
        <v/>
      </c>
      <c r="C78" s="27" t="n"/>
      <c r="D78" s="36" t="n"/>
      <c r="E78" s="16">
        <f>IF(OR(C78="",D78=""),"",TEXT(D78/C78/1440,"m:ss"))</f>
        <v/>
      </c>
      <c r="F78" s="16" t="n"/>
      <c r="G78" s="16" t="n"/>
      <c r="H78" s="16" t="n"/>
      <c r="I78" s="16" t="n"/>
      <c r="J78" s="20" t="n"/>
    </row>
    <row r="79" ht="18" customHeight="1">
      <c r="A79" s="37" t="n"/>
      <c r="B79" s="22">
        <f>IF(A79="","",IFERROR(INT((A79-DATE(2026,4,27))/7)+1,""))</f>
        <v/>
      </c>
      <c r="C79" s="28" t="n"/>
      <c r="D79" s="38" t="n"/>
      <c r="E79" s="22">
        <f>IF(OR(C79="",D79=""),"",TEXT(D79/C79/1440,"m:ss"))</f>
        <v/>
      </c>
      <c r="F79" s="22" t="n"/>
      <c r="G79" s="22" t="n"/>
      <c r="H79" s="22" t="n"/>
      <c r="I79" s="22" t="n"/>
      <c r="J79" s="26" t="n"/>
    </row>
    <row r="80" ht="18" customHeight="1">
      <c r="A80" s="35" t="n"/>
      <c r="B80" s="16">
        <f>IF(A80="","",IFERROR(INT((A80-DATE(2026,4,27))/7)+1,""))</f>
        <v/>
      </c>
      <c r="C80" s="27" t="n"/>
      <c r="D80" s="36" t="n"/>
      <c r="E80" s="16">
        <f>IF(OR(C80="",D80=""),"",TEXT(D80/C80/1440,"m:ss"))</f>
        <v/>
      </c>
      <c r="F80" s="16" t="n"/>
      <c r="G80" s="16" t="n"/>
      <c r="H80" s="16" t="n"/>
      <c r="I80" s="16" t="n"/>
      <c r="J80" s="20" t="n"/>
    </row>
    <row r="81" ht="18" customHeight="1">
      <c r="A81" s="37" t="n"/>
      <c r="B81" s="22">
        <f>IF(A81="","",IFERROR(INT((A81-DATE(2026,4,27))/7)+1,""))</f>
        <v/>
      </c>
      <c r="C81" s="28" t="n"/>
      <c r="D81" s="38" t="n"/>
      <c r="E81" s="22">
        <f>IF(OR(C81="",D81=""),"",TEXT(D81/C81/1440,"m:ss"))</f>
        <v/>
      </c>
      <c r="F81" s="22" t="n"/>
      <c r="G81" s="22" t="n"/>
      <c r="H81" s="22" t="n"/>
      <c r="I81" s="22" t="n"/>
      <c r="J81" s="26" t="n"/>
    </row>
    <row r="82" ht="18" customHeight="1">
      <c r="A82" s="35" t="n"/>
      <c r="B82" s="16">
        <f>IF(A82="","",IFERROR(INT((A82-DATE(2026,4,27))/7)+1,""))</f>
        <v/>
      </c>
      <c r="C82" s="27" t="n"/>
      <c r="D82" s="36" t="n"/>
      <c r="E82" s="16">
        <f>IF(OR(C82="",D82=""),"",TEXT(D82/C82/1440,"m:ss"))</f>
        <v/>
      </c>
      <c r="F82" s="16" t="n"/>
      <c r="G82" s="16" t="n"/>
      <c r="H82" s="16" t="n"/>
      <c r="I82" s="16" t="n"/>
      <c r="J82" s="20" t="n"/>
    </row>
    <row r="83" ht="18" customHeight="1">
      <c r="A83" s="37" t="n"/>
      <c r="B83" s="22">
        <f>IF(A83="","",IFERROR(INT((A83-DATE(2026,4,27))/7)+1,""))</f>
        <v/>
      </c>
      <c r="C83" s="28" t="n"/>
      <c r="D83" s="38" t="n"/>
      <c r="E83" s="22">
        <f>IF(OR(C83="",D83=""),"",TEXT(D83/C83/1440,"m:ss"))</f>
        <v/>
      </c>
      <c r="F83" s="22" t="n"/>
      <c r="G83" s="22" t="n"/>
      <c r="H83" s="22" t="n"/>
      <c r="I83" s="22" t="n"/>
      <c r="J83" s="26" t="n"/>
    </row>
    <row r="84" ht="18" customHeight="1">
      <c r="A84" s="35" t="n"/>
      <c r="B84" s="16">
        <f>IF(A84="","",IFERROR(INT((A84-DATE(2026,4,27))/7)+1,""))</f>
        <v/>
      </c>
      <c r="C84" s="27" t="n"/>
      <c r="D84" s="36" t="n"/>
      <c r="E84" s="16">
        <f>IF(OR(C84="",D84=""),"",TEXT(D84/C84/1440,"m:ss"))</f>
        <v/>
      </c>
      <c r="F84" s="16" t="n"/>
      <c r="G84" s="16" t="n"/>
      <c r="H84" s="16" t="n"/>
      <c r="I84" s="16" t="n"/>
      <c r="J84" s="20" t="n"/>
    </row>
    <row r="85" ht="18" customHeight="1">
      <c r="A85" s="37" t="n"/>
      <c r="B85" s="22">
        <f>IF(A85="","",IFERROR(INT((A85-DATE(2026,4,27))/7)+1,""))</f>
        <v/>
      </c>
      <c r="C85" s="28" t="n"/>
      <c r="D85" s="38" t="n"/>
      <c r="E85" s="22">
        <f>IF(OR(C85="",D85=""),"",TEXT(D85/C85/1440,"m:ss"))</f>
        <v/>
      </c>
      <c r="F85" s="22" t="n"/>
      <c r="G85" s="22" t="n"/>
      <c r="H85" s="22" t="n"/>
      <c r="I85" s="22" t="n"/>
      <c r="J85" s="26" t="n"/>
    </row>
    <row r="86" ht="18" customHeight="1">
      <c r="A86" s="35" t="n"/>
      <c r="B86" s="16">
        <f>IF(A86="","",IFERROR(INT((A86-DATE(2026,4,27))/7)+1,""))</f>
        <v/>
      </c>
      <c r="C86" s="27" t="n"/>
      <c r="D86" s="36" t="n"/>
      <c r="E86" s="16">
        <f>IF(OR(C86="",D86=""),"",TEXT(D86/C86/1440,"m:ss"))</f>
        <v/>
      </c>
      <c r="F86" s="16" t="n"/>
      <c r="G86" s="16" t="n"/>
      <c r="H86" s="16" t="n"/>
      <c r="I86" s="16" t="n"/>
      <c r="J86" s="20" t="n"/>
    </row>
    <row r="87" ht="18" customHeight="1">
      <c r="A87" s="37" t="n"/>
      <c r="B87" s="22">
        <f>IF(A87="","",IFERROR(INT((A87-DATE(2026,4,27))/7)+1,""))</f>
        <v/>
      </c>
      <c r="C87" s="28" t="n"/>
      <c r="D87" s="38" t="n"/>
      <c r="E87" s="22">
        <f>IF(OR(C87="",D87=""),"",TEXT(D87/C87/1440,"m:ss"))</f>
        <v/>
      </c>
      <c r="F87" s="22" t="n"/>
      <c r="G87" s="22" t="n"/>
      <c r="H87" s="22" t="n"/>
      <c r="I87" s="22" t="n"/>
      <c r="J87" s="26" t="n"/>
    </row>
    <row r="88" ht="18" customHeight="1">
      <c r="A88" s="35" t="n"/>
      <c r="B88" s="16">
        <f>IF(A88="","",IFERROR(INT((A88-DATE(2026,4,27))/7)+1,""))</f>
        <v/>
      </c>
      <c r="C88" s="27" t="n"/>
      <c r="D88" s="36" t="n"/>
      <c r="E88" s="16">
        <f>IF(OR(C88="",D88=""),"",TEXT(D88/C88/1440,"m:ss"))</f>
        <v/>
      </c>
      <c r="F88" s="16" t="n"/>
      <c r="G88" s="16" t="n"/>
      <c r="H88" s="16" t="n"/>
      <c r="I88" s="16" t="n"/>
      <c r="J88" s="20" t="n"/>
    </row>
    <row r="89" ht="18" customHeight="1">
      <c r="A89" s="37" t="n"/>
      <c r="B89" s="22">
        <f>IF(A89="","",IFERROR(INT((A89-DATE(2026,4,27))/7)+1,""))</f>
        <v/>
      </c>
      <c r="C89" s="28" t="n"/>
      <c r="D89" s="38" t="n"/>
      <c r="E89" s="22">
        <f>IF(OR(C89="",D89=""),"",TEXT(D89/C89/1440,"m:ss"))</f>
        <v/>
      </c>
      <c r="F89" s="22" t="n"/>
      <c r="G89" s="22" t="n"/>
      <c r="H89" s="22" t="n"/>
      <c r="I89" s="22" t="n"/>
      <c r="J89" s="26" t="n"/>
    </row>
    <row r="90" ht="18" customHeight="1">
      <c r="A90" s="35" t="n"/>
      <c r="B90" s="16">
        <f>IF(A90="","",IFERROR(INT((A90-DATE(2026,4,27))/7)+1,""))</f>
        <v/>
      </c>
      <c r="C90" s="27" t="n"/>
      <c r="D90" s="36" t="n"/>
      <c r="E90" s="16">
        <f>IF(OR(C90="",D90=""),"",TEXT(D90/C90/1440,"m:ss"))</f>
        <v/>
      </c>
      <c r="F90" s="16" t="n"/>
      <c r="G90" s="16" t="n"/>
      <c r="H90" s="16" t="n"/>
      <c r="I90" s="16" t="n"/>
      <c r="J90" s="20" t="n"/>
    </row>
    <row r="91" ht="18" customHeight="1">
      <c r="A91" s="37" t="n"/>
      <c r="B91" s="22">
        <f>IF(A91="","",IFERROR(INT((A91-DATE(2026,4,27))/7)+1,""))</f>
        <v/>
      </c>
      <c r="C91" s="28" t="n"/>
      <c r="D91" s="38" t="n"/>
      <c r="E91" s="22">
        <f>IF(OR(C91="",D91=""),"",TEXT(D91/C91/1440,"m:ss"))</f>
        <v/>
      </c>
      <c r="F91" s="22" t="n"/>
      <c r="G91" s="22" t="n"/>
      <c r="H91" s="22" t="n"/>
      <c r="I91" s="22" t="n"/>
      <c r="J91" s="26" t="n"/>
    </row>
    <row r="92" ht="18" customHeight="1">
      <c r="A92" s="35" t="n"/>
      <c r="B92" s="16">
        <f>IF(A92="","",IFERROR(INT((A92-DATE(2026,4,27))/7)+1,""))</f>
        <v/>
      </c>
      <c r="C92" s="27" t="n"/>
      <c r="D92" s="36" t="n"/>
      <c r="E92" s="16">
        <f>IF(OR(C92="",D92=""),"",TEXT(D92/C92/1440,"m:ss"))</f>
        <v/>
      </c>
      <c r="F92" s="16" t="n"/>
      <c r="G92" s="16" t="n"/>
      <c r="H92" s="16" t="n"/>
      <c r="I92" s="16" t="n"/>
      <c r="J92" s="20" t="n"/>
    </row>
    <row r="93" ht="18" customHeight="1">
      <c r="A93" s="37" t="n"/>
      <c r="B93" s="22">
        <f>IF(A93="","",IFERROR(INT((A93-DATE(2026,4,27))/7)+1,""))</f>
        <v/>
      </c>
      <c r="C93" s="28" t="n"/>
      <c r="D93" s="38" t="n"/>
      <c r="E93" s="22">
        <f>IF(OR(C93="",D93=""),"",TEXT(D93/C93/1440,"m:ss"))</f>
        <v/>
      </c>
      <c r="F93" s="22" t="n"/>
      <c r="G93" s="22" t="n"/>
      <c r="H93" s="22" t="n"/>
      <c r="I93" s="22" t="n"/>
      <c r="J93" s="26" t="n"/>
    </row>
    <row r="94" ht="18" customHeight="1">
      <c r="A94" s="35" t="n"/>
      <c r="B94" s="16">
        <f>IF(A94="","",IFERROR(INT((A94-DATE(2026,4,27))/7)+1,""))</f>
        <v/>
      </c>
      <c r="C94" s="27" t="n"/>
      <c r="D94" s="36" t="n"/>
      <c r="E94" s="16">
        <f>IF(OR(C94="",D94=""),"",TEXT(D94/C94/1440,"m:ss"))</f>
        <v/>
      </c>
      <c r="F94" s="16" t="n"/>
      <c r="G94" s="16" t="n"/>
      <c r="H94" s="16" t="n"/>
      <c r="I94" s="16" t="n"/>
      <c r="J94" s="20" t="n"/>
    </row>
    <row r="95" ht="18" customHeight="1">
      <c r="A95" s="37" t="n"/>
      <c r="B95" s="22">
        <f>IF(A95="","",IFERROR(INT((A95-DATE(2026,4,27))/7)+1,""))</f>
        <v/>
      </c>
      <c r="C95" s="28" t="n"/>
      <c r="D95" s="38" t="n"/>
      <c r="E95" s="22">
        <f>IF(OR(C95="",D95=""),"",TEXT(D95/C95/1440,"m:ss"))</f>
        <v/>
      </c>
      <c r="F95" s="22" t="n"/>
      <c r="G95" s="22" t="n"/>
      <c r="H95" s="22" t="n"/>
      <c r="I95" s="22" t="n"/>
      <c r="J95" s="26" t="n"/>
    </row>
    <row r="96" ht="18" customHeight="1">
      <c r="A96" s="35" t="n"/>
      <c r="B96" s="16">
        <f>IF(A96="","",IFERROR(INT((A96-DATE(2026,4,27))/7)+1,""))</f>
        <v/>
      </c>
      <c r="C96" s="27" t="n"/>
      <c r="D96" s="36" t="n"/>
      <c r="E96" s="16">
        <f>IF(OR(C96="",D96=""),"",TEXT(D96/C96/1440,"m:ss"))</f>
        <v/>
      </c>
      <c r="F96" s="16" t="n"/>
      <c r="G96" s="16" t="n"/>
      <c r="H96" s="16" t="n"/>
      <c r="I96" s="16" t="n"/>
      <c r="J96" s="20" t="n"/>
    </row>
    <row r="97" ht="18" customHeight="1">
      <c r="A97" s="37" t="n"/>
      <c r="B97" s="22">
        <f>IF(A97="","",IFERROR(INT((A97-DATE(2026,4,27))/7)+1,""))</f>
        <v/>
      </c>
      <c r="C97" s="28" t="n"/>
      <c r="D97" s="38" t="n"/>
      <c r="E97" s="22">
        <f>IF(OR(C97="",D97=""),"",TEXT(D97/C97/1440,"m:ss"))</f>
        <v/>
      </c>
      <c r="F97" s="22" t="n"/>
      <c r="G97" s="22" t="n"/>
      <c r="H97" s="22" t="n"/>
      <c r="I97" s="22" t="n"/>
      <c r="J97" s="26" t="n"/>
    </row>
    <row r="98" ht="18" customHeight="1">
      <c r="A98" s="35" t="n"/>
      <c r="B98" s="16">
        <f>IF(A98="","",IFERROR(INT((A98-DATE(2026,4,27))/7)+1,""))</f>
        <v/>
      </c>
      <c r="C98" s="27" t="n"/>
      <c r="D98" s="36" t="n"/>
      <c r="E98" s="16">
        <f>IF(OR(C98="",D98=""),"",TEXT(D98/C98/1440,"m:ss"))</f>
        <v/>
      </c>
      <c r="F98" s="16" t="n"/>
      <c r="G98" s="16" t="n"/>
      <c r="H98" s="16" t="n"/>
      <c r="I98" s="16" t="n"/>
      <c r="J98" s="20" t="n"/>
    </row>
    <row r="99" ht="18" customHeight="1">
      <c r="A99" s="37" t="n"/>
      <c r="B99" s="22">
        <f>IF(A99="","",IFERROR(INT((A99-DATE(2026,4,27))/7)+1,""))</f>
        <v/>
      </c>
      <c r="C99" s="28" t="n"/>
      <c r="D99" s="38" t="n"/>
      <c r="E99" s="22">
        <f>IF(OR(C99="",D99=""),"",TEXT(D99/C99/1440,"m:ss"))</f>
        <v/>
      </c>
      <c r="F99" s="22" t="n"/>
      <c r="G99" s="22" t="n"/>
      <c r="H99" s="22" t="n"/>
      <c r="I99" s="22" t="n"/>
      <c r="J99" s="26" t="n"/>
    </row>
    <row r="100" ht="18" customHeight="1">
      <c r="A100" s="35" t="n"/>
      <c r="B100" s="16">
        <f>IF(A100="","",IFERROR(INT((A100-DATE(2026,4,27))/7)+1,""))</f>
        <v/>
      </c>
      <c r="C100" s="27" t="n"/>
      <c r="D100" s="36" t="n"/>
      <c r="E100" s="16">
        <f>IF(OR(C100="",D100=""),"",TEXT(D100/C100/1440,"m:ss"))</f>
        <v/>
      </c>
      <c r="F100" s="16" t="n"/>
      <c r="G100" s="16" t="n"/>
      <c r="H100" s="16" t="n"/>
      <c r="I100" s="16" t="n"/>
      <c r="J100" s="20" t="n"/>
    </row>
    <row r="101" ht="18" customHeight="1">
      <c r="A101" s="37" t="n"/>
      <c r="B101" s="22">
        <f>IF(A101="","",IFERROR(INT((A101-DATE(2026,4,27))/7)+1,""))</f>
        <v/>
      </c>
      <c r="C101" s="28" t="n"/>
      <c r="D101" s="38" t="n"/>
      <c r="E101" s="22">
        <f>IF(OR(C101="",D101=""),"",TEXT(D101/C101/1440,"m:ss"))</f>
        <v/>
      </c>
      <c r="F101" s="22" t="n"/>
      <c r="G101" s="22" t="n"/>
      <c r="H101" s="22" t="n"/>
      <c r="I101" s="22" t="n"/>
      <c r="J101" s="26" t="n"/>
    </row>
    <row r="102" ht="18" customHeight="1">
      <c r="A102" s="35" t="n"/>
      <c r="B102" s="16">
        <f>IF(A102="","",IFERROR(INT((A102-DATE(2026,4,27))/7)+1,""))</f>
        <v/>
      </c>
      <c r="C102" s="27" t="n"/>
      <c r="D102" s="36" t="n"/>
      <c r="E102" s="16">
        <f>IF(OR(C102="",D102=""),"",TEXT(D102/C102/1440,"m:ss"))</f>
        <v/>
      </c>
      <c r="F102" s="16" t="n"/>
      <c r="G102" s="16" t="n"/>
      <c r="H102" s="16" t="n"/>
      <c r="I102" s="16" t="n"/>
      <c r="J102" s="20" t="n"/>
    </row>
    <row r="103" ht="18" customHeight="1">
      <c r="A103" s="37" t="n"/>
      <c r="B103" s="22">
        <f>IF(A103="","",IFERROR(INT((A103-DATE(2026,4,27))/7)+1,""))</f>
        <v/>
      </c>
      <c r="C103" s="28" t="n"/>
      <c r="D103" s="38" t="n"/>
      <c r="E103" s="22">
        <f>IF(OR(C103="",D103=""),"",TEXT(D103/C103/1440,"m:ss"))</f>
        <v/>
      </c>
      <c r="F103" s="22" t="n"/>
      <c r="G103" s="22" t="n"/>
      <c r="H103" s="22" t="n"/>
      <c r="I103" s="22" t="n"/>
      <c r="J103" s="26" t="n"/>
    </row>
    <row r="104" ht="18" customHeight="1">
      <c r="A104" s="35" t="n"/>
      <c r="B104" s="16">
        <f>IF(A104="","",IFERROR(INT((A104-DATE(2026,4,27))/7)+1,""))</f>
        <v/>
      </c>
      <c r="C104" s="27" t="n"/>
      <c r="D104" s="36" t="n"/>
      <c r="E104" s="16">
        <f>IF(OR(C104="",D104=""),"",TEXT(D104/C104/1440,"m:ss"))</f>
        <v/>
      </c>
      <c r="F104" s="16" t="n"/>
      <c r="G104" s="16" t="n"/>
      <c r="H104" s="16" t="n"/>
      <c r="I104" s="16" t="n"/>
      <c r="J104" s="20" t="n"/>
    </row>
    <row r="105" ht="18" customHeight="1">
      <c r="A105" s="37" t="n"/>
      <c r="B105" s="22">
        <f>IF(A105="","",IFERROR(INT((A105-DATE(2026,4,27))/7)+1,""))</f>
        <v/>
      </c>
      <c r="C105" s="28" t="n"/>
      <c r="D105" s="38" t="n"/>
      <c r="E105" s="22">
        <f>IF(OR(C105="",D105=""),"",TEXT(D105/C105/1440,"m:ss"))</f>
        <v/>
      </c>
      <c r="F105" s="22" t="n"/>
      <c r="G105" s="22" t="n"/>
      <c r="H105" s="22" t="n"/>
      <c r="I105" s="22" t="n"/>
      <c r="J105" s="26" t="n"/>
    </row>
    <row r="106" ht="18" customHeight="1">
      <c r="A106" s="35" t="n"/>
      <c r="B106" s="16">
        <f>IF(A106="","",IFERROR(INT((A106-DATE(2026,4,27))/7)+1,""))</f>
        <v/>
      </c>
      <c r="C106" s="27" t="n"/>
      <c r="D106" s="36" t="n"/>
      <c r="E106" s="16">
        <f>IF(OR(C106="",D106=""),"",TEXT(D106/C106/1440,"m:ss"))</f>
        <v/>
      </c>
      <c r="F106" s="16" t="n"/>
      <c r="G106" s="16" t="n"/>
      <c r="H106" s="16" t="n"/>
      <c r="I106" s="16" t="n"/>
      <c r="J106" s="20" t="n"/>
    </row>
    <row r="107" ht="18" customHeight="1">
      <c r="A107" s="37" t="n"/>
      <c r="B107" s="22">
        <f>IF(A107="","",IFERROR(INT((A107-DATE(2026,4,27))/7)+1,""))</f>
        <v/>
      </c>
      <c r="C107" s="28" t="n"/>
      <c r="D107" s="38" t="n"/>
      <c r="E107" s="22">
        <f>IF(OR(C107="",D107=""),"",TEXT(D107/C107/1440,"m:ss"))</f>
        <v/>
      </c>
      <c r="F107" s="22" t="n"/>
      <c r="G107" s="22" t="n"/>
      <c r="H107" s="22" t="n"/>
      <c r="I107" s="22" t="n"/>
      <c r="J107" s="26" t="n"/>
    </row>
    <row r="108" ht="18" customHeight="1">
      <c r="A108" s="35" t="n"/>
      <c r="B108" s="16">
        <f>IF(A108="","",IFERROR(INT((A108-DATE(2026,4,27))/7)+1,""))</f>
        <v/>
      </c>
      <c r="C108" s="27" t="n"/>
      <c r="D108" s="36" t="n"/>
      <c r="E108" s="16">
        <f>IF(OR(C108="",D108=""),"",TEXT(D108/C108/1440,"m:ss"))</f>
        <v/>
      </c>
      <c r="F108" s="16" t="n"/>
      <c r="G108" s="16" t="n"/>
      <c r="H108" s="16" t="n"/>
      <c r="I108" s="16" t="n"/>
      <c r="J108" s="20" t="n"/>
    </row>
    <row r="109" ht="18" customHeight="1">
      <c r="A109" s="37" t="n"/>
      <c r="B109" s="22">
        <f>IF(A109="","",IFERROR(INT((A109-DATE(2026,4,27))/7)+1,""))</f>
        <v/>
      </c>
      <c r="C109" s="28" t="n"/>
      <c r="D109" s="38" t="n"/>
      <c r="E109" s="22">
        <f>IF(OR(C109="",D109=""),"",TEXT(D109/C109/1440,"m:ss"))</f>
        <v/>
      </c>
      <c r="F109" s="22" t="n"/>
      <c r="G109" s="22" t="n"/>
      <c r="H109" s="22" t="n"/>
      <c r="I109" s="22" t="n"/>
      <c r="J109" s="26" t="n"/>
    </row>
    <row r="110" ht="18" customHeight="1">
      <c r="A110" s="35" t="n"/>
      <c r="B110" s="16">
        <f>IF(A110="","",IFERROR(INT((A110-DATE(2026,4,27))/7)+1,""))</f>
        <v/>
      </c>
      <c r="C110" s="27" t="n"/>
      <c r="D110" s="36" t="n"/>
      <c r="E110" s="16">
        <f>IF(OR(C110="",D110=""),"",TEXT(D110/C110/1440,"m:ss"))</f>
        <v/>
      </c>
      <c r="F110" s="16" t="n"/>
      <c r="G110" s="16" t="n"/>
      <c r="H110" s="16" t="n"/>
      <c r="I110" s="16" t="n"/>
      <c r="J110" s="20" t="n"/>
    </row>
    <row r="111" ht="18" customHeight="1">
      <c r="A111" s="37" t="n"/>
      <c r="B111" s="22">
        <f>IF(A111="","",IFERROR(INT((A111-DATE(2026,4,27))/7)+1,""))</f>
        <v/>
      </c>
      <c r="C111" s="28" t="n"/>
      <c r="D111" s="38" t="n"/>
      <c r="E111" s="22">
        <f>IF(OR(C111="",D111=""),"",TEXT(D111/C111/1440,"m:ss"))</f>
        <v/>
      </c>
      <c r="F111" s="22" t="n"/>
      <c r="G111" s="22" t="n"/>
      <c r="H111" s="22" t="n"/>
      <c r="I111" s="22" t="n"/>
      <c r="J111" s="26" t="n"/>
    </row>
    <row r="112" ht="18" customHeight="1">
      <c r="A112" s="35" t="n"/>
      <c r="B112" s="16">
        <f>IF(A112="","",IFERROR(INT((A112-DATE(2026,4,27))/7)+1,""))</f>
        <v/>
      </c>
      <c r="C112" s="27" t="n"/>
      <c r="D112" s="36" t="n"/>
      <c r="E112" s="16">
        <f>IF(OR(C112="",D112=""),"",TEXT(D112/C112/1440,"m:ss"))</f>
        <v/>
      </c>
      <c r="F112" s="16" t="n"/>
      <c r="G112" s="16" t="n"/>
      <c r="H112" s="16" t="n"/>
      <c r="I112" s="16" t="n"/>
      <c r="J112" s="20" t="n"/>
    </row>
    <row r="113" ht="18" customHeight="1">
      <c r="A113" s="37" t="n"/>
      <c r="B113" s="22">
        <f>IF(A113="","",IFERROR(INT((A113-DATE(2026,4,27))/7)+1,""))</f>
        <v/>
      </c>
      <c r="C113" s="28" t="n"/>
      <c r="D113" s="38" t="n"/>
      <c r="E113" s="22">
        <f>IF(OR(C113="",D113=""),"",TEXT(D113/C113/1440,"m:ss"))</f>
        <v/>
      </c>
      <c r="F113" s="22" t="n"/>
      <c r="G113" s="22" t="n"/>
      <c r="H113" s="22" t="n"/>
      <c r="I113" s="22" t="n"/>
      <c r="J113" s="26" t="n"/>
    </row>
    <row r="114" ht="18" customHeight="1">
      <c r="A114" s="35" t="n"/>
      <c r="B114" s="16">
        <f>IF(A114="","",IFERROR(INT((A114-DATE(2026,4,27))/7)+1,""))</f>
        <v/>
      </c>
      <c r="C114" s="27" t="n"/>
      <c r="D114" s="36" t="n"/>
      <c r="E114" s="16">
        <f>IF(OR(C114="",D114=""),"",TEXT(D114/C114/1440,"m:ss"))</f>
        <v/>
      </c>
      <c r="F114" s="16" t="n"/>
      <c r="G114" s="16" t="n"/>
      <c r="H114" s="16" t="n"/>
      <c r="I114" s="16" t="n"/>
      <c r="J114" s="20" t="n"/>
    </row>
    <row r="115" ht="18" customHeight="1">
      <c r="A115" s="37" t="n"/>
      <c r="B115" s="22">
        <f>IF(A115="","",IFERROR(INT((A115-DATE(2026,4,27))/7)+1,""))</f>
        <v/>
      </c>
      <c r="C115" s="28" t="n"/>
      <c r="D115" s="38" t="n"/>
      <c r="E115" s="22">
        <f>IF(OR(C115="",D115=""),"",TEXT(D115/C115/1440,"m:ss"))</f>
        <v/>
      </c>
      <c r="F115" s="22" t="n"/>
      <c r="G115" s="22" t="n"/>
      <c r="H115" s="22" t="n"/>
      <c r="I115" s="22" t="n"/>
      <c r="J115" s="26" t="n"/>
    </row>
    <row r="116" ht="18" customHeight="1">
      <c r="A116" s="35" t="n"/>
      <c r="B116" s="16">
        <f>IF(A116="","",IFERROR(INT((A116-DATE(2026,4,27))/7)+1,""))</f>
        <v/>
      </c>
      <c r="C116" s="27" t="n"/>
      <c r="D116" s="36" t="n"/>
      <c r="E116" s="16">
        <f>IF(OR(C116="",D116=""),"",TEXT(D116/C116/1440,"m:ss"))</f>
        <v/>
      </c>
      <c r="F116" s="16" t="n"/>
      <c r="G116" s="16" t="n"/>
      <c r="H116" s="16" t="n"/>
      <c r="I116" s="16" t="n"/>
      <c r="J116" s="20" t="n"/>
    </row>
    <row r="117" ht="18" customHeight="1">
      <c r="A117" s="37" t="n"/>
      <c r="B117" s="22">
        <f>IF(A117="","",IFERROR(INT((A117-DATE(2026,4,27))/7)+1,""))</f>
        <v/>
      </c>
      <c r="C117" s="28" t="n"/>
      <c r="D117" s="38" t="n"/>
      <c r="E117" s="22">
        <f>IF(OR(C117="",D117=""),"",TEXT(D117/C117/1440,"m:ss"))</f>
        <v/>
      </c>
      <c r="F117" s="22" t="n"/>
      <c r="G117" s="22" t="n"/>
      <c r="H117" s="22" t="n"/>
      <c r="I117" s="22" t="n"/>
      <c r="J117" s="26" t="n"/>
    </row>
    <row r="118" ht="18" customHeight="1">
      <c r="A118" s="35" t="n"/>
      <c r="B118" s="16">
        <f>IF(A118="","",IFERROR(INT((A118-DATE(2026,4,27))/7)+1,""))</f>
        <v/>
      </c>
      <c r="C118" s="27" t="n"/>
      <c r="D118" s="36" t="n"/>
      <c r="E118" s="16">
        <f>IF(OR(C118="",D118=""),"",TEXT(D118/C118/1440,"m:ss"))</f>
        <v/>
      </c>
      <c r="F118" s="16" t="n"/>
      <c r="G118" s="16" t="n"/>
      <c r="H118" s="16" t="n"/>
      <c r="I118" s="16" t="n"/>
      <c r="J118" s="20" t="n"/>
    </row>
    <row r="119" ht="18" customHeight="1">
      <c r="A119" s="37" t="n"/>
      <c r="B119" s="22">
        <f>IF(A119="","",IFERROR(INT((A119-DATE(2026,4,27))/7)+1,""))</f>
        <v/>
      </c>
      <c r="C119" s="28" t="n"/>
      <c r="D119" s="38" t="n"/>
      <c r="E119" s="22">
        <f>IF(OR(C119="",D119=""),"",TEXT(D119/C119/1440,"m:ss"))</f>
        <v/>
      </c>
      <c r="F119" s="22" t="n"/>
      <c r="G119" s="22" t="n"/>
      <c r="H119" s="22" t="n"/>
      <c r="I119" s="22" t="n"/>
      <c r="J119" s="26" t="n"/>
    </row>
    <row r="120" ht="18" customHeight="1">
      <c r="A120" s="35" t="n"/>
      <c r="B120" s="16">
        <f>IF(A120="","",IFERROR(INT((A120-DATE(2026,4,27))/7)+1,""))</f>
        <v/>
      </c>
      <c r="C120" s="27" t="n"/>
      <c r="D120" s="36" t="n"/>
      <c r="E120" s="16">
        <f>IF(OR(C120="",D120=""),"",TEXT(D120/C120/1440,"m:ss"))</f>
        <v/>
      </c>
      <c r="F120" s="16" t="n"/>
      <c r="G120" s="16" t="n"/>
      <c r="H120" s="16" t="n"/>
      <c r="I120" s="16" t="n"/>
      <c r="J120" s="20" t="n"/>
    </row>
    <row r="121" ht="18" customHeight="1">
      <c r="A121" s="37" t="n"/>
      <c r="B121" s="22">
        <f>IF(A121="","",IFERROR(INT((A121-DATE(2026,4,27))/7)+1,""))</f>
        <v/>
      </c>
      <c r="C121" s="28" t="n"/>
      <c r="D121" s="38" t="n"/>
      <c r="E121" s="22">
        <f>IF(OR(C121="",D121=""),"",TEXT(D121/C121/1440,"m:ss"))</f>
        <v/>
      </c>
      <c r="F121" s="22" t="n"/>
      <c r="G121" s="22" t="n"/>
      <c r="H121" s="22" t="n"/>
      <c r="I121" s="22" t="n"/>
      <c r="J121" s="26" t="n"/>
    </row>
    <row r="122" ht="18" customHeight="1">
      <c r="A122" s="35" t="n"/>
      <c r="B122" s="16">
        <f>IF(A122="","",IFERROR(INT((A122-DATE(2026,4,27))/7)+1,""))</f>
        <v/>
      </c>
      <c r="C122" s="27" t="n"/>
      <c r="D122" s="36" t="n"/>
      <c r="E122" s="16">
        <f>IF(OR(C122="",D122=""),"",TEXT(D122/C122/1440,"m:ss"))</f>
        <v/>
      </c>
      <c r="F122" s="16" t="n"/>
      <c r="G122" s="16" t="n"/>
      <c r="H122" s="16" t="n"/>
      <c r="I122" s="16" t="n"/>
      <c r="J122" s="20" t="n"/>
    </row>
    <row r="123" ht="18" customHeight="1">
      <c r="A123" s="37" t="n"/>
      <c r="B123" s="22">
        <f>IF(A123="","",IFERROR(INT((A123-DATE(2026,4,27))/7)+1,""))</f>
        <v/>
      </c>
      <c r="C123" s="28" t="n"/>
      <c r="D123" s="38" t="n"/>
      <c r="E123" s="22">
        <f>IF(OR(C123="",D123=""),"",TEXT(D123/C123/1440,"m:ss"))</f>
        <v/>
      </c>
      <c r="F123" s="22" t="n"/>
      <c r="G123" s="22" t="n"/>
      <c r="H123" s="22" t="n"/>
      <c r="I123" s="22" t="n"/>
      <c r="J123" s="26" t="n"/>
    </row>
    <row r="124" ht="18" customHeight="1">
      <c r="A124" s="35" t="n"/>
      <c r="B124" s="16">
        <f>IF(A124="","",IFERROR(INT((A124-DATE(2026,4,27))/7)+1,""))</f>
        <v/>
      </c>
      <c r="C124" s="27" t="n"/>
      <c r="D124" s="36" t="n"/>
      <c r="E124" s="16">
        <f>IF(OR(C124="",D124=""),"",TEXT(D124/C124/1440,"m:ss"))</f>
        <v/>
      </c>
      <c r="F124" s="16" t="n"/>
      <c r="G124" s="16" t="n"/>
      <c r="H124" s="16" t="n"/>
      <c r="I124" s="16" t="n"/>
      <c r="J124" s="20" t="n"/>
    </row>
    <row r="125" ht="18" customHeight="1">
      <c r="A125" s="37" t="n"/>
      <c r="B125" s="22">
        <f>IF(A125="","",IFERROR(INT((A125-DATE(2026,4,27))/7)+1,""))</f>
        <v/>
      </c>
      <c r="C125" s="28" t="n"/>
      <c r="D125" s="38" t="n"/>
      <c r="E125" s="22">
        <f>IF(OR(C125="",D125=""),"",TEXT(D125/C125/1440,"m:ss"))</f>
        <v/>
      </c>
      <c r="F125" s="22" t="n"/>
      <c r="G125" s="22" t="n"/>
      <c r="H125" s="22" t="n"/>
      <c r="I125" s="22" t="n"/>
      <c r="J125" s="26" t="n"/>
    </row>
    <row r="126" ht="18" customHeight="1">
      <c r="A126" s="35" t="n"/>
      <c r="B126" s="16">
        <f>IF(A126="","",IFERROR(INT((A126-DATE(2026,4,27))/7)+1,""))</f>
        <v/>
      </c>
      <c r="C126" s="27" t="n"/>
      <c r="D126" s="36" t="n"/>
      <c r="E126" s="16">
        <f>IF(OR(C126="",D126=""),"",TEXT(D126/C126/1440,"m:ss"))</f>
        <v/>
      </c>
      <c r="F126" s="16" t="n"/>
      <c r="G126" s="16" t="n"/>
      <c r="H126" s="16" t="n"/>
      <c r="I126" s="16" t="n"/>
      <c r="J126" s="20" t="n"/>
    </row>
    <row r="127" ht="18" customHeight="1">
      <c r="A127" s="37" t="n"/>
      <c r="B127" s="22">
        <f>IF(A127="","",IFERROR(INT((A127-DATE(2026,4,27))/7)+1,""))</f>
        <v/>
      </c>
      <c r="C127" s="28" t="n"/>
      <c r="D127" s="38" t="n"/>
      <c r="E127" s="22">
        <f>IF(OR(C127="",D127=""),"",TEXT(D127/C127/1440,"m:ss"))</f>
        <v/>
      </c>
      <c r="F127" s="22" t="n"/>
      <c r="G127" s="22" t="n"/>
      <c r="H127" s="22" t="n"/>
      <c r="I127" s="22" t="n"/>
      <c r="J127" s="26" t="n"/>
    </row>
    <row r="128" ht="18" customHeight="1">
      <c r="A128" s="35" t="n"/>
      <c r="B128" s="16">
        <f>IF(A128="","",IFERROR(INT((A128-DATE(2026,4,27))/7)+1,""))</f>
        <v/>
      </c>
      <c r="C128" s="27" t="n"/>
      <c r="D128" s="36" t="n"/>
      <c r="E128" s="16">
        <f>IF(OR(C128="",D128=""),"",TEXT(D128/C128/1440,"m:ss"))</f>
        <v/>
      </c>
      <c r="F128" s="16" t="n"/>
      <c r="G128" s="16" t="n"/>
      <c r="H128" s="16" t="n"/>
      <c r="I128" s="16" t="n"/>
      <c r="J128" s="20" t="n"/>
    </row>
    <row r="129" ht="18" customHeight="1">
      <c r="A129" s="37" t="n"/>
      <c r="B129" s="22">
        <f>IF(A129="","",IFERROR(INT((A129-DATE(2026,4,27))/7)+1,""))</f>
        <v/>
      </c>
      <c r="C129" s="28" t="n"/>
      <c r="D129" s="38" t="n"/>
      <c r="E129" s="22">
        <f>IF(OR(C129="",D129=""),"",TEXT(D129/C129/1440,"m:ss"))</f>
        <v/>
      </c>
      <c r="F129" s="22" t="n"/>
      <c r="G129" s="22" t="n"/>
      <c r="H129" s="22" t="n"/>
      <c r="I129" s="22" t="n"/>
      <c r="J129" s="26" t="n"/>
    </row>
    <row r="130" ht="18" customHeight="1">
      <c r="A130" s="35" t="n"/>
      <c r="B130" s="16">
        <f>IF(A130="","",IFERROR(INT((A130-DATE(2026,4,27))/7)+1,""))</f>
        <v/>
      </c>
      <c r="C130" s="27" t="n"/>
      <c r="D130" s="36" t="n"/>
      <c r="E130" s="16">
        <f>IF(OR(C130="",D130=""),"",TEXT(D130/C130/1440,"m:ss"))</f>
        <v/>
      </c>
      <c r="F130" s="16" t="n"/>
      <c r="G130" s="16" t="n"/>
      <c r="H130" s="16" t="n"/>
      <c r="I130" s="16" t="n"/>
      <c r="J130" s="20" t="n"/>
    </row>
    <row r="131" ht="18" customHeight="1">
      <c r="A131" s="37" t="n"/>
      <c r="B131" s="22">
        <f>IF(A131="","",IFERROR(INT((A131-DATE(2026,4,27))/7)+1,""))</f>
        <v/>
      </c>
      <c r="C131" s="28" t="n"/>
      <c r="D131" s="38" t="n"/>
      <c r="E131" s="22">
        <f>IF(OR(C131="",D131=""),"",TEXT(D131/C131/1440,"m:ss"))</f>
        <v/>
      </c>
      <c r="F131" s="22" t="n"/>
      <c r="G131" s="22" t="n"/>
      <c r="H131" s="22" t="n"/>
      <c r="I131" s="22" t="n"/>
      <c r="J131" s="26" t="n"/>
    </row>
    <row r="132" ht="18" customHeight="1">
      <c r="A132" s="35" t="n"/>
      <c r="B132" s="16">
        <f>IF(A132="","",IFERROR(INT((A132-DATE(2026,4,27))/7)+1,""))</f>
        <v/>
      </c>
      <c r="C132" s="27" t="n"/>
      <c r="D132" s="36" t="n"/>
      <c r="E132" s="16">
        <f>IF(OR(C132="",D132=""),"",TEXT(D132/C132/1440,"m:ss"))</f>
        <v/>
      </c>
      <c r="F132" s="16" t="n"/>
      <c r="G132" s="16" t="n"/>
      <c r="H132" s="16" t="n"/>
      <c r="I132" s="16" t="n"/>
      <c r="J132" s="20" t="n"/>
    </row>
    <row r="133" ht="18" customHeight="1">
      <c r="A133" s="37" t="n"/>
      <c r="B133" s="22">
        <f>IF(A133="","",IFERROR(INT((A133-DATE(2026,4,27))/7)+1,""))</f>
        <v/>
      </c>
      <c r="C133" s="28" t="n"/>
      <c r="D133" s="38" t="n"/>
      <c r="E133" s="22">
        <f>IF(OR(C133="",D133=""),"",TEXT(D133/C133/1440,"m:ss"))</f>
        <v/>
      </c>
      <c r="F133" s="22" t="n"/>
      <c r="G133" s="22" t="n"/>
      <c r="H133" s="22" t="n"/>
      <c r="I133" s="22" t="n"/>
      <c r="J133" s="26" t="n"/>
    </row>
    <row r="134" ht="18" customHeight="1">
      <c r="A134" s="35" t="n"/>
      <c r="B134" s="16">
        <f>IF(A134="","",IFERROR(INT((A134-DATE(2026,4,27))/7)+1,""))</f>
        <v/>
      </c>
      <c r="C134" s="27" t="n"/>
      <c r="D134" s="36" t="n"/>
      <c r="E134" s="16">
        <f>IF(OR(C134="",D134=""),"",TEXT(D134/C134/1440,"m:ss"))</f>
        <v/>
      </c>
      <c r="F134" s="16" t="n"/>
      <c r="G134" s="16" t="n"/>
      <c r="H134" s="16" t="n"/>
      <c r="I134" s="16" t="n"/>
      <c r="J134" s="20" t="n"/>
    </row>
    <row r="135" ht="18" customHeight="1">
      <c r="A135" s="37" t="n"/>
      <c r="B135" s="22">
        <f>IF(A135="","",IFERROR(INT((A135-DATE(2026,4,27))/7)+1,""))</f>
        <v/>
      </c>
      <c r="C135" s="28" t="n"/>
      <c r="D135" s="38" t="n"/>
      <c r="E135" s="22">
        <f>IF(OR(C135="",D135=""),"",TEXT(D135/C135/1440,"m:ss"))</f>
        <v/>
      </c>
      <c r="F135" s="22" t="n"/>
      <c r="G135" s="22" t="n"/>
      <c r="H135" s="22" t="n"/>
      <c r="I135" s="22" t="n"/>
      <c r="J135" s="26" t="n"/>
    </row>
    <row r="136" ht="18" customHeight="1">
      <c r="A136" s="35" t="n"/>
      <c r="B136" s="16">
        <f>IF(A136="","",IFERROR(INT((A136-DATE(2026,4,27))/7)+1,""))</f>
        <v/>
      </c>
      <c r="C136" s="27" t="n"/>
      <c r="D136" s="36" t="n"/>
      <c r="E136" s="16">
        <f>IF(OR(C136="",D136=""),"",TEXT(D136/C136/1440,"m:ss"))</f>
        <v/>
      </c>
      <c r="F136" s="16" t="n"/>
      <c r="G136" s="16" t="n"/>
      <c r="H136" s="16" t="n"/>
      <c r="I136" s="16" t="n"/>
      <c r="J136" s="20" t="n"/>
    </row>
    <row r="137" ht="18" customHeight="1">
      <c r="A137" s="37" t="n"/>
      <c r="B137" s="22">
        <f>IF(A137="","",IFERROR(INT((A137-DATE(2026,4,27))/7)+1,""))</f>
        <v/>
      </c>
      <c r="C137" s="28" t="n"/>
      <c r="D137" s="38" t="n"/>
      <c r="E137" s="22">
        <f>IF(OR(C137="",D137=""),"",TEXT(D137/C137/1440,"m:ss"))</f>
        <v/>
      </c>
      <c r="F137" s="22" t="n"/>
      <c r="G137" s="22" t="n"/>
      <c r="H137" s="22" t="n"/>
      <c r="I137" s="22" t="n"/>
      <c r="J137" s="26" t="n"/>
    </row>
    <row r="138" ht="18" customHeight="1">
      <c r="A138" s="35" t="n"/>
      <c r="B138" s="16">
        <f>IF(A138="","",IFERROR(INT((A138-DATE(2026,4,27))/7)+1,""))</f>
        <v/>
      </c>
      <c r="C138" s="27" t="n"/>
      <c r="D138" s="36" t="n"/>
      <c r="E138" s="16">
        <f>IF(OR(C138="",D138=""),"",TEXT(D138/C138/1440,"m:ss"))</f>
        <v/>
      </c>
      <c r="F138" s="16" t="n"/>
      <c r="G138" s="16" t="n"/>
      <c r="H138" s="16" t="n"/>
      <c r="I138" s="16" t="n"/>
      <c r="J138" s="20" t="n"/>
    </row>
    <row r="139" ht="18" customHeight="1">
      <c r="A139" s="37" t="n"/>
      <c r="B139" s="22">
        <f>IF(A139="","",IFERROR(INT((A139-DATE(2026,4,27))/7)+1,""))</f>
        <v/>
      </c>
      <c r="C139" s="28" t="n"/>
      <c r="D139" s="38" t="n"/>
      <c r="E139" s="22">
        <f>IF(OR(C139="",D139=""),"",TEXT(D139/C139/1440,"m:ss"))</f>
        <v/>
      </c>
      <c r="F139" s="22" t="n"/>
      <c r="G139" s="22" t="n"/>
      <c r="H139" s="22" t="n"/>
      <c r="I139" s="22" t="n"/>
      <c r="J139" s="26" t="n"/>
    </row>
    <row r="140" ht="18" customHeight="1">
      <c r="A140" s="35" t="n"/>
      <c r="B140" s="16">
        <f>IF(A140="","",IFERROR(INT((A140-DATE(2026,4,27))/7)+1,""))</f>
        <v/>
      </c>
      <c r="C140" s="27" t="n"/>
      <c r="D140" s="36" t="n"/>
      <c r="E140" s="16">
        <f>IF(OR(C140="",D140=""),"",TEXT(D140/C140/1440,"m:ss"))</f>
        <v/>
      </c>
      <c r="F140" s="16" t="n"/>
      <c r="G140" s="16" t="n"/>
      <c r="H140" s="16" t="n"/>
      <c r="I140" s="16" t="n"/>
      <c r="J140" s="20" t="n"/>
    </row>
    <row r="141" ht="18" customHeight="1">
      <c r="A141" s="37" t="n"/>
      <c r="B141" s="22">
        <f>IF(A141="","",IFERROR(INT((A141-DATE(2026,4,27))/7)+1,""))</f>
        <v/>
      </c>
      <c r="C141" s="28" t="n"/>
      <c r="D141" s="38" t="n"/>
      <c r="E141" s="22">
        <f>IF(OR(C141="",D141=""),"",TEXT(D141/C141/1440,"m:ss"))</f>
        <v/>
      </c>
      <c r="F141" s="22" t="n"/>
      <c r="G141" s="22" t="n"/>
      <c r="H141" s="22" t="n"/>
      <c r="I141" s="22" t="n"/>
      <c r="J141" s="26" t="n"/>
    </row>
    <row r="142" ht="18" customHeight="1">
      <c r="A142" s="35" t="n"/>
      <c r="B142" s="16">
        <f>IF(A142="","",IFERROR(INT((A142-DATE(2026,4,27))/7)+1,""))</f>
        <v/>
      </c>
      <c r="C142" s="27" t="n"/>
      <c r="D142" s="36" t="n"/>
      <c r="E142" s="16">
        <f>IF(OR(C142="",D142=""),"",TEXT(D142/C142/1440,"m:ss"))</f>
        <v/>
      </c>
      <c r="F142" s="16" t="n"/>
      <c r="G142" s="16" t="n"/>
      <c r="H142" s="16" t="n"/>
      <c r="I142" s="16" t="n"/>
      <c r="J142" s="20" t="n"/>
    </row>
    <row r="143" ht="18" customHeight="1">
      <c r="A143" s="37" t="n"/>
      <c r="B143" s="22">
        <f>IF(A143="","",IFERROR(INT((A143-DATE(2026,4,27))/7)+1,""))</f>
        <v/>
      </c>
      <c r="C143" s="28" t="n"/>
      <c r="D143" s="38" t="n"/>
      <c r="E143" s="22">
        <f>IF(OR(C143="",D143=""),"",TEXT(D143/C143/1440,"m:ss"))</f>
        <v/>
      </c>
      <c r="F143" s="22" t="n"/>
      <c r="G143" s="22" t="n"/>
      <c r="H143" s="22" t="n"/>
      <c r="I143" s="22" t="n"/>
      <c r="J143" s="26" t="n"/>
    </row>
    <row r="144" ht="18" customHeight="1">
      <c r="A144" s="35" t="n"/>
      <c r="B144" s="16">
        <f>IF(A144="","",IFERROR(INT((A144-DATE(2026,4,27))/7)+1,""))</f>
        <v/>
      </c>
      <c r="C144" s="27" t="n"/>
      <c r="D144" s="36" t="n"/>
      <c r="E144" s="16">
        <f>IF(OR(C144="",D144=""),"",TEXT(D144/C144/1440,"m:ss"))</f>
        <v/>
      </c>
      <c r="F144" s="16" t="n"/>
      <c r="G144" s="16" t="n"/>
      <c r="H144" s="16" t="n"/>
      <c r="I144" s="16" t="n"/>
      <c r="J144" s="20" t="n"/>
    </row>
    <row r="145" ht="18" customHeight="1">
      <c r="A145" s="37" t="n"/>
      <c r="B145" s="22">
        <f>IF(A145="","",IFERROR(INT((A145-DATE(2026,4,27))/7)+1,""))</f>
        <v/>
      </c>
      <c r="C145" s="28" t="n"/>
      <c r="D145" s="38" t="n"/>
      <c r="E145" s="22">
        <f>IF(OR(C145="",D145=""),"",TEXT(D145/C145/1440,"m:ss"))</f>
        <v/>
      </c>
      <c r="F145" s="22" t="n"/>
      <c r="G145" s="22" t="n"/>
      <c r="H145" s="22" t="n"/>
      <c r="I145" s="22" t="n"/>
      <c r="J145" s="26" t="n"/>
    </row>
    <row r="146" ht="18" customHeight="1">
      <c r="A146" s="35" t="n"/>
      <c r="B146" s="16">
        <f>IF(A146="","",IFERROR(INT((A146-DATE(2026,4,27))/7)+1,""))</f>
        <v/>
      </c>
      <c r="C146" s="27" t="n"/>
      <c r="D146" s="36" t="n"/>
      <c r="E146" s="16">
        <f>IF(OR(C146="",D146=""),"",TEXT(D146/C146/1440,"m:ss"))</f>
        <v/>
      </c>
      <c r="F146" s="16" t="n"/>
      <c r="G146" s="16" t="n"/>
      <c r="H146" s="16" t="n"/>
      <c r="I146" s="16" t="n"/>
      <c r="J146" s="20" t="n"/>
    </row>
    <row r="147" ht="18" customHeight="1">
      <c r="A147" s="37" t="n"/>
      <c r="B147" s="22">
        <f>IF(A147="","",IFERROR(INT((A147-DATE(2026,4,27))/7)+1,""))</f>
        <v/>
      </c>
      <c r="C147" s="28" t="n"/>
      <c r="D147" s="38" t="n"/>
      <c r="E147" s="22">
        <f>IF(OR(C147="",D147=""),"",TEXT(D147/C147/1440,"m:ss"))</f>
        <v/>
      </c>
      <c r="F147" s="22" t="n"/>
      <c r="G147" s="22" t="n"/>
      <c r="H147" s="22" t="n"/>
      <c r="I147" s="22" t="n"/>
      <c r="J147" s="26" t="n"/>
    </row>
    <row r="148" ht="18" customHeight="1">
      <c r="A148" s="35" t="n"/>
      <c r="B148" s="16">
        <f>IF(A148="","",IFERROR(INT((A148-DATE(2026,4,27))/7)+1,""))</f>
        <v/>
      </c>
      <c r="C148" s="27" t="n"/>
      <c r="D148" s="36" t="n"/>
      <c r="E148" s="16">
        <f>IF(OR(C148="",D148=""),"",TEXT(D148/C148/1440,"m:ss"))</f>
        <v/>
      </c>
      <c r="F148" s="16" t="n"/>
      <c r="G148" s="16" t="n"/>
      <c r="H148" s="16" t="n"/>
      <c r="I148" s="16" t="n"/>
      <c r="J148" s="20" t="n"/>
    </row>
    <row r="149" ht="18" customHeight="1">
      <c r="A149" s="37" t="n"/>
      <c r="B149" s="22">
        <f>IF(A149="","",IFERROR(INT((A149-DATE(2026,4,27))/7)+1,""))</f>
        <v/>
      </c>
      <c r="C149" s="28" t="n"/>
      <c r="D149" s="38" t="n"/>
      <c r="E149" s="22">
        <f>IF(OR(C149="",D149=""),"",TEXT(D149/C149/1440,"m:ss"))</f>
        <v/>
      </c>
      <c r="F149" s="22" t="n"/>
      <c r="G149" s="22" t="n"/>
      <c r="H149" s="22" t="n"/>
      <c r="I149" s="22" t="n"/>
      <c r="J149" s="26" t="n"/>
    </row>
    <row r="150" ht="18" customHeight="1">
      <c r="A150" s="35" t="n"/>
      <c r="B150" s="16">
        <f>IF(A150="","",IFERROR(INT((A150-DATE(2026,4,27))/7)+1,""))</f>
        <v/>
      </c>
      <c r="C150" s="27" t="n"/>
      <c r="D150" s="36" t="n"/>
      <c r="E150" s="16">
        <f>IF(OR(C150="",D150=""),"",TEXT(D150/C150/1440,"m:ss"))</f>
        <v/>
      </c>
      <c r="F150" s="16" t="n"/>
      <c r="G150" s="16" t="n"/>
      <c r="H150" s="16" t="n"/>
      <c r="I150" s="16" t="n"/>
      <c r="J150" s="20" t="n"/>
    </row>
    <row r="151" ht="18" customHeight="1">
      <c r="A151" s="37" t="n"/>
      <c r="B151" s="22">
        <f>IF(A151="","",IFERROR(INT((A151-DATE(2026,4,27))/7)+1,""))</f>
        <v/>
      </c>
      <c r="C151" s="28" t="n"/>
      <c r="D151" s="38" t="n"/>
      <c r="E151" s="22">
        <f>IF(OR(C151="",D151=""),"",TEXT(D151/C151/1440,"m:ss"))</f>
        <v/>
      </c>
      <c r="F151" s="22" t="n"/>
      <c r="G151" s="22" t="n"/>
      <c r="H151" s="22" t="n"/>
      <c r="I151" s="22" t="n"/>
      <c r="J151" s="26" t="n"/>
    </row>
  </sheetData>
  <dataValidations count="2">
    <dataValidation sqref="I2:I151" showDropDown="0" showInputMessage="0" showErrorMessage="0" allowBlank="1" type="list">
      <formula1>"Easy,Easy + pickups,Long easy,Tempo,Other"</formula1>
    </dataValidation>
    <dataValidation sqref="H2:H151" showDropDown="0" showInputMessage="0" showErrorMessage="0" allowBlank="1" type="list">
      <formula1>"3,3.5,4,4.5,5,5.5,6,6.5,7,7.5,8,8.5,9,9.5,10"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99"/>
  <sheetViews>
    <sheetView workbookViewId="0">
      <pane ySplit="1" topLeftCell="A2" activePane="bottomLeft" state="frozen"/>
      <selection pane="bottomLeft" activeCell="A1" sqref="A1"/>
    </sheetView>
  </sheetViews>
  <sheetFormatPr baseColWidth="8" defaultRowHeight="15"/>
  <cols>
    <col width="12" customWidth="1" min="1" max="1"/>
    <col width="7" customWidth="1" min="2" max="2"/>
    <col width="17" customWidth="1" min="3" max="3"/>
    <col width="12" customWidth="1" min="4" max="4"/>
    <col width="12" customWidth="1" min="5" max="5"/>
    <col width="12" customWidth="1" min="6" max="6"/>
    <col width="11" customWidth="1" min="7" max="7"/>
    <col width="12" customWidth="1" min="8" max="8"/>
    <col width="42" customWidth="1" min="9" max="9"/>
  </cols>
  <sheetData>
    <row r="1" ht="26" customHeight="1">
      <c r="A1" s="14" t="inlineStr">
        <is>
          <t>Date</t>
        </is>
      </c>
      <c r="B1" s="14" t="inlineStr">
        <is>
          <t>Week</t>
        </is>
      </c>
      <c r="C1" s="14" t="inlineStr">
        <is>
          <t>Body Weight (kg)</t>
        </is>
      </c>
      <c r="D1" s="14" t="inlineStr">
        <is>
          <t>Sleep (hrs)</t>
        </is>
      </c>
      <c r="E1" s="14" t="inlineStr">
        <is>
          <t>Waist (cm)</t>
        </is>
      </c>
      <c r="F1" s="14" t="inlineStr">
        <is>
          <t>Chest (cm)</t>
        </is>
      </c>
      <c r="G1" s="14" t="inlineStr">
        <is>
          <t>Arm (cm)</t>
        </is>
      </c>
      <c r="H1" s="14" t="inlineStr">
        <is>
          <t>Thigh (cm)</t>
        </is>
      </c>
      <c r="I1" s="14" t="inlineStr">
        <is>
          <t>Notes</t>
        </is>
      </c>
    </row>
    <row r="2" ht="18" customHeight="1">
      <c r="A2" s="35" t="n">
        <v>46141</v>
      </c>
      <c r="B2" s="16">
        <f>IF(A2="","",IFERROR(INT((A2-DATE(2026,4,27))/7)+1,""))</f>
        <v/>
      </c>
      <c r="C2" s="36" t="n">
        <v>77.7</v>
      </c>
      <c r="D2" s="36" t="n">
        <v>8</v>
      </c>
      <c r="E2" s="36" t="n"/>
      <c r="F2" s="36" t="n"/>
      <c r="G2" s="36" t="n"/>
      <c r="H2" s="36" t="n"/>
      <c r="I2" s="20" t="inlineStr">
        <is>
          <t>Wk 1 Wed AM</t>
        </is>
      </c>
    </row>
    <row r="3" ht="18" customHeight="1">
      <c r="A3" s="37" t="n">
        <v>46149</v>
      </c>
      <c r="B3" s="22">
        <f>IF(A3="","",IFERROR(INT((A3-DATE(2026,4,27))/7)+1,""))</f>
        <v/>
      </c>
      <c r="C3" s="38" t="n">
        <v>77.3</v>
      </c>
      <c r="D3" s="38" t="n">
        <v>9</v>
      </c>
      <c r="E3" s="38" t="n"/>
      <c r="F3" s="38" t="n"/>
      <c r="G3" s="38" t="n"/>
      <c r="H3" s="38" t="n"/>
      <c r="I3" s="26" t="inlineStr">
        <is>
          <t>Wk 2 Thu PM (post Upper B)</t>
        </is>
      </c>
    </row>
    <row r="4" ht="18" customHeight="1">
      <c r="A4" s="35" t="n">
        <v>46150</v>
      </c>
      <c r="B4" s="16">
        <f>IF(A4="","",IFERROR(INT((A4-DATE(2026,4,27))/7)+1,""))</f>
        <v/>
      </c>
      <c r="C4" s="36" t="n">
        <v>77</v>
      </c>
      <c r="D4" s="36" t="n">
        <v>8</v>
      </c>
      <c r="E4" s="36" t="n"/>
      <c r="F4" s="36" t="n"/>
      <c r="G4" s="36" t="n"/>
      <c r="H4" s="36" t="n"/>
      <c r="I4" s="20" t="inlineStr">
        <is>
          <t>Wk 2 Fri PM (post 5K PR)</t>
        </is>
      </c>
    </row>
    <row r="5" ht="18" customHeight="1">
      <c r="A5" s="37" t="n">
        <v>46151</v>
      </c>
      <c r="B5" s="22">
        <f>IF(A5="","",IFERROR(INT((A5-DATE(2026,4,27))/7)+1,""))</f>
        <v/>
      </c>
      <c r="C5" s="38" t="n">
        <v>77</v>
      </c>
      <c r="D5" s="38" t="n">
        <v>8</v>
      </c>
      <c r="E5" s="38" t="n"/>
      <c r="F5" s="38" t="n"/>
      <c r="G5" s="38" t="n"/>
      <c r="H5" s="38" t="n"/>
      <c r="I5" s="26" t="inlineStr">
        <is>
          <t>Wk 2 Sat PM (rest, alc 5u)</t>
        </is>
      </c>
    </row>
    <row r="6" ht="18" customHeight="1">
      <c r="A6" s="35" t="n">
        <v>46152</v>
      </c>
      <c r="B6" s="16">
        <f>IF(A6="","",IFERROR(INT((A6-DATE(2026,4,27))/7)+1,""))</f>
        <v/>
      </c>
      <c r="C6" s="36" t="n">
        <v>77</v>
      </c>
      <c r="D6" s="36" t="n">
        <v>7</v>
      </c>
      <c r="E6" s="36" t="n"/>
      <c r="F6" s="36" t="n"/>
      <c r="G6" s="36" t="n"/>
      <c r="H6" s="36" t="n"/>
      <c r="I6" s="20" t="inlineStr">
        <is>
          <t>Wk 2 Sun PM (post Lower B)</t>
        </is>
      </c>
    </row>
    <row r="7" ht="18" customHeight="1">
      <c r="A7" s="37" t="n">
        <v>46153</v>
      </c>
      <c r="B7" s="22">
        <f>IF(A7="","",IFERROR(INT((A7-DATE(2026,4,27))/7)+1,""))</f>
        <v/>
      </c>
      <c r="C7" s="38" t="n">
        <v>77.2</v>
      </c>
      <c r="D7" s="38" t="n">
        <v>7.83</v>
      </c>
      <c r="E7" s="38" t="n"/>
      <c r="F7" s="38" t="n"/>
      <c r="G7" s="38" t="n"/>
      <c r="H7" s="38" t="n"/>
      <c r="I7" s="26" t="inlineStr">
        <is>
          <t>Wk 3 Mon PM (post Upper A)</t>
        </is>
      </c>
    </row>
    <row r="8" ht="18" customHeight="1">
      <c r="A8" s="35" t="n">
        <v>46155</v>
      </c>
      <c r="B8" s="16">
        <f>IF(A8="","",IFERROR(INT((A8-DATE(2026,4,27))/7)+1,""))</f>
        <v/>
      </c>
      <c r="C8" s="36" t="n">
        <v>77.2</v>
      </c>
      <c r="D8" s="36" t="n">
        <v>8.6</v>
      </c>
      <c r="E8" s="36" t="n"/>
      <c r="F8" s="36" t="n"/>
      <c r="G8" s="36" t="n"/>
      <c r="H8" s="36" t="n"/>
      <c r="I8" s="20" t="inlineStr">
        <is>
          <t>Wk 3 Wed PM (post Lower A)</t>
        </is>
      </c>
    </row>
    <row r="9" ht="18" customHeight="1">
      <c r="A9" s="37" t="n">
        <v>46156</v>
      </c>
      <c r="B9" s="22">
        <f>IF(A9="","",IFERROR(INT((A9-DATE(2026,4,27))/7)+1,""))</f>
        <v/>
      </c>
      <c r="C9" s="38" t="n">
        <v>77.3</v>
      </c>
      <c r="D9" s="38" t="n">
        <v>8</v>
      </c>
      <c r="E9" s="38" t="n"/>
      <c r="F9" s="38" t="n"/>
      <c r="G9" s="38" t="n"/>
      <c r="H9" s="38" t="n"/>
      <c r="I9" s="26" t="inlineStr">
        <is>
          <t>Wk 3 Thu PM (rest, protein 90g)</t>
        </is>
      </c>
    </row>
    <row r="10" ht="18" customHeight="1">
      <c r="A10" s="35" t="n">
        <v>46157</v>
      </c>
      <c r="B10" s="16">
        <f>IF(A10="","",IFERROR(INT((A10-DATE(2026,4,27))/7)+1,""))</f>
        <v/>
      </c>
      <c r="C10" s="36" t="n">
        <v>77.7</v>
      </c>
      <c r="D10" s="36" t="n">
        <v>9</v>
      </c>
      <c r="E10" s="36" t="n"/>
      <c r="F10" s="36" t="n"/>
      <c r="G10" s="36" t="n"/>
      <c r="H10" s="36" t="n"/>
      <c r="I10" s="20" t="inlineStr">
        <is>
          <t>Wk 3 Fri AM (BW AM-only from here)</t>
        </is>
      </c>
    </row>
    <row r="11" ht="18" customHeight="1">
      <c r="A11" s="37" t="n">
        <v>46158</v>
      </c>
      <c r="B11" s="22">
        <f>IF(A11="","",IFERROR(INT((A11-DATE(2026,4,27))/7)+1,""))</f>
        <v/>
      </c>
      <c r="C11" s="38" t="n">
        <v>76.7</v>
      </c>
      <c r="D11" s="38" t="n">
        <v>7.5</v>
      </c>
      <c r="E11" s="38" t="n"/>
      <c r="F11" s="38" t="n"/>
      <c r="G11" s="38" t="n"/>
      <c r="H11" s="38" t="n"/>
      <c r="I11" s="26" t="inlineStr">
        <is>
          <t>Wk 3 Sat AM (-1kg vs Fri; slow cut, NOT illness)</t>
        </is>
      </c>
    </row>
    <row r="12" ht="18" customHeight="1">
      <c r="A12" s="35" t="n">
        <v>46159</v>
      </c>
      <c r="B12" s="16">
        <f>IF(A12="","",IFERROR(INT((A12-DATE(2026,4,27))/7)+1,""))</f>
        <v/>
      </c>
      <c r="C12" s="36" t="n">
        <v>76.2</v>
      </c>
      <c r="D12" s="36" t="n">
        <v>8</v>
      </c>
      <c r="E12" s="36" t="n"/>
      <c r="F12" s="36" t="n"/>
      <c r="G12" s="36" t="n"/>
      <c r="H12" s="36" t="n"/>
      <c r="I12" s="20" t="inlineStr">
        <is>
          <t>Wk 3 Sun AM (cut on-plan; AM slope toward ~73)</t>
        </is>
      </c>
    </row>
    <row r="13" ht="18" customHeight="1">
      <c r="A13" s="37" t="n">
        <v>46160</v>
      </c>
      <c r="B13" s="22">
        <f>IF(A13="","",IFERROR(INT((A13-DATE(2026,4,27))/7)+1,""))</f>
        <v/>
      </c>
      <c r="C13" s="38" t="n">
        <v>76.2</v>
      </c>
      <c r="D13" s="38" t="n">
        <v>8</v>
      </c>
      <c r="E13" s="38" t="n"/>
      <c r="F13" s="38" t="n"/>
      <c r="G13" s="38" t="n"/>
      <c r="H13" s="38" t="n"/>
      <c r="I13" s="26" t="inlineStr">
        <is>
          <t>Wk 4 Mon AM (flat vs Sun; post-Lower-B water noise, not stall)</t>
        </is>
      </c>
    </row>
    <row r="14" ht="18" customHeight="1">
      <c r="A14" s="35" t="n">
        <v>46181</v>
      </c>
      <c r="B14" s="16">
        <f>IF(A14="","",IFERROR(INT((A14-DATE(2026,4,27))/7)+1,""))</f>
        <v/>
      </c>
      <c r="C14" s="36" t="n">
        <v>77.09999999999999</v>
      </c>
      <c r="D14" s="36" t="n">
        <v>7</v>
      </c>
      <c r="E14" s="36" t="n"/>
      <c r="F14" s="36" t="n"/>
      <c r="G14" s="36" t="n"/>
      <c r="H14" s="36" t="n"/>
      <c r="I14" s="20" t="inlineStr">
        <is>
          <t>Build W1 Mon AM (cut PAUSED, maintenance — BW gain expected, NOT flagged)</t>
        </is>
      </c>
    </row>
    <row r="15" ht="18" customHeight="1">
      <c r="A15" s="37" t="n">
        <v>46182</v>
      </c>
      <c r="B15" s="22">
        <f>IF(A15="","",IFERROR(INT((A15-DATE(2026,4,27))/7)+1,""))</f>
        <v/>
      </c>
      <c r="C15" s="38" t="n">
        <v>76.7</v>
      </c>
      <c r="D15" s="38" t="n">
        <v>7.5</v>
      </c>
      <c r="E15" s="38" t="n"/>
      <c r="F15" s="38" t="n"/>
      <c r="G15" s="38" t="n"/>
      <c r="H15" s="38" t="n"/>
      <c r="I15" s="26" t="inlineStr">
        <is>
          <t>Build W1 Tue AM (run #1 back off layoff)</t>
        </is>
      </c>
    </row>
    <row r="16" ht="18" customHeight="1">
      <c r="A16" s="35" t="n">
        <v>46183</v>
      </c>
      <c r="B16" s="16">
        <f>IF(A16="","",IFERROR(INT((A16-DATE(2026,4,27))/7)+1,""))</f>
        <v/>
      </c>
      <c r="C16" s="36" t="n">
        <v>75.90000000000001</v>
      </c>
      <c r="D16" s="36" t="n">
        <v>9</v>
      </c>
      <c r="E16" s="36" t="n"/>
      <c r="F16" s="36" t="n"/>
      <c r="G16" s="36" t="n"/>
      <c r="H16" s="36" t="n"/>
      <c r="I16" s="20" t="inlineStr">
        <is>
          <t>Build W1 Wed AM (glycogen dip post hot run + 19k steps; cut paused, NOT flagged)</t>
        </is>
      </c>
    </row>
    <row r="17" ht="18" customHeight="1">
      <c r="A17" s="37" t="n">
        <v>46189</v>
      </c>
      <c r="B17" s="22">
        <f>IF(A17="","",IFERROR(INT((A17-DATE(2026,4,27))/7)+1,""))</f>
        <v/>
      </c>
      <c r="C17" s="38" t="n">
        <v>77.90000000000001</v>
      </c>
      <c r="D17" s="38" t="n">
        <v>8</v>
      </c>
      <c r="E17" s="38" t="n"/>
      <c r="F17" s="38" t="n"/>
      <c r="G17" s="38" t="n"/>
      <c r="H17" s="38" t="n"/>
      <c r="I17" s="26" t="inlineStr">
        <is>
          <t>Build W2 Tue AM (rest-tail/glycogen rebound; cut paused, NOT flagged)</t>
        </is>
      </c>
    </row>
    <row r="18" ht="18" customHeight="1">
      <c r="A18" s="35" t="n">
        <v>46190</v>
      </c>
      <c r="B18" s="16">
        <f>IF(A18="","",IFERROR(INT((A18-DATE(2026,4,27))/7)+1,""))</f>
        <v/>
      </c>
      <c r="C18" s="36" t="n">
        <v>76.7</v>
      </c>
      <c r="D18" s="36" t="n">
        <v>8</v>
      </c>
      <c r="E18" s="36" t="n"/>
      <c r="F18" s="36" t="n"/>
      <c r="G18" s="36" t="n"/>
      <c r="H18" s="36" t="n"/>
      <c r="I18" s="20" t="inlineStr">
        <is>
          <t>Build W2 Wed AM (RHR 43 d-2, all green)</t>
        </is>
      </c>
    </row>
    <row r="19" ht="18" customHeight="1">
      <c r="A19" s="37" t="n">
        <v>46220</v>
      </c>
      <c r="B19" s="22">
        <f>IF(A19="","",IFERROR(INT((A19-DATE(2026,4,27))/7)+1,""))</f>
        <v/>
      </c>
      <c r="C19" s="38" t="n">
        <v>77.59999999999999</v>
      </c>
      <c r="D19" s="38" t="n">
        <v>7</v>
      </c>
      <c r="E19" s="38" t="n"/>
      <c r="F19" s="38" t="n"/>
      <c r="G19" s="38" t="n"/>
      <c r="H19" s="38" t="n"/>
      <c r="I19" s="26" t="inlineStr">
        <is>
          <t>Block 2 W0 Fri AM (RHR 45; first lift in 30 d; cut un-paused but NOT started)</t>
        </is>
      </c>
    </row>
    <row r="20" ht="18" customHeight="1">
      <c r="A20" s="35" t="n">
        <v>46222</v>
      </c>
      <c r="B20" s="16">
        <f>IF(A20="","",IFERROR(INT((A20-DATE(2026,4,27))/7)+1,""))</f>
        <v/>
      </c>
      <c r="C20" s="36" t="n">
        <v>78.2</v>
      </c>
      <c r="D20" s="36" t="n">
        <v>10</v>
      </c>
      <c r="E20" s="36" t="n"/>
      <c r="F20" s="36" t="n"/>
      <c r="G20" s="36" t="n"/>
      <c r="H20" s="36" t="n"/>
      <c r="I20" s="20" t="inlineStr">
        <is>
          <t>Block 2 W0 Sun AM (RHR 42 near build best; +0.6 spike, ignore; 8k benchmark day)</t>
        </is>
      </c>
    </row>
    <row r="21" ht="18" customHeight="1">
      <c r="A21" s="37" t="n">
        <v>46223</v>
      </c>
      <c r="B21" s="22">
        <f>IF(A21="","",IFERROR(INT((A21-DATE(2026,4,27))/7)+1,""))</f>
        <v/>
      </c>
      <c r="C21" s="38" t="n">
        <v>77.25</v>
      </c>
      <c r="D21" s="38" t="n">
        <v>9.33</v>
      </c>
      <c r="E21" s="38" t="n"/>
      <c r="F21" s="38" t="n"/>
      <c r="G21" s="38" t="n"/>
      <c r="H21" s="38" t="n"/>
      <c r="I21" s="26" t="inlineStr">
        <is>
          <t>W1 Mon AM (RHR 44; spike cleared; first legs day in 62 d)</t>
        </is>
      </c>
    </row>
    <row r="22" ht="18" customHeight="1">
      <c r="A22" s="35" t="n">
        <v>46224</v>
      </c>
      <c r="B22" s="16">
        <f>IF(A22="","",IFERROR(INT((A22-DATE(2026,4,27))/7)+1,""))</f>
        <v/>
      </c>
      <c r="C22" s="36" t="n">
        <v>77.25</v>
      </c>
      <c r="D22" s="36" t="n">
        <v>9.720000000000001</v>
      </c>
      <c r="E22" s="36" t="n"/>
      <c r="F22" s="36" t="n"/>
      <c r="G22" s="36" t="n"/>
      <c r="H22" s="36" t="n"/>
      <c r="I22" s="20" t="inlineStr">
        <is>
          <t>W1 Tue AM (RHR 46; flat vs yest; bed 11:52 -&gt; quality 9)</t>
        </is>
      </c>
    </row>
    <row r="23" ht="18" customHeight="1">
      <c r="A23" s="37" t="n">
        <v>46225</v>
      </c>
      <c r="B23" s="22">
        <f>IF(A23="","",IFERROR(INT((A23-DATE(2026,4,27))/7)+1,""))</f>
        <v/>
      </c>
      <c r="C23" s="38" t="n">
        <v>77.25</v>
      </c>
      <c r="D23" s="38" t="n">
        <v>8</v>
      </c>
      <c r="E23" s="38" t="n"/>
      <c r="F23" s="38" t="n"/>
      <c r="G23" s="38" t="n"/>
      <c r="H23" s="38" t="n"/>
      <c r="I23" s="26" t="inlineStr">
        <is>
          <t>W1 Wed AM (RHR 44 d-1; BW flat 3rd straight day; shin clean check #4; DOMS 3/3/3 -&gt; 1/1/2 at 48h; bed 11:30pm = 2nd straight pre-midnight)</t>
        </is>
      </c>
    </row>
    <row r="24" ht="18" customHeight="1">
      <c r="A24" s="35" t="n">
        <v>46226</v>
      </c>
      <c r="B24" s="16">
        <f>IF(A24="","",IFERROR(INT((A24-DATE(2026,4,27))/7)+1,""))</f>
        <v/>
      </c>
      <c r="C24" s="36" t="n">
        <v>76.90000000000001</v>
      </c>
      <c r="D24" s="36" t="n">
        <v>11</v>
      </c>
      <c r="E24" s="36" t="n"/>
      <c r="F24" s="36" t="n"/>
      <c r="G24" s="36" t="n"/>
      <c r="H24" s="36" t="n"/>
      <c r="I24" s="20" t="inlineStr">
        <is>
          <t>Peak readiness; RHR 45 (d0); shin clean 5th; 78.2 spike settling to ~77 on maintenance</t>
        </is>
      </c>
    </row>
    <row r="25" ht="18" customHeight="1">
      <c r="A25" s="37" t="n">
        <v>46227</v>
      </c>
      <c r="B25" s="22">
        <f>IF(A25="","",IFERROR(INT((A25-DATE(2026,4,27))/7)+1,""))</f>
        <v/>
      </c>
      <c r="C25" s="38" t="n">
        <v>77.2</v>
      </c>
      <c r="D25" s="38" t="n">
        <v>9</v>
      </c>
      <c r="E25" s="38" t="n"/>
      <c r="F25" s="38" t="n"/>
      <c r="G25" s="38" t="n"/>
      <c r="H25" s="38" t="n"/>
      <c r="I25" s="26" t="inlineStr">
        <is>
          <t>W1 Fri REST AM (RHR 47 d+2 post-Push bump; shin clean check #6; Push DOMS 3 chest/shldr/tri on schedule; legs residual 1; bed 1:30am watch item; BW settled ~77)</t>
        </is>
      </c>
    </row>
    <row r="26" ht="18" customHeight="1">
      <c r="A26" s="35" t="n">
        <v>46228</v>
      </c>
      <c r="B26" s="16">
        <f>IF(A26="","",IFERROR(INT((A26-DATE(2026,4,27))/7)+1,""))</f>
        <v/>
      </c>
      <c r="C26" s="36" t="n">
        <v>77.84999999999999</v>
      </c>
      <c r="D26" s="36" t="n">
        <v>7.53</v>
      </c>
      <c r="E26" s="36" t="n"/>
      <c r="F26" s="36" t="n"/>
      <c r="G26" s="36" t="n"/>
      <c r="H26" s="36" t="n"/>
      <c r="I26" s="20" t="inlineStr">
        <is>
          <t>W1 Sat AM run day (RHR 43 d-1 post-Push bump cleared; shin clean check #7; Push DOMS 3-&gt;1 at 48h, legs 0; BW +0.65 single-day spike ignore, 7d ~77.4; bed 12:39am 2nd straight post-midnight, sleep 7:32 q6.5 week-low)</t>
        </is>
      </c>
    </row>
    <row r="27" ht="18" customHeight="1">
      <c r="A27" s="37" t="n">
        <v>46229</v>
      </c>
      <c r="B27" s="22">
        <f>IF(A27="","",IFERROR(INT((A27-DATE(2026,4,27))/7)+1,""))</f>
        <v/>
      </c>
      <c r="C27" s="38" t="n"/>
      <c r="D27" s="38" t="n"/>
      <c r="E27" s="38" t="n"/>
      <c r="F27" s="38" t="n"/>
      <c r="G27" s="38" t="n"/>
      <c r="H27" s="38" t="n"/>
      <c r="I27" s="26" t="inlineStr">
        <is>
          <t>W1 Sun — LONG 10k SKIPPED, unplanned REST. NO AM/PM DATA CAPTURED (row exists to document the gap, blanks are genuine). User: legs dont feel good. Shin was clean 8/8 all week — FATIGUE not bone. W1 closes 16/26 km, 3/4 runs, ZERO long runs. Cause: only 1 true rest day in 7 + Sat-run/Sun-long back-to-back + ~44 km/wk unmodeled walking from waiter job. No Sunday review ran; backfilled 7/27.</t>
        </is>
      </c>
    </row>
    <row r="28" ht="18" customHeight="1">
      <c r="A28" s="35" t="n">
        <v>46230</v>
      </c>
      <c r="B28" s="16">
        <f>IF(A28="","",IFERROR(INT((A28-DATE(2026,4,27))/7)+1,""))</f>
        <v/>
      </c>
      <c r="C28" s="36" t="n">
        <v>77.05</v>
      </c>
      <c r="D28" s="36" t="n">
        <v>10</v>
      </c>
      <c r="E28" s="36" t="n"/>
      <c r="F28" s="36" t="n"/>
      <c r="G28" s="36" t="n"/>
      <c r="H28" s="36" t="n"/>
      <c r="I28" s="20" t="inlineStr">
        <is>
          <t>W2 Mon REST (2nd consecutive; now the template rest day). AM GREEN — RHR 43 (d-1, under W1 avg 44.8, band 41-46) = systemic fatigue cleared. Shin NO PAIN = clean check #9, bone never involved. Legs cleared quad1/ham1/glute0 BUT CALF HELD AT 2 = the waiter job's signature tissue -&gt; validates dropping Standing Calf Raise. BW 77.05 = block low, Sat 77.85 spike resolved, 7d avg 77.25 flat at maintenance (cut opens Aug 10). Sleep 10h q10 = best of block. Bed 2am/wake 12pm — structural on 22:00-23:00 shift nights, not a discipline flag. PM not yet supplied.</t>
        </is>
      </c>
    </row>
    <row r="29" ht="18" customHeight="1">
      <c r="A29" s="37" t="n">
        <v>46265</v>
      </c>
      <c r="B29" s="22">
        <f>IF(A29="","",IFERROR(INT((A29-DATE(2026,4,27))/7)+1,""))</f>
        <v/>
      </c>
      <c r="C29" s="38" t="n">
        <v>75</v>
      </c>
      <c r="D29" s="38" t="n"/>
      <c r="E29" s="38" t="n"/>
      <c r="F29" s="38" t="n"/>
      <c r="G29" s="38" t="n"/>
      <c r="H29" s="38" t="n"/>
      <c r="I29" s="26" t="inlineStr">
        <is>
          <t>Block 2 Wk A Mon. BW 75.0 = CUT CLOSED target hit (77.05 on 7/27, 77.6 block start). Maintenance ~2400 kcal to race. First entry after the 34-day dark gap Jul 29 - Aug 30 (~2 runs, no logging). Cali Full Body done 16:20-17:30, 28 sets, shin CLEAN.</t>
        </is>
      </c>
    </row>
    <row r="30" ht="18" customHeight="1">
      <c r="A30" s="35" t="n">
        <v>46266</v>
      </c>
      <c r="B30" s="16">
        <f>IF(A30="","",IFERROR(INT((A30-DATE(2026,4,27))/7)+1,""))</f>
        <v/>
      </c>
      <c r="C30" s="36" t="n"/>
      <c r="D30" s="36" t="n"/>
      <c r="E30" s="36" t="n"/>
      <c r="F30" s="36" t="n"/>
      <c r="G30" s="36" t="n"/>
      <c r="H30" s="36" t="n"/>
      <c r="I30" s="20" t="inlineStr">
        <is>
          <t>Wk A Tue — planned 5k easy Z2 SKIPPED, rest day taken. No AM/PM data captured (blanks genuine). Not a bone flag; rest after first lifting session in 39 days.</t>
        </is>
      </c>
    </row>
    <row r="31" ht="18" customHeight="1">
      <c r="A31" s="37" t="n">
        <v>46267</v>
      </c>
      <c r="B31" s="22">
        <f>IF(A31="","",IFERROR(INT((A31-DATE(2026,4,27))/7)+1,""))</f>
        <v/>
      </c>
      <c r="C31" s="38" t="n"/>
      <c r="D31" s="38" t="n"/>
      <c r="E31" s="38" t="n"/>
      <c r="F31" s="38" t="n"/>
      <c r="G31" s="38" t="n"/>
      <c r="H31" s="38" t="n"/>
      <c r="I31" s="26" t="inlineStr">
        <is>
          <t>Wk A Wed run day. No AM block captured (blanks genuine) - session reported PM. Shin clean #10, legs good "ready to build back". Kcal 3377 vs ~2400 maintenance = +977 SURPLUS day; protein 157 in band, creatine Y. Cut is closed at 75.0 - hold it, the economy gain is banked. Watch 7d BW.</t>
        </is>
      </c>
    </row>
    <row r="32" ht="18" customHeight="1">
      <c r="A32" s="35" t="n">
        <v>46268</v>
      </c>
      <c r="B32" s="16">
        <f>IF(A32="","",IFERROR(INT((A32-DATE(2026,4,27))/7)+1,""))</f>
        <v/>
      </c>
      <c r="C32" s="36" t="n"/>
      <c r="D32" s="36" t="n"/>
      <c r="E32" s="36" t="n"/>
      <c r="F32" s="36" t="n"/>
      <c r="G32" s="36" t="n"/>
      <c r="H32" s="36" t="n"/>
      <c r="I32" s="20" t="inlineStr">
        <is>
          <t>Wk A Thu — full REST (swapped with Wed run). No AM/PM data captured (blanks genuine). BW still not logged since 75.0 on 8/31.</t>
        </is>
      </c>
    </row>
    <row r="33" ht="18" customHeight="1">
      <c r="A33" s="37" t="n">
        <v>46269</v>
      </c>
      <c r="B33" s="22">
        <f>IF(A33="","",IFERROR(INT((A33-DATE(2026,4,27))/7)+1,""))</f>
        <v/>
      </c>
      <c r="C33" s="38" t="n"/>
      <c r="D33" s="38" t="n"/>
      <c r="E33" s="38" t="n"/>
      <c r="F33" s="38" t="n"/>
      <c r="G33" s="38" t="n"/>
      <c r="H33" s="38" t="n"/>
      <c r="I33" s="26" t="inlineStr">
        <is>
          <t>Wk A Fri run day (6k easy, cali moved to Sat 9/5). No AM block captured (blanks genuine). Shin CLEAN #12, legs fresh. Kcal 2946 vs ~2400 maintenance = +546 SURPLUS, 2nd of 2 logged days (9/2 was +977) = ~+1500 drift over the week; protein 151 (in band, at floor - sit 155-165 on a ramping week); creatine Y. BW AM MISSING 3 STRAIGHT DAYS while running +500 to +1000/day - the week's one blind spot. Cut closed at 75.0 TO HOLD IT; the ~5-6 s/km economy gain is banked. Log BW 9/5 AM.</t>
        </is>
      </c>
    </row>
    <row r="34" ht="18" customHeight="1">
      <c r="A34" s="35" t="n">
        <v>46270</v>
      </c>
      <c r="B34" s="16">
        <f>IF(A34="","",IFERROR(INT((A34-DATE(2026,4,27))/7)+1,""))</f>
        <v/>
      </c>
      <c r="C34" s="36" t="n">
        <v>75.84999999999999</v>
      </c>
      <c r="D34" s="36" t="n">
        <v>9.35</v>
      </c>
      <c r="E34" s="36" t="n"/>
      <c r="F34" s="36" t="n"/>
      <c r="G34" s="36" t="n"/>
      <c r="H34" s="36" t="n"/>
      <c r="I34" s="20" t="inlineStr">
        <is>
          <t>Wk A Sat — cali session 2 (moved from Fri). AM FULL GREEN: sleep 9:21 q8 = best in log, RHR 44 delta 0, motivation/energy 10, stress 1, joints all clear. SHIN CLEAN check #13 (13 straight), holds post-session. DOMS quad/ham/glute 1 (8/31 RPE6 leg cap did its job), upper all 0, calf 2 + tib 2 = residue from 9/2+9/4 runs and the tibialis raises, NOT bone. BW 75.85 = FIRST WEIGH-IN IN 5 DAYS, +0.85 over 75.0 on 8/31; mostly glycogen+water from two runs back on, ~0.2 kg real. FUEL RED FLAG: 3337 kcal = +937, THIRD consecutive surplus day (9/2 +977, 9/4 +546, 9/5 +937 = ~+2460 over 3 days ~= +0.3 kg fat). One day was noise, three of three is a pattern. Cut closed at 75.0 TO HOLD 75.0 - the ~5-6 s/km economy gain is the cheapest time available for Oct 11 and is being handed back. Protein 227 g = 3.0 g/kg, ~60 g over the 155-165 band for zero benefit; trimming to 165 alone is ~-250 kcal. Creatine Y. Sunday cap ~2600 - a long-run day earns carbs, not a third +900.</t>
        </is>
      </c>
    </row>
    <row r="35" ht="18" customHeight="1">
      <c r="A35" s="37" t="n">
        <v>46271</v>
      </c>
      <c r="B35" s="22">
        <f>IF(A35="","",IFERROR(INT((A35-DATE(2026,4,27))/7)+1,""))</f>
        <v/>
      </c>
      <c r="C35" s="38" t="n">
        <v>75.84999999999999</v>
      </c>
      <c r="D35" s="38" t="n">
        <v>9.5</v>
      </c>
      <c r="E35" s="38" t="n"/>
      <c r="F35" s="38" t="n"/>
      <c r="G35" s="38" t="n"/>
      <c r="H35" s="38" t="n"/>
      <c r="I35" s="26" t="inlineStr">
        <is>
          <t>Wk A Sun - LONG 10k, week closer. AM GREEN: sleep 9:30 q9, RHR 46 (delta +2 vs baseline 44 = noise off a 65-min lifting session), motivation 9, energy 10, stress 1, joints all clear. SHIN CLEAN check #14 (pre-run) and #15 (post-run). DOMS legs ALL 1 (quad/ham/glute/calf/tib) at 20h post-cali - Sat's calf 2 / tib 2 cleared overnight. SECOND consecutive time the RPE 6 leg cap delivered fresh legs into a run day, this time off 24h not 48h: the Fri-&gt;Sat cali move cost nothing. Cap VALIDATED, not merely tolerated. Upper DOMS chest 3 / delt 3 / back 2 / arm 2 = the 9/5 push/pull fix landing on schedule (push went 5.9 -&gt; 8.0 RPE); irrelevant to running. BW 75.85 = FLAT vs 9/5, first non-rising point in the fuel drift. 9/5 ran +937 kcal and the scale did not move -&gt; confirms the +0.85 over the 75.0 close (8/31) is mostly glycogen + water, not fat. Flag NOT closed - weigh in Mon 9/7 AM, that reading makes the 7-day trend call. FUEL DRIFT ARRESTED: 2693 kcal vs the ~2600 long-day cap = +93, after +977 (9/2), +546 (9/4), +937 (9/5). Protein 170 g, down from 227, 5 over band on a long day = the correction landed. Creatine Y. Non-long days ~2400, protein 155-165.</t>
        </is>
      </c>
    </row>
    <row r="36" ht="18" customHeight="1">
      <c r="A36" s="35" t="n">
        <v>46272</v>
      </c>
      <c r="B36" s="16">
        <f>IF(A36="","",IFERROR(INT((A36-DATE(2026,4,27))/7)+1,""))</f>
        <v/>
      </c>
      <c r="C36" s="36" t="n">
        <v>75.84999999999999</v>
      </c>
      <c r="D36" s="36" t="n">
        <v>9</v>
      </c>
      <c r="E36" s="36" t="n"/>
      <c r="F36" s="36" t="n"/>
      <c r="G36" s="36" t="n"/>
      <c r="H36" s="36" t="n"/>
      <c r="I36" s="20" t="inlineStr">
        <is>
          <t>Wk B Mon - 5k easy shakeout (was a rest day; converted after two cali swaps). AM FULL GREEN: sleep 9:00 q10, RHR 46 delta -2, motivation 10, energy 10, stress 2, joints all clear. SHIN PERFECT check #16 (pre) and #17 (post-run). DOMS legs ALL 1 (quad/ham/glute/calf) at 2 days post-cali = RPE 6 leg cap validated a 3rd time. Upper: shoulder 3, chest 2, back 1, arm 1 = 9/5 pressing residue at 48h; this is WHY moving cali Mon-&gt;Wed is a net positive (shoulders get 4 days instead of 2). BW 75.85 = THIRD CONSECUTIVE FLAT READING (9/5, 9/6, 9/7) after +937 and +93 kcal days. TREND CALL MADE: the +0.85 over the 8/31 close of 75.0 is glycogen + water, NOT fat - fuel-drift flag CLOSED. Second explanation landed same day: the 96 km/wk bike commute was unlogged, so ~2400 'maintenance' was never maintenance. CORRECTED: uni days (Mon-Thu) 2650-2700, non-uni 2400, Sun long 2700, protein 155-165. Fuel today 2566 = ~100 under, noise. Protein 169. Creatine Y. Alcohol 0. Steps 9100. Bike 24 km.</t>
        </is>
      </c>
    </row>
    <row r="37" ht="18" customHeight="1">
      <c r="A37" s="37" t="n">
        <v>46273</v>
      </c>
      <c r="B37" s="22">
        <f>IF(A37="","",IFERROR(INT((A37-DATE(2026,4,27))/7)+1,""))</f>
        <v/>
      </c>
      <c r="C37" s="38" t="n">
        <v>75.2</v>
      </c>
      <c r="D37" s="38" t="n">
        <v>7</v>
      </c>
      <c r="E37" s="38" t="n"/>
      <c r="F37" s="38" t="n"/>
      <c r="G37" s="38" t="n"/>
      <c r="H37" s="38" t="n"/>
      <c r="I37" s="26" t="inlineStr">
        <is>
          <t>RHR 46 (-1). Mot 10/En 8/Str 2. DOMS quad2 ham2 glute2 calf2 - first 4-way, bike flag tripped. Shin clean #18.</t>
        </is>
      </c>
    </row>
    <row r="38" ht="18" customHeight="1">
      <c r="A38" s="35" t="n">
        <v>46274</v>
      </c>
      <c r="B38" s="16">
        <f>IF(A38="","",IFERROR(INT((A38-DATE(2026,4,27))/7)+1,""))</f>
        <v/>
      </c>
      <c r="C38" s="36" t="n">
        <v>75.2</v>
      </c>
      <c r="D38" s="36" t="n">
        <v>7.5</v>
      </c>
      <c r="E38" s="36" t="n"/>
      <c r="F38" s="36" t="n"/>
      <c r="G38" s="36" t="n"/>
      <c r="H38" s="36" t="n"/>
      <c r="I38" s="20" t="inlineStr">
        <is>
          <t>Wk B Wed - Cali Full Body #3 (14:10-15:00, 50 min, 28/28 sets, 293 reps, avg set RPE 7.0). AM CLEANEST OF THE BLOCK: sleep 7:30 q8 (bed 22:30 wake 06:35), RHR 46 delta -1, motivation 10, energy 10, stress 3, joints clear, ZERO DOMS above 1 anywhere (chest/back/shldr/arm all 0; quad/ham/glute/calf all 1). SHIN CLEAN check #20 (AM) and #21 (post-session). BIKE TRIGGER DID NOT FIRE, AND IT WAS ANSWERED UNMITIGATED: Tuesday's first-of-block 4-way leg DOMS 2 cleared to 1 across all four groups in 24 h while the full 24 km commute was ridden AND a 6 k run was run. The 9/8 read was right - local fatigue, not accumulation. Bike stays 24 km on uni days; Wed cali ran in full, BSS + SL-RDL NOT cut. Trigger disarmed for Wk B, re-arms on any future two consecutive mornings at &gt;=2. Shoulders 3 -&gt; 1 -&gt; 0 in three days off cali = the 9/7 Mon-&gt;Wed swap fully vindicated, pressing landed on recovered delts. BW 75.20 second flat day off the -0.65 drop = noise, not a plateau; no kcal change (uni day 2650-2700). Protein: pull to ~160 after three straight high days (227 -&gt; 169 -&gt; 178). PM DATA NOT RECOVERABLE (confirmed 9/11): kcal, protein, Bike km and steps for 9/9 do not exist. Uni day so the bike was 24 km by routine, but it is NOT logged as measured. Not chased, not reconstructed - an invented number is worse than a gap. Wk B fuel/bike compliance is therefore a 5-day week, not 7.</t>
        </is>
      </c>
    </row>
    <row r="39" ht="18" customHeight="1">
      <c r="A39" s="37" t="n">
        <v>46275</v>
      </c>
      <c r="B39" s="22">
        <f>IF(A39="","",IFERROR(INT((A39-DATE(2026,4,27))/7)+1,""))</f>
        <v/>
      </c>
      <c r="C39" s="38" t="n"/>
      <c r="D39" s="38" t="n"/>
      <c r="E39" s="38" t="n"/>
      <c r="F39" s="38" t="n"/>
      <c r="G39" s="38" t="n"/>
      <c r="H39" s="38" t="n"/>
      <c r="I39" s="26" t="inlineStr">
        <is>
          <t>Wk B Thu - REST (full), as prescribed. The rest day created by the 9/7 double-swap (cali #3 Mon-&gt;Wed, cali #4 Fri-&gt;Sat, Monday's rest spent on the week's shortest run). ZERO runs missed - the revised week never had a Thursday run. Uni day, bike 24 km by routine but unmeasured. AM + PM BLOCKS NOT RECOVERABLE (confirmed by user 9/11): no sleep, BW, RHR, DOMS, shin check, kcal, protein, bike km or steps exist for this day. A full dark day of data on a rest day. NOT reconstructed. Two consequences: (1) the BW series has a hole between 75.20 (9/9) and 76.20 (9/11), so the +1.00 kg jump is measured across 48 h, not 24 - which makes the water/glycogen read MORE likely, not less; (2) the shin-check count loses a day - Thu took none, so Fri 9/11 AM is check #22, not #23. Numbering corrected downstream; the clean streak itself is unbroken, the count is simply one lower than previously stated. Countermeasure is the one this block already named: two-touch logging ON the day.</t>
        </is>
      </c>
    </row>
    <row r="40" ht="18" customHeight="1">
      <c r="A40" s="35" t="n">
        <v>46276</v>
      </c>
      <c r="B40" s="16">
        <f>IF(A40="","",IFERROR(INT((A40-DATE(2026,4,27))/7)+1,""))</f>
        <v/>
      </c>
      <c r="C40" s="36" t="n">
        <v>76.2</v>
      </c>
      <c r="D40" s="36" t="n">
        <v>10</v>
      </c>
      <c r="E40" s="36" t="n"/>
      <c r="F40" s="36" t="n"/>
      <c r="G40" s="36" t="n"/>
      <c r="H40" s="36" t="n"/>
      <c r="I40" s="20" t="inlineStr">
        <is>
          <t>Wk B Fri - run easy 6 k PM (cali #4 sits Sat after the 9/7 swap). AM: sleep 10:00 q10 = longest sleep in the log, RHR 45 (delta +1 vs 7 d, baseline 44, trending down off 46), motivation 10, energy 10, stress 3, tendons clean. SHIN CLEAN check #22 (renumbered: Thu 9/10 took no check). DOMS chest 2 / back 2 / shldr 2 / arm 1 = 48 h off cali #3, the first session carrying the B2 second push-up block, so a mild press+pull bump is the seed working. Zero impact on a run; Sat cali #4 lands at 72 h, clear, no cuts owed. LEGS 1/1/1/1 for the SECOND consecutive morning -&gt; bike trigger stays DISARMED (needs two consecutive mornings at &gt;=2). Bike holds 24 km on uni days; Friday is bike-free regardless. BW 76.20 = +1.00 kg off two flat days at 75.20, and measured across 48 h because 9/10 was not logged. NOT FAT: +1 kg of fat needs +7700 kcal against days that ran ~2400-2700. Water/glycogen/sodium. The block already ran this exact experiment - 75.85 held flat three days under a +937 kcal day, then dropped 0.65 overnight. Same noise band, same answer. NO KCAL CHANGE. 7-day picture 75.85/75.85/75.85/75.20/75.20/(hole)/76.20 = avg 75.69, still inside the 8/31 close +1. MON 9/14 AM MAKES THE TREND CALL, not today. Non-uni day -&gt; ~2400 kcal, protein pull to ~160 (227 -&gt; 169 -&gt; 178 run must stop). Cleanest readiness of the week; nothing to autoregulate, run goes full 6 k. Rules: open ~7:50/km, avg HR 140-145, HARD ceiling 150, metronome 166 matched by SHORTENING STRIDE. This run is Sunday's rehearsal - Tue's 8:01/km produced cadence 163 and the 12 k opens at exactly this pace.</t>
        </is>
      </c>
    </row>
    <row r="41" ht="18" customHeight="1">
      <c r="A41" s="37" t="n">
        <v>46277</v>
      </c>
      <c r="B41" s="22">
        <f>IF(A41="","",IFERROR(INT((A41-DATE(2026,4,27))/7)+1,""))</f>
        <v/>
      </c>
      <c r="C41" s="38" t="n"/>
      <c r="D41" s="38" t="n"/>
      <c r="E41" s="38" t="n"/>
      <c r="F41" s="38" t="n"/>
      <c r="G41" s="38" t="n"/>
      <c r="H41" s="38" t="n"/>
      <c r="I41" s="26" t="inlineStr">
        <is>
          <t>Wk B Sat - CALI #4 MISSED, ILLNESS. User sick Sat + Sun, reported 9/13. No AM block, no PM block, no session, no shin check. NOT reconstructed - missing data is written off, never back-filled from memory; an invented number is worse than an honest gap. WHAT WAS LOST: the second cali day of Wk B, which would have carried the first bumps off the 9/9 gate clears - tibialis to SLOW-ECCENTRIC 3x20 and side plank to 2x45 s/side, with A1 push-up holding all four sets at setting 3. Those advancements are UNRUN, not cancelled: they carry forward intact to the next cali session, gates stay cleared, nothing regresses on one missed session. Cali frequency for Wk B closes at 1 of 2. NO MAKE-UP SESSION - stacking cali into a re-entry week would put loaded legs in front of the first post-illness run, which is backwards: the run is the session that matters and the bone is the gate.</t>
        </is>
      </c>
    </row>
    <row r="42" ht="18" customHeight="1">
      <c r="A42" s="37" t="n">
        <v>46278</v>
      </c>
      <c r="B42" s="22">
        <f>IF(A42="","",IFERROR(INT((A42-DATE(2026,4,27))/7)+1,""))</f>
        <v/>
      </c>
      <c r="C42" s="38" t="n"/>
      <c r="D42" s="38" t="n"/>
      <c r="E42" s="38" t="n"/>
      <c r="F42" s="38" t="n"/>
      <c r="G42" s="38" t="n"/>
      <c r="H42" s="38" t="n"/>
      <c r="I42" s="26" t="inlineStr">
        <is>
          <t>Wk B Sun - LONG 12 k MISSED, ILLNESS, second consecutive day. User reported 16:13: still symptomatic but IMPROVING vs Saturday. No AM block, no PM block, no BW, no shin check. NOT reconstructed. THE LONG IS GONE AND IS NOT CHASED - not moved to Monday, not compressed into next week. Reported at 16:13 and the long is an AM session by design; two sick days sat in front of it; a 12 k off illness on bone only 5 weeks past a 34-day layoff spends the tibia budget for nothing. 'Better than yesterday' is not 'clear'. SICK RULE - NECK CHECK: above neck only (nose/throat/sneeze) = easy run permitted at reduced distance, HR ceiling 140. Below neck (fever/chest/body aches/GI) = ZERO training until 24 h FULLY symptom-free, then one easy short run before anything loaded. Fever is a hard stop; myocarditis risk is not traded for a session. WK B FINAL: runs 3 of 4, 17 of 29 km, cali 1 of 2, 2 rest as planned + 2 lost. First missed sessions of Block 2. THIS IS ILLNESS, NOT DRIFT - categorically different from the Jul 29 - Aug 30 dark month and not treated the same way. Two days do not move the block; panic-compressing them would. BW TREND CALL VOID: 76.20 (9/11) is confounded by the 9/10 data hole plus two illness days (appetite, hydration, glycogen swing). Mon 9/14 AM reads nothing useful. Next real BW call ~9/17. No kcal change made on illness data. FRI SEP 18 BENCHMARK AT RISK - the decision Wk C turns on. The 8 k benchmark gates the whole goal-pace addendum (sub-3:00 vs sub-3:10; the 3 k @ 6:20 inside the Sep 27 long). A benchmark on a post-illness engine reads falsely slow and would retire the stretch goal for the wrong reason. The benchmark is moveable; the bone is not. Call made off the first clean AM, not before. WK C DEFERRED to the first symptom-free morning. Re-entry shape: one easy short run first, HR ceiling 140, distance set by bone - not a jump back onto the ramp where it was interrupted.</t>
        </is>
      </c>
    </row>
    <row r="43" ht="18" customHeight="1">
      <c r="A43" s="37" t="n">
        <v>46279</v>
      </c>
      <c r="B43" s="22">
        <f>IF(A43="","",IFERROR(INT((A43-DATE(2026,4,27))/7)+1,""))</f>
        <v/>
      </c>
      <c r="C43" s="38" t="n"/>
      <c r="D43" s="38" t="n"/>
      <c r="E43" s="38" t="n"/>
      <c r="F43" s="38" t="n"/>
      <c r="G43" s="38" t="n"/>
      <c r="H43" s="38" t="n"/>
      <c r="I43" s="26" t="inlineStr">
        <is>
          <t>Wk B/C gap Mon - REST, ILLNESS day 3. No run, no cali, no AM block, no PM block, no BW, no shin check. NOT reconstructed. Uni day, bike commute ridden but unmeasured - not logged as a number. MONDAY AM CALI SLOT LOST and NOT made up: stacking a cali session into a re-entry week would put loaded legs in front of the first post-illness run, which is backwards - the run is the session that matters and the bone is the gate. BW TREND CALL THAT WAS SCHEDULED FOR TODAY IS VOID: no weigh-in taken, and 9/11's 76.20 is already confounded by the 9/10 data hole plus illness (appetite, hydration, glycogen). First honest BW reading is Thu 9/17; trend call Sun 9/20. NO KCAL CHANGE ON ILLNESS DATA.</t>
        </is>
      </c>
    </row>
    <row r="44" ht="18" customHeight="1">
      <c r="A44" s="35" t="n">
        <v>46280</v>
      </c>
      <c r="B44" s="16">
        <f>IF(A44="","",IFERROR(INT((A44-DATE(2026,4,27))/7)+1,""))</f>
        <v/>
      </c>
      <c r="C44" s="36" t="n"/>
      <c r="D44" s="36" t="n"/>
      <c r="E44" s="36" t="n"/>
      <c r="F44" s="36" t="n"/>
      <c r="G44" s="36" t="n"/>
      <c r="H44" s="36" t="n"/>
      <c r="I44" s="20" t="inlineStr">
        <is>
          <t>Wk C eve Tue - REST, illness clearing. SYMPTOM-FREE FROM THIS MORNING ONLY = under 24 h, so the neck-check gate is NOT met and there is NO re-entry run today. Below-neck rule governs: zero training until 24 h FULLY symptom-free, then ONE easy short run before anything loaded. 'Better than yesterday' is not 'clear'. Uni day, bike commute ridden, nothing else. WED 9/16 AM IS THE 24 H MARK. Run gap now 5 days (last run Fri 9/11, 6 k). THIS IS ILLNESS, NOT DRIFT - no make-ups, no clawed-back km, repeat don't compress. WK C SET TONIGHT: 21 km / 3 runs / 1 cali / 2 rest - Wed 4 k re-entry HR CEILING 140 (gated on a still-clear Wed AM), Thu REST, Fri cali #4 + 5 k, Sat REST, Sun LONG 12 k (reuses Wk B's lost long rather than jumping to where the ramp stopped). FRI SEP 18 8 K BENCHMARK DEFERRED TO FRI SEP 25: an 8 k all-out off two sick days and a 5-day run gap reads falsely slow and would retire sub-3:00 for the wrong reason - the benchmark is moveable, the bone is not. Sep 25 still sits 2 days before the Sep 27 long so the goal-pace addendum survives intact; gate thresholds unchanged. Consequence: NOTHING ABOVE HR 150 THROUGH FRI SEP 25 - Wk C is 100% easy. DECISION DUE SUN 9/20: the 12-&gt;18-&gt;22 long-run ramp is +50% in one week on bone that will have run 21 km in three weeks; recommendation is 16 k on 9/27 and 20 k on 10/4, decided off the 9/20 shin check and back-half pace.</t>
        </is>
      </c>
    </row>
    <row r="45" ht="18" customHeight="1">
      <c r="A45" s="37" t="n">
        <v>46281</v>
      </c>
      <c r="B45" s="22">
        <f>IF(A45="","",IFERROR(INT((A45-DATE(2026,4,27))/7)+1,""))</f>
        <v/>
      </c>
      <c r="C45" s="38" t="n"/>
      <c r="D45" s="38" t="n"/>
      <c r="E45" s="38" t="n"/>
      <c r="F45" s="38" t="n"/>
      <c r="G45" s="38" t="n"/>
      <c r="H45" s="38" t="n"/>
      <c r="I45" s="26" t="inlineStr">
        <is>
          <t>Wk C Wed - RUN RE-ENTRY 4 k PM. AM BLOCK NOT SUPPLIED - no BW, no sleep, no RHR, no DOMS. NOT reconstructed. Wednesday AM was the 24 h symptom-free gate; the run went ahead, so the gate is recorded as passed by the athlete's own call, zero illness symptoms reported. See Running Log 9/16 for the session and its three rule breaches. Shin CLEAN check #24 (same-night, so not yet the bone verdict). First honest post-illness BW was scheduled for Thu 9/17 and was NOT taken - BW trend remains VOID since 9/11's confounded 76.20; no kcal change made on illness data.</t>
        </is>
      </c>
    </row>
    <row r="46" ht="18" customHeight="1">
      <c r="A46" s="35" t="n">
        <v>46282</v>
      </c>
      <c r="B46" s="16">
        <f>IF(A46="","",IFERROR(INT((A46-DATE(2026,4,27))/7)+1,""))</f>
        <v/>
      </c>
      <c r="C46" s="36" t="n"/>
      <c r="D46" s="36" t="n"/>
      <c r="E46" s="36" t="n"/>
      <c r="F46" s="36" t="n"/>
      <c r="G46" s="36" t="n"/>
      <c r="H46" s="36" t="n"/>
      <c r="I46" s="20" t="inlineStr">
        <is>
          <t>Wk C Thu - REST, FULL. Prescribed rest + 24 km strict-Z1 bike commute; athlete took full rest, BIKE 0 km, unprompted. CORRECT CALL: 9/16 ran 19 bpm over ceiling at 6:14/km on 5-day-detrained legs PLUS a doubled 24 km bike. Dropping today's 24 km is exactly the right lever - the bike is the load to spend when legs and recovery collide because it carries ZERO bone value. Net across the two days: 36 km bike prescribed, 24 km ridden - budget balanced, not overspent. SHIN CLEAN check #25 - THIS IS THE ONE THAT COUNTS: the 24 h read on 9/16's 6:14/km. Same-night checks miss bone stress, 24-72 h does not. Highest per-strike impact of the block landed on 5-day-detrained legs and the tibia took it. 25/25 clean this block. Fri 9/18 AM closes the 72 h window. Feels fine generally, no illness symptoms. Creatine Y. KCAL/PROTEIN NOT COUNTED - written off. USER DIRECTIVE 2026-09-17: do not re-ask for macro numbers; one ask max, then written off silently. No BW taken -&gt; BW trend call still VOID, next opportunity Sun 9/20. Consequence: Fri 9/18 lands on a genuinely clean 48 h - cali #4 + 5 k run both go as written, no cuts owed, HR ceiling 145.</t>
        </is>
      </c>
    </row>
    <row r="47" ht="18" customHeight="1">
      <c r="A47" s="37" t="n">
        <v>46286</v>
      </c>
      <c r="B47" s="22">
        <f>IF(A47="","",IFERROR(INT((A47-DATE(2026,4,27))/7)+1,""))</f>
        <v/>
      </c>
      <c r="C47" s="38" t="n"/>
      <c r="D47" s="38" t="n"/>
      <c r="E47" s="38" t="n"/>
      <c r="F47" s="38" t="n"/>
      <c r="G47" s="38" t="n"/>
      <c r="H47" s="38" t="n"/>
      <c r="I47" s="26" t="inlineStr">
        <is>
          <t>Wk D Mon - run easy 6 k AM, DONE (see Running Log 9/21). AM BLOCK NOT SUPPLIED - no BW, no sleep, no RHR, no DOMS, no motivation/energy/stress. NOT reconstructed. Shin CLEAN check #26 reported with the run. BW TREND STILL VOID: the last weigh-in is 9/11's confounded 76.20, and 9/14, 9/17 and 9/20 were all missed - the series now has a 10-day hole and no kcal decision can be made off it. NEXT REAL BW CALL NEEDS A CLEAN AM WEIGH-IN; earliest useful trend read is a week of consecutive mornings. Macros not counted - written off, not re-asked (user directive 2026-09-17). Creatine Y. Bike 0 km on a uni day -&gt; fuel target for the day is ~2400, not 2650-2700.</t>
        </is>
      </c>
    </row>
    <row r="48" ht="18" customHeight="1">
      <c r="A48" s="35" t="n">
        <v>46287</v>
      </c>
      <c r="B48" s="16">
        <f>IF(A48="","",IFERROR(INT((A48-DATE(2026,4,27))/7)+1,""))</f>
        <v/>
      </c>
      <c r="C48" s="36" t="n"/>
      <c r="D48" s="36" t="n"/>
      <c r="E48" s="36" t="n"/>
      <c r="F48" s="36" t="n"/>
      <c r="G48" s="36" t="n"/>
      <c r="H48" s="36" t="n"/>
      <c r="I48" s="20" t="inlineStr">
        <is>
          <t>Wk D Tue - Cali #5 full, DONE (see Lifting Log 9/22). AM BLOCK NOT SUPPLIED - no BW; series dark since 9/11 (11 days). Shin CLEAN #27. Bike 24 km (uni day). Kcal 2772 (target 2650-2700, +72). Protein 161 g on target. Creatine Y. Pain none.</t>
        </is>
      </c>
    </row>
    <row r="49" ht="18" customHeight="1">
      <c r="A49" s="37" t="n">
        <v>46288</v>
      </c>
      <c r="B49" s="22">
        <f>IF(A49="","",IFERROR(INT((A49-DATE(2026,4,27))/7)+1,""))</f>
        <v/>
      </c>
      <c r="C49" s="38" t="n">
        <v>76.40000000000001</v>
      </c>
      <c r="D49" s="38" t="n">
        <v>8</v>
      </c>
      <c r="E49" s="38" t="n"/>
      <c r="F49" s="38" t="n"/>
      <c r="G49" s="38" t="n"/>
      <c r="H49" s="38" t="n"/>
      <c r="I49" s="26" t="inlineStr">
        <is>
          <t>Wk D Wed - REST, FULL. AM: sleep 8 h (02:00-10:00) q8, RHR 46 (-2), mot 10/energy 10/stress 2, DOMS back/shldr/arm 3 (9/22 RPE-10 sets + compressed rests), legs 1, shin CLEAN #28. BW 76.40 = first reading in 12 days, single point, NO kcal change. SUN 9/20 LONG MISSED (user 9/23) -&gt; Sun 9/27 cut to 13 k (10 easy + 3 @ 6:20), Wk D 35 -&gt; 33 km; Wk E peak long 20 k off (~16-17 k, decide off 9/27 shin). PM: bike 0 (uni day -&gt; target ~2400), kcal 2933 (+530), protein 169, creatine Y.</t>
        </is>
      </c>
    </row>
    <row r="50" ht="18" customHeight="1">
      <c r="A50" s="35" t="n">
        <v>46289</v>
      </c>
      <c r="B50" s="16">
        <f>IF(A50="","",IFERROR(INT((A50-DATE(2026,4,27))/7)+1,""))</f>
        <v/>
      </c>
      <c r="C50" s="36" t="n">
        <v>77.05</v>
      </c>
      <c r="D50" s="36" t="n">
        <v>8.75</v>
      </c>
      <c r="E50" s="36" t="n"/>
      <c r="F50" s="36" t="n"/>
      <c r="G50" s="36" t="n"/>
      <c r="H50" s="36" t="n"/>
      <c r="I50" s="20" t="inlineStr">
        <is>
          <t>Wk D Thu - Run easy 4 k (see Running Log 9/24). AM: sleep 8:45 (23:45-08:30) q8, RHR 45 (-2), mot 10/energy 10/stress 2, DOMS chest/back/shldr/arm 3 (48 h peak of 9/22 RPE-10 sets), quad/ham 2, glute/calf 1, shin CLEAN #29. BW 77.05 (+0.65 d/d) - 2nd reading, NO kcal change, trend call Sun 9/27 on &gt;=3. PM: bike 0 (uni day -&gt; ~2400), kcal 2596 (+196), protein 175 (+10 over 155-165), creatine Y, alcohol 0, steps 9891, shin CLEAN #30.</t>
        </is>
      </c>
    </row>
    <row r="51" ht="18" customHeight="1">
      <c r="A51" s="37" t="n">
        <v>46290</v>
      </c>
      <c r="B51" s="22">
        <f>IF(A51="","",IFERROR(INT((A51-DATE(2026,4,27))/7)+1,""))</f>
        <v/>
      </c>
      <c r="C51" s="38" t="n">
        <v>77.05</v>
      </c>
      <c r="D51" s="38" t="n">
        <v>8.5</v>
      </c>
      <c r="E51" s="38" t="n"/>
      <c r="F51" s="38" t="n"/>
      <c r="G51" s="38" t="n"/>
      <c r="H51" s="38" t="n"/>
      <c r="I51" s="26" t="inlineStr">
        <is>
          <t>Wk D Fri - 8 K BENCHMARK (see Running Log 9/25). AM: sleep 8:30 (00:30-09:00) q10, RHR 46 (-1), mot 10/energy 10/stress 1, DOMS chest 1 / back 2 / shldr 2 / arm 2, quad 1 / ham 1 / glute 0 / calf 0, shin CLEAN #31. BW 77.05 flat d/d (3rd reading), NO kcal change, trend call Sun 9/27. Cali #6 moved to Sat 9/26 AM. PM: bike 0, kcal 2706 (+306, 3rd day over; 684 kcal benchmark), protein 178, creatine Y, alcohol 0, steps 14538, shin CLEAN #32, RPE 9.</t>
        </is>
      </c>
    </row>
    <row r="52" ht="18" customHeight="1">
      <c r="A52" s="35" t="n">
        <v>46291</v>
      </c>
      <c r="B52" s="16">
        <f>IF(A52="","",IFERROR(INT((A52-DATE(2026,4,27))/7)+1,""))</f>
        <v/>
      </c>
      <c r="C52" s="36" t="n">
        <v>76.7</v>
      </c>
      <c r="D52" s="36" t="n">
        <v>9.25</v>
      </c>
      <c r="E52" s="36" t="n"/>
      <c r="F52" s="36" t="n"/>
      <c r="G52" s="36" t="n"/>
      <c r="H52" s="36" t="n"/>
      <c r="I52" s="20" t="inlineStr">
        <is>
          <t>Wk D Sat - CALI #6 UPPER ONLY (see Lifting Log 9/26). AM: sleep 9:15 (23:45-09:00) q10, RHR 45 (-1), mot 10/energy 10/stress 2, DOMS chest 0 / back 1 / shldr 1 / arm 1, quad/ham/glute/calf 2 (benchmark hangover), shin CLEAN #33. BW 76.70 (-0.35 d/d), 4th reading, trend call Sun 9/27. PM: 22/22 sets 55 min avg RPE 7.6, 0 RPE-10 sets, row cap held, bike 0, kcal 2485 (+85), protein 171, creatine Y, shin CLEAN #34.</t>
        </is>
      </c>
    </row>
    <row r="53" ht="18" customHeight="1">
      <c r="A53" s="37" t="n">
        <v>46292</v>
      </c>
      <c r="B53" s="22">
        <f>IF(A53="","",IFERROR(INT((A53-DATE(2026,4,27))/7)+1,""))</f>
        <v/>
      </c>
      <c r="C53" s="38" t="n">
        <v>76</v>
      </c>
      <c r="D53" s="38" t="n">
        <v>9</v>
      </c>
      <c r="E53" s="38" t="n"/>
      <c r="F53" s="38" t="n"/>
      <c r="G53" s="38" t="n"/>
      <c r="H53" s="38" t="n"/>
      <c r="I53" s="26" t="inlineStr">
        <is>
          <t>Wk D Sun - LONG 13 k (see Running Log 9/27). AM: sleep 9:00 (00:00-09:00) q10, RHR 45 (-1), mot 10/energy 10/stress 2, DOMS chest/back/shldr/arm 2 (cali #6), quad/ham/glute/calf 1, shin CLEAN #35. BW 76.00 (-0.70 d/d). 5-reading avg 76.64 (76.40/77.05/77.05/76.70/76.00) - no kcal change, stop overshoot. PM: 13 k done, kcal 2800 (+100 vs ~2700), protein 180, creatine Y, bike 0, shin CLEAN #36, quad/calf post 3.</t>
        </is>
      </c>
    </row>
    <row r="54" ht="18" customHeight="1">
      <c r="A54" s="35" t="n">
        <v>46293</v>
      </c>
      <c r="B54" s="16">
        <f>IF(A54="","",IFERROR(INT((A54-DATE(2026,4,27))/7)+1,""))</f>
        <v/>
      </c>
      <c r="C54" s="36" t="n">
        <v>76.45</v>
      </c>
      <c r="D54" s="36" t="n">
        <v>8.33</v>
      </c>
      <c r="E54" s="36" t="n"/>
      <c r="F54" s="36" t="n"/>
      <c r="G54" s="36" t="n"/>
      <c r="H54" s="36" t="n"/>
      <c r="I54" s="20" t="inlineStr">
        <is>
          <t>Wk E Mon - CALI #7 FULL BODY, legs 2x8 (see Lifting Log 9/28). AM: sleep 8:20 (00:05-08:25) q10, RHR 45 (-1), mot 10/energy 10/stress 2, DOMS upper 1/1/1/1, quad 1 / ham 2 / glute 2 / calf 2, shin CLEAN #37. BW 76.45, 6-reading avg 76.61 - flat, no kcal change. PM: 26/26 sets 50 min avg RPE 7.27, 2 RPE-10 sets (B1 S3, tib S3), bike 0, kcal 2541 (+141 vs no-bike 2400), protein 174, creatine Y, shin CLEAN #38.</t>
        </is>
      </c>
    </row>
    <row r="55" ht="18" customHeight="1">
      <c r="A55" s="37" t="n">
        <v>46294</v>
      </c>
      <c r="B55" s="22">
        <f>IF(A55="","",IFERROR(INT((A55-DATE(2026,4,27))/7)+1,""))</f>
        <v/>
      </c>
      <c r="C55" s="38" t="n">
        <v>76.59999999999999</v>
      </c>
      <c r="D55" s="38" t="n">
        <v>7.42</v>
      </c>
      <c r="E55" s="38" t="n"/>
      <c r="F55" s="38" t="n"/>
      <c r="G55" s="38" t="n"/>
      <c r="H55" s="38" t="n"/>
      <c r="I55" s="26" t="inlineStr">
        <is>
          <t>Wk E Tue - EASY 6 k (see Running Log 9/29). AM: sleep 7:25 (23:00-06:30) q8, RHR 43 (-2), mot 10/energy 9/stress 2, DOMS chest 2/back 2/shldr 3/arm 2 (cali #7), quad/ham/glute/calf 1, tib-ant 0, shin CLEAN #39. BW 76.60, 7-reading avg 76.61 - flat, no kcal change. PM: 6 k done, bike 0, kcal 2883 (+483 vs no-bike 2400), protein 170, creatine Y, shin CLEAN #40, quad/calf post 2.</t>
        </is>
      </c>
    </row>
    <row r="56" ht="18" customHeight="1">
      <c r="A56" s="35" t="n">
        <v>46300</v>
      </c>
      <c r="B56" s="16">
        <f>IF(A56="","",IFERROR(INT((A56-DATE(2026,4,27))/7)+1,""))</f>
        <v/>
      </c>
      <c r="C56" s="36" t="n">
        <v>77.59999999999999</v>
      </c>
      <c r="D56" s="36" t="n">
        <v>8.5</v>
      </c>
      <c r="E56" s="36" t="n"/>
      <c r="F56" s="36" t="n"/>
      <c r="G56" s="36" t="n"/>
      <c r="H56" s="36" t="n"/>
      <c r="I56" s="20" t="inlineStr">
        <is>
          <t>5K Wk 1 Mon - GYM #1 full body (joined normal gym; replaces cali). AM: sleep 8:30 (00:05-08:35) q10, RHR 40 (-3, block low), mot 10/energy 10/stress 2, DOMS all 0, tendons clean. BW 77.60 = +1.0 vs 7-reading avg 76.61 after 6 unlogged days, single point, no kcal change. PM: bike 0, kcal 2858 (+458 vs no-bike 2400), protein 170, creatine Y, shin CLEAN.</t>
        </is>
      </c>
    </row>
    <row r="57" ht="18" customHeight="1">
      <c r="A57" s="37" t="n">
        <v>46301</v>
      </c>
      <c r="B57" s="22">
        <f>IF(A57="","",IFERROR(INT((A57-DATE(2026,4,27))/7)+1,""))</f>
        <v/>
      </c>
      <c r="C57" s="38" t="n">
        <v>77.2</v>
      </c>
      <c r="D57" s="38" t="n">
        <v>7.5</v>
      </c>
      <c r="E57" s="38" t="n"/>
      <c r="F57" s="38" t="n"/>
      <c r="G57" s="38" t="n"/>
      <c r="H57" s="38" t="n"/>
      <c r="I57" s="26" t="inlineStr">
        <is>
          <t>5K Wk 1 Tue - TRACK 6x400 staged. AM: sleep 7:30 (23:05-06:35) q8, RHR 40 (-3), mot 10/energy 8/stress 3, DOMS chest 3/back 3/shldr 3/arm 2 (Gym #1), quad/ham/glute/calf 1, tendons clean. BW 77.20 (-0.40 vs 10/5), no kcal change. Legs &lt;2 -&gt; 6x400 stays. PM: road 5 k (4 k @ 5:34, RPE 6), bike 0, kcal 2375 (on ~2400), protein 164, creatine Y. SHIN CLEAN #41.</t>
        </is>
      </c>
    </row>
    <row r="58" ht="18" customHeight="1">
      <c r="A58" s="35" t="n">
        <v>46302</v>
      </c>
      <c r="B58" s="16">
        <f>IF(A58="","",IFERROR(INT((A58-DATE(2026,4,27))/7)+1,""))</f>
        <v/>
      </c>
      <c r="C58" s="36" t="n">
        <v>76.3</v>
      </c>
      <c r="D58" s="36" t="n">
        <v>8.58</v>
      </c>
      <c r="E58" s="36" t="n"/>
      <c r="F58" s="36" t="n"/>
      <c r="G58" s="36" t="n"/>
      <c r="H58" s="36" t="n"/>
      <c r="I58" s="20" t="inlineStr">
        <is>
          <t>5K Wk 1 Wed - REST, full. AM: sleep 8:35 (23:45-08:20) q8, RHR 43 (0 vs 7d), mot 10/energy 10/stress 3, DOMS chest 2/back 1/shldr 2/arm 1 (Gym #1, falling), quad/ham/glute/calf 1, tendons clean, SHIN CLEAN #42. BW 76.30 (-0.90 d/d), 7-reading avg 76.69, no kcal change. Gates: Fri 2x2 k ON, Thu strides stay, upper recheck Fri AM. PM: REST done, bike 0, kcal 2227 (-173 vs no-bike 2400), protein 175, creatine Y, alcohol 0, steps 2794, SHIN CLEAN #43.</t>
        </is>
      </c>
    </row>
    <row r="59" ht="18" customHeight="1">
      <c r="A59" s="37" t="n">
        <v>46303</v>
      </c>
      <c r="B59" s="22">
        <f>IF(A59="","",IFERROR(INT((A59-DATE(2026,4,27))/7)+1,""))</f>
        <v/>
      </c>
      <c r="C59" s="38" t="n">
        <v>76.3</v>
      </c>
      <c r="D59" s="38" t="n">
        <v>8.369999999999999</v>
      </c>
      <c r="E59" s="38" t="n"/>
      <c r="F59" s="38" t="n"/>
      <c r="G59" s="38" t="n"/>
      <c r="H59" s="38" t="n"/>
      <c r="I59" s="26" t="inlineStr">
        <is>
          <t>5K Wk 1 Thu - EASY 5 k + strides. AM: sleep 8:22 (23:45-08:10) q10, RHR 42 (0 vs 7d), mot 10/energy 10/stress 2, DOMS chest/back/shldr/arm 1, quad 1, ham/glute/calf 0, joints clean, SHIN CLEAN #44. BW 76.30 flat d/d, no kcal change. Gates all green. PM: 5.12 k easy + 6 strides (ran hot ~4:10-4:30), bike 0, kcal 2325 (-75 vs 2400), protein 174, creatine Y, alcohol 0, SHIN CLEAN #45.</t>
        </is>
      </c>
    </row>
    <row r="60" ht="18" customHeight="1">
      <c r="A60" s="35" t="n">
        <v>46309</v>
      </c>
      <c r="B60" s="16">
        <f>IF(A60="","",IFERROR(INT((A60-DATE(2026,4,27))/7)+1,""))</f>
        <v/>
      </c>
      <c r="C60" s="36" t="n"/>
      <c r="D60" s="36" t="n"/>
      <c r="E60" s="36" t="n"/>
      <c r="F60" s="36" t="n"/>
      <c r="G60" s="36" t="n"/>
      <c r="H60" s="36" t="n"/>
      <c r="I60" s="20" t="inlineStr">
        <is>
          <t>5K Wk 2 Wed - first run after 10/9-10/13 dark gap. AM not captured (BW/sleep/RHR blank). PM: 5.03 k easy + 6 strides, bike 0, kcal 2448 (+48 vs 2400), protein 172, creatine Y, alcohol 0, steps 14190, SHIN CLEAN #46.</t>
        </is>
      </c>
    </row>
    <row r="61" ht="18" customHeight="1">
      <c r="A61" s="37" t="n">
        <v>46310</v>
      </c>
      <c r="B61" s="22">
        <f>IF(A61="","",IFERROR(INT((A61-DATE(2026,4,27))/7)+1,""))</f>
        <v/>
      </c>
      <c r="C61" s="38" t="n">
        <v>76.59999999999999</v>
      </c>
      <c r="D61" s="38" t="n">
        <v>7.67</v>
      </c>
      <c r="E61" s="38" t="n"/>
      <c r="F61" s="38" t="n"/>
      <c r="G61" s="38" t="n"/>
      <c r="H61" s="38" t="n"/>
      <c r="I61" s="26" t="inlineStr">
        <is>
          <t>5K Wk 2 Thu - AM: sleep 7:40 (23:45-07:25) q8, RHR 41 (-3 vs 7d), mot 10/energy 10/stress 3, DOMS chest 0/back 3/shldr 2/arm 2, quad/ham/glute/calf 1, tendons clean, SHIN CLEAN #47. BW 76.60 (+0.30 vs 10/8) single point after 6-day hole, no kcal change. Back DOMS 3 = Wed 10/14 back session (unlogged) -&gt; Gym #2 pulls out, push -1 set.</t>
        </is>
      </c>
    </row>
    <row r="62" ht="18" customHeight="1">
      <c r="A62" s="35" t="n">
        <v>46316</v>
      </c>
      <c r="B62" s="16">
        <f>IF(A62="","",IFERROR(INT((A62-DATE(2026,4,27))/7)+1,""))</f>
        <v/>
      </c>
      <c r="C62" s="36" t="n">
        <v>77.34999999999999</v>
      </c>
      <c r="D62" s="36" t="n">
        <v>6.73</v>
      </c>
      <c r="E62" s="36" t="n"/>
      <c r="F62" s="36" t="n"/>
      <c r="G62" s="36" t="n"/>
      <c r="H62" s="36" t="n"/>
      <c r="I62" s="20" t="inlineStr">
        <is>
          <t>5K Wk 3 Wed - AM: sleep 6:44 (00:02-06:46) q7, RHR 45 (-1 vs 7d), mot 10/energy 9/stress 3, DOMS all 0, joints clean, SHIN CLEAN #49. BW 77.35 (+0.75 vs 10/15) single point after 6-day hole + travel weekend, no kcal change. 10/16-10/20: only Sat 10/17 run logged; Sun long, Mon gym, Tue 3 K TT not on Strava. Gates green -&gt; 3 K TT today PM or Thu. PM: 3 K TT 15:00 moving / 15:42 elapsed (5:00/5:00/5:01), RPE 8, max HR 198, shin clean #50; bike 0, kcal 2272, protein 150, creatine Y, alcohol 0.</t>
        </is>
      </c>
    </row>
    <row r="63" ht="18" customHeight="1">
      <c r="A63" s="37" t="n"/>
      <c r="B63" s="22">
        <f>IF(A63="","",IFERROR(INT((A63-DATE(2026,4,27))/7)+1,""))</f>
        <v/>
      </c>
      <c r="C63" s="38" t="n"/>
      <c r="D63" s="38" t="n"/>
      <c r="E63" s="38" t="n"/>
      <c r="F63" s="38" t="n"/>
      <c r="G63" s="38" t="n"/>
      <c r="H63" s="38" t="n"/>
      <c r="I63" s="26" t="n"/>
    </row>
    <row r="64" ht="18" customHeight="1">
      <c r="A64" s="35" t="n"/>
      <c r="B64" s="16">
        <f>IF(A64="","",IFERROR(INT((A64-DATE(2026,4,27))/7)+1,""))</f>
        <v/>
      </c>
      <c r="C64" s="36" t="n"/>
      <c r="D64" s="36" t="n"/>
      <c r="E64" s="36" t="n"/>
      <c r="F64" s="36" t="n"/>
      <c r="G64" s="36" t="n"/>
      <c r="H64" s="36" t="n"/>
      <c r="I64" s="20" t="n"/>
    </row>
    <row r="65" ht="18" customHeight="1">
      <c r="A65" s="37" t="n"/>
      <c r="B65" s="22">
        <f>IF(A65="","",IFERROR(INT((A65-DATE(2026,4,27))/7)+1,""))</f>
        <v/>
      </c>
      <c r="C65" s="38" t="n"/>
      <c r="D65" s="38" t="n"/>
      <c r="E65" s="38" t="n"/>
      <c r="F65" s="38" t="n"/>
      <c r="G65" s="38" t="n"/>
      <c r="H65" s="38" t="n"/>
      <c r="I65" s="26" t="n"/>
    </row>
    <row r="66" ht="18" customHeight="1">
      <c r="A66" s="35" t="n"/>
      <c r="B66" s="16">
        <f>IF(A66="","",IFERROR(INT((A66-DATE(2026,4,27))/7)+1,""))</f>
        <v/>
      </c>
      <c r="C66" s="36" t="n"/>
      <c r="D66" s="36" t="n"/>
      <c r="E66" s="36" t="n"/>
      <c r="F66" s="36" t="n"/>
      <c r="G66" s="36" t="n"/>
      <c r="H66" s="36" t="n"/>
      <c r="I66" s="20" t="n"/>
    </row>
    <row r="67" ht="18" customHeight="1">
      <c r="A67" s="37" t="n"/>
      <c r="B67" s="22">
        <f>IF(A67="","",IFERROR(INT((A67-DATE(2026,4,27))/7)+1,""))</f>
        <v/>
      </c>
      <c r="C67" s="38" t="n"/>
      <c r="D67" s="38" t="n"/>
      <c r="E67" s="38" t="n"/>
      <c r="F67" s="38" t="n"/>
      <c r="G67" s="38" t="n"/>
      <c r="H67" s="38" t="n"/>
      <c r="I67" s="26" t="n"/>
    </row>
    <row r="68" ht="18" customHeight="1">
      <c r="A68" s="35" t="n"/>
      <c r="B68" s="16">
        <f>IF(A68="","",IFERROR(INT((A68-DATE(2026,4,27))/7)+1,""))</f>
        <v/>
      </c>
      <c r="C68" s="36" t="n"/>
      <c r="D68" s="36" t="n"/>
      <c r="E68" s="36" t="n"/>
      <c r="F68" s="36" t="n"/>
      <c r="G68" s="36" t="n"/>
      <c r="H68" s="36" t="n"/>
      <c r="I68" s="20" t="n"/>
    </row>
    <row r="69" ht="18" customHeight="1">
      <c r="A69" s="37" t="n"/>
      <c r="B69" s="22">
        <f>IF(A69="","",IFERROR(INT((A69-DATE(2026,4,27))/7)+1,""))</f>
        <v/>
      </c>
      <c r="C69" s="38" t="n"/>
      <c r="D69" s="38" t="n"/>
      <c r="E69" s="38" t="n"/>
      <c r="F69" s="38" t="n"/>
      <c r="G69" s="38" t="n"/>
      <c r="H69" s="38" t="n"/>
      <c r="I69" s="26" t="n"/>
    </row>
    <row r="70" ht="18" customHeight="1">
      <c r="A70" s="35" t="n"/>
      <c r="B70" s="16">
        <f>IF(A70="","",IFERROR(INT((A70-DATE(2026,4,27))/7)+1,""))</f>
        <v/>
      </c>
      <c r="C70" s="36" t="n"/>
      <c r="D70" s="36" t="n"/>
      <c r="E70" s="36" t="n"/>
      <c r="F70" s="36" t="n"/>
      <c r="G70" s="36" t="n"/>
      <c r="H70" s="36" t="n"/>
      <c r="I70" s="20" t="n"/>
    </row>
    <row r="71" ht="18" customHeight="1">
      <c r="A71" s="37" t="n"/>
      <c r="B71" s="22">
        <f>IF(A71="","",IFERROR(INT((A71-DATE(2026,4,27))/7)+1,""))</f>
        <v/>
      </c>
      <c r="C71" s="38" t="n"/>
      <c r="D71" s="38" t="n"/>
      <c r="E71" s="38" t="n"/>
      <c r="F71" s="38" t="n"/>
      <c r="G71" s="38" t="n"/>
      <c r="H71" s="38" t="n"/>
      <c r="I71" s="26" t="n"/>
    </row>
    <row r="72" ht="18" customHeight="1">
      <c r="A72" s="35" t="n"/>
      <c r="B72" s="16">
        <f>IF(A72="","",IFERROR(INT((A72-DATE(2026,4,27))/7)+1,""))</f>
        <v/>
      </c>
      <c r="C72" s="36" t="n"/>
      <c r="D72" s="36" t="n"/>
      <c r="E72" s="36" t="n"/>
      <c r="F72" s="36" t="n"/>
      <c r="G72" s="36" t="n"/>
      <c r="H72" s="36" t="n"/>
      <c r="I72" s="20" t="n"/>
    </row>
    <row r="73" ht="18" customHeight="1">
      <c r="A73" s="37" t="n"/>
      <c r="B73" s="22">
        <f>IF(A73="","",IFERROR(INT((A73-DATE(2026,4,27))/7)+1,""))</f>
        <v/>
      </c>
      <c r="C73" s="38" t="n"/>
      <c r="D73" s="38" t="n"/>
      <c r="E73" s="38" t="n"/>
      <c r="F73" s="38" t="n"/>
      <c r="G73" s="38" t="n"/>
      <c r="H73" s="38" t="n"/>
      <c r="I73" s="26" t="n"/>
    </row>
    <row r="74" ht="18" customHeight="1">
      <c r="A74" s="35" t="n"/>
      <c r="B74" s="16">
        <f>IF(A74="","",IFERROR(INT((A74-DATE(2026,4,27))/7)+1,""))</f>
        <v/>
      </c>
      <c r="C74" s="36" t="n"/>
      <c r="D74" s="36" t="n"/>
      <c r="E74" s="36" t="n"/>
      <c r="F74" s="36" t="n"/>
      <c r="G74" s="36" t="n"/>
      <c r="H74" s="36" t="n"/>
      <c r="I74" s="20" t="n"/>
    </row>
    <row r="75" ht="18" customHeight="1">
      <c r="A75" s="37" t="n"/>
      <c r="B75" s="22">
        <f>IF(A75="","",IFERROR(INT((A75-DATE(2026,4,27))/7)+1,""))</f>
        <v/>
      </c>
      <c r="C75" s="38" t="n"/>
      <c r="D75" s="38" t="n"/>
      <c r="E75" s="38" t="n"/>
      <c r="F75" s="38" t="n"/>
      <c r="G75" s="38" t="n"/>
      <c r="H75" s="38" t="n"/>
      <c r="I75" s="26" t="n"/>
    </row>
    <row r="76" ht="18" customHeight="1">
      <c r="A76" s="35" t="n"/>
      <c r="B76" s="16">
        <f>IF(A76="","",IFERROR(INT((A76-DATE(2026,4,27))/7)+1,""))</f>
        <v/>
      </c>
      <c r="C76" s="36" t="n"/>
      <c r="D76" s="36" t="n"/>
      <c r="E76" s="36" t="n"/>
      <c r="F76" s="36" t="n"/>
      <c r="G76" s="36" t="n"/>
      <c r="H76" s="36" t="n"/>
      <c r="I76" s="20" t="n"/>
    </row>
    <row r="77" ht="18" customHeight="1">
      <c r="A77" s="37" t="n"/>
      <c r="B77" s="22">
        <f>IF(A77="","",IFERROR(INT((A77-DATE(2026,4,27))/7)+1,""))</f>
        <v/>
      </c>
      <c r="C77" s="38" t="n"/>
      <c r="D77" s="38" t="n"/>
      <c r="E77" s="38" t="n"/>
      <c r="F77" s="38" t="n"/>
      <c r="G77" s="38" t="n"/>
      <c r="H77" s="38" t="n"/>
      <c r="I77" s="26" t="n"/>
    </row>
    <row r="78" ht="18" customHeight="1">
      <c r="A78" s="35" t="n"/>
      <c r="B78" s="16">
        <f>IF(A78="","",IFERROR(INT((A78-DATE(2026,4,27))/7)+1,""))</f>
        <v/>
      </c>
      <c r="C78" s="36" t="n"/>
      <c r="D78" s="36" t="n"/>
      <c r="E78" s="36" t="n"/>
      <c r="F78" s="36" t="n"/>
      <c r="G78" s="36" t="n"/>
      <c r="H78" s="36" t="n"/>
      <c r="I78" s="20" t="n"/>
    </row>
    <row r="79" ht="18" customHeight="1">
      <c r="A79" s="37" t="n"/>
      <c r="B79" s="22">
        <f>IF(A79="","",IFERROR(INT((A79-DATE(2026,4,27))/7)+1,""))</f>
        <v/>
      </c>
      <c r="C79" s="38" t="n"/>
      <c r="D79" s="38" t="n"/>
      <c r="E79" s="38" t="n"/>
      <c r="F79" s="38" t="n"/>
      <c r="G79" s="38" t="n"/>
      <c r="H79" s="38" t="n"/>
      <c r="I79" s="26" t="n"/>
    </row>
    <row r="80" ht="18" customHeight="1">
      <c r="A80" s="35" t="n"/>
      <c r="B80" s="16">
        <f>IF(A80="","",IFERROR(INT((A80-DATE(2026,4,27))/7)+1,""))</f>
        <v/>
      </c>
      <c r="C80" s="36" t="n"/>
      <c r="D80" s="36" t="n"/>
      <c r="E80" s="36" t="n"/>
      <c r="F80" s="36" t="n"/>
      <c r="G80" s="36" t="n"/>
      <c r="H80" s="36" t="n"/>
      <c r="I80" s="20" t="n"/>
    </row>
    <row r="81" ht="18" customHeight="1">
      <c r="A81" s="37" t="n"/>
      <c r="B81" s="22">
        <f>IF(A81="","",IFERROR(INT((A81-DATE(2026,4,27))/7)+1,""))</f>
        <v/>
      </c>
      <c r="C81" s="38" t="n"/>
      <c r="D81" s="38" t="n"/>
      <c r="E81" s="38" t="n"/>
      <c r="F81" s="38" t="n"/>
      <c r="G81" s="38" t="n"/>
      <c r="H81" s="38" t="n"/>
      <c r="I81" s="26" t="n"/>
    </row>
    <row r="82" ht="18" customHeight="1">
      <c r="A82" s="35" t="n"/>
      <c r="B82" s="16">
        <f>IF(A82="","",IFERROR(INT((A82-DATE(2026,4,27))/7)+1,""))</f>
        <v/>
      </c>
      <c r="C82" s="36" t="n"/>
      <c r="D82" s="36" t="n"/>
      <c r="E82" s="36" t="n"/>
      <c r="F82" s="36" t="n"/>
      <c r="G82" s="36" t="n"/>
      <c r="H82" s="36" t="n"/>
      <c r="I82" s="20" t="n"/>
    </row>
    <row r="83" ht="18" customHeight="1">
      <c r="A83" s="37" t="n"/>
      <c r="B83" s="22">
        <f>IF(A83="","",IFERROR(INT((A83-DATE(2026,4,27))/7)+1,""))</f>
        <v/>
      </c>
      <c r="C83" s="38" t="n"/>
      <c r="D83" s="38" t="n"/>
      <c r="E83" s="38" t="n"/>
      <c r="F83" s="38" t="n"/>
      <c r="G83" s="38" t="n"/>
      <c r="H83" s="38" t="n"/>
      <c r="I83" s="26" t="n"/>
    </row>
    <row r="84" ht="18" customHeight="1">
      <c r="A84" s="35" t="n"/>
      <c r="B84" s="16">
        <f>IF(A84="","",IFERROR(INT((A84-DATE(2026,4,27))/7)+1,""))</f>
        <v/>
      </c>
      <c r="C84" s="36" t="n"/>
      <c r="D84" s="36" t="n"/>
      <c r="E84" s="36" t="n"/>
      <c r="F84" s="36" t="n"/>
      <c r="G84" s="36" t="n"/>
      <c r="H84" s="36" t="n"/>
      <c r="I84" s="20" t="n"/>
    </row>
    <row r="85" ht="18" customHeight="1">
      <c r="A85" s="37" t="n"/>
      <c r="B85" s="22">
        <f>IF(A85="","",IFERROR(INT((A85-DATE(2026,4,27))/7)+1,""))</f>
        <v/>
      </c>
      <c r="C85" s="38" t="n"/>
      <c r="D85" s="38" t="n"/>
      <c r="E85" s="38" t="n"/>
      <c r="F85" s="38" t="n"/>
      <c r="G85" s="38" t="n"/>
      <c r="H85" s="38" t="n"/>
      <c r="I85" s="26" t="n"/>
    </row>
    <row r="86" ht="18" customHeight="1">
      <c r="A86" s="35" t="n"/>
      <c r="B86" s="16">
        <f>IF(A86="","",IFERROR(INT((A86-DATE(2026,4,27))/7)+1,""))</f>
        <v/>
      </c>
      <c r="C86" s="36" t="n"/>
      <c r="D86" s="36" t="n"/>
      <c r="E86" s="36" t="n"/>
      <c r="F86" s="36" t="n"/>
      <c r="G86" s="36" t="n"/>
      <c r="H86" s="36" t="n"/>
      <c r="I86" s="20" t="n"/>
    </row>
    <row r="87" ht="18" customHeight="1">
      <c r="A87" s="37" t="n"/>
      <c r="B87" s="22">
        <f>IF(A87="","",IFERROR(INT((A87-DATE(2026,4,27))/7)+1,""))</f>
        <v/>
      </c>
      <c r="C87" s="38" t="n"/>
      <c r="D87" s="38" t="n"/>
      <c r="E87" s="38" t="n"/>
      <c r="F87" s="38" t="n"/>
      <c r="G87" s="38" t="n"/>
      <c r="H87" s="38" t="n"/>
      <c r="I87" s="26" t="n"/>
    </row>
    <row r="88" ht="18" customHeight="1">
      <c r="A88" s="35" t="n"/>
      <c r="B88" s="16">
        <f>IF(A88="","",IFERROR(INT((A88-DATE(2026,4,27))/7)+1,""))</f>
        <v/>
      </c>
      <c r="C88" s="36" t="n"/>
      <c r="D88" s="36" t="n"/>
      <c r="E88" s="36" t="n"/>
      <c r="F88" s="36" t="n"/>
      <c r="G88" s="36" t="n"/>
      <c r="H88" s="36" t="n"/>
      <c r="I88" s="20" t="n"/>
    </row>
    <row r="89" ht="18" customHeight="1">
      <c r="A89" s="37" t="n"/>
      <c r="B89" s="22">
        <f>IF(A89="","",IFERROR(INT((A89-DATE(2026,4,27))/7)+1,""))</f>
        <v/>
      </c>
      <c r="C89" s="38" t="n"/>
      <c r="D89" s="38" t="n"/>
      <c r="E89" s="38" t="n"/>
      <c r="F89" s="38" t="n"/>
      <c r="G89" s="38" t="n"/>
      <c r="H89" s="38" t="n"/>
      <c r="I89" s="26" t="n"/>
    </row>
    <row r="90" ht="18" customHeight="1">
      <c r="A90" s="35" t="n"/>
      <c r="B90" s="16">
        <f>IF(A90="","",IFERROR(INT((A90-DATE(2026,4,27))/7)+1,""))</f>
        <v/>
      </c>
      <c r="C90" s="36" t="n"/>
      <c r="D90" s="36" t="n"/>
      <c r="E90" s="36" t="n"/>
      <c r="F90" s="36" t="n"/>
      <c r="G90" s="36" t="n"/>
      <c r="H90" s="36" t="n"/>
      <c r="I90" s="20" t="n"/>
    </row>
    <row r="91" ht="18" customHeight="1">
      <c r="A91" s="37" t="n"/>
      <c r="B91" s="22">
        <f>IF(A91="","",IFERROR(INT((A91-DATE(2026,4,27))/7)+1,""))</f>
        <v/>
      </c>
      <c r="C91" s="38" t="n"/>
      <c r="D91" s="38" t="n"/>
      <c r="E91" s="38" t="n"/>
      <c r="F91" s="38" t="n"/>
      <c r="G91" s="38" t="n"/>
      <c r="H91" s="38" t="n"/>
      <c r="I91" s="26" t="n"/>
    </row>
    <row r="92" ht="18" customHeight="1">
      <c r="A92" s="35" t="n"/>
      <c r="B92" s="16">
        <f>IF(A92="","",IFERROR(INT((A92-DATE(2026,4,27))/7)+1,""))</f>
        <v/>
      </c>
      <c r="C92" s="36" t="n"/>
      <c r="D92" s="36" t="n"/>
      <c r="E92" s="36" t="n"/>
      <c r="F92" s="36" t="n"/>
      <c r="G92" s="36" t="n"/>
      <c r="H92" s="36" t="n"/>
      <c r="I92" s="20" t="n"/>
    </row>
    <row r="93" ht="18" customHeight="1">
      <c r="A93" s="37" t="n"/>
      <c r="B93" s="22">
        <f>IF(A93="","",IFERROR(INT((A93-DATE(2026,4,27))/7)+1,""))</f>
        <v/>
      </c>
      <c r="C93" s="38" t="n"/>
      <c r="D93" s="38" t="n"/>
      <c r="E93" s="38" t="n"/>
      <c r="F93" s="38" t="n"/>
      <c r="G93" s="38" t="n"/>
      <c r="H93" s="38" t="n"/>
      <c r="I93" s="26" t="n"/>
    </row>
    <row r="94" ht="18" customHeight="1">
      <c r="A94" s="35" t="n"/>
      <c r="B94" s="16">
        <f>IF(A94="","",IFERROR(INT((A94-DATE(2026,4,27))/7)+1,""))</f>
        <v/>
      </c>
      <c r="C94" s="36" t="n"/>
      <c r="D94" s="36" t="n"/>
      <c r="E94" s="36" t="n"/>
      <c r="F94" s="36" t="n"/>
      <c r="G94" s="36" t="n"/>
      <c r="H94" s="36" t="n"/>
      <c r="I94" s="20" t="n"/>
    </row>
    <row r="95" ht="18" customHeight="1">
      <c r="A95" s="37" t="n"/>
      <c r="B95" s="22">
        <f>IF(A95="","",IFERROR(INT((A95-DATE(2026,4,27))/7)+1,""))</f>
        <v/>
      </c>
      <c r="C95" s="38" t="n"/>
      <c r="D95" s="38" t="n"/>
      <c r="E95" s="38" t="n"/>
      <c r="F95" s="38" t="n"/>
      <c r="G95" s="38" t="n"/>
      <c r="H95" s="38" t="n"/>
      <c r="I95" s="26" t="n"/>
    </row>
    <row r="96" ht="18" customHeight="1">
      <c r="A96" s="35" t="n"/>
      <c r="B96" s="16">
        <f>IF(A96="","",IFERROR(INT((A96-DATE(2026,4,27))/7)+1,""))</f>
        <v/>
      </c>
      <c r="C96" s="36" t="n"/>
      <c r="D96" s="36" t="n"/>
      <c r="E96" s="36" t="n"/>
      <c r="F96" s="36" t="n"/>
      <c r="G96" s="36" t="n"/>
      <c r="H96" s="36" t="n"/>
      <c r="I96" s="20" t="n"/>
    </row>
    <row r="97" ht="18" customHeight="1">
      <c r="A97" s="37" t="n"/>
      <c r="B97" s="22">
        <f>IF(A97="","",IFERROR(INT((A97-DATE(2026,4,27))/7)+1,""))</f>
        <v/>
      </c>
      <c r="C97" s="38" t="n"/>
      <c r="D97" s="38" t="n"/>
      <c r="E97" s="38" t="n"/>
      <c r="F97" s="38" t="n"/>
      <c r="G97" s="38" t="n"/>
      <c r="H97" s="38" t="n"/>
      <c r="I97" s="26" t="n"/>
    </row>
    <row r="98" ht="18" customHeight="1">
      <c r="A98" s="35" t="n"/>
      <c r="B98" s="16">
        <f>IF(A98="","",IFERROR(INT((A98-DATE(2026,4,27))/7)+1,""))</f>
        <v/>
      </c>
      <c r="C98" s="36" t="n"/>
      <c r="D98" s="36" t="n"/>
      <c r="E98" s="36" t="n"/>
      <c r="F98" s="36" t="n"/>
      <c r="G98" s="36" t="n"/>
      <c r="H98" s="36" t="n"/>
      <c r="I98" s="20" t="n"/>
    </row>
    <row r="99" ht="18" customHeight="1">
      <c r="A99" s="37" t="n"/>
      <c r="B99" s="22">
        <f>IF(A99="","",IFERROR(INT((A99-DATE(2026,4,27))/7)+1,""))</f>
        <v/>
      </c>
      <c r="C99" s="38" t="n"/>
      <c r="D99" s="38" t="n"/>
      <c r="E99" s="38" t="n"/>
      <c r="F99" s="38" t="n"/>
      <c r="G99" s="38" t="n"/>
      <c r="H99" s="38" t="n"/>
      <c r="I99" s="26" t="n"/>
    </row>
    <row r="100" ht="18" customHeight="1">
      <c r="A100" s="35" t="n"/>
      <c r="B100" s="16">
        <f>IF(A100="","",IFERROR(INT((A100-DATE(2026,4,27))/7)+1,""))</f>
        <v/>
      </c>
      <c r="C100" s="36" t="n"/>
      <c r="D100" s="36" t="n"/>
      <c r="E100" s="36" t="n"/>
      <c r="F100" s="36" t="n"/>
      <c r="G100" s="36" t="n"/>
      <c r="H100" s="36" t="n"/>
      <c r="I100" s="20" t="n"/>
    </row>
    <row r="101" ht="18" customHeight="1">
      <c r="A101" s="37" t="n"/>
      <c r="B101" s="22">
        <f>IF(A101="","",IFERROR(INT((A101-DATE(2026,4,27))/7)+1,""))</f>
        <v/>
      </c>
      <c r="C101" s="38" t="n"/>
      <c r="D101" s="38" t="n"/>
      <c r="E101" s="38" t="n"/>
      <c r="F101" s="38" t="n"/>
      <c r="G101" s="38" t="n"/>
      <c r="H101" s="38" t="n"/>
      <c r="I101" s="26" t="n"/>
    </row>
    <row r="102" ht="18" customHeight="1">
      <c r="A102" s="35" t="n"/>
      <c r="B102" s="16">
        <f>IF(A102="","",IFERROR(INT((A102-DATE(2026,4,27))/7)+1,""))</f>
        <v/>
      </c>
      <c r="C102" s="36" t="n"/>
      <c r="D102" s="36" t="n"/>
      <c r="E102" s="36" t="n"/>
      <c r="F102" s="36" t="n"/>
      <c r="G102" s="36" t="n"/>
      <c r="H102" s="36" t="n"/>
      <c r="I102" s="20" t="n"/>
    </row>
    <row r="103" ht="18" customHeight="1">
      <c r="A103" s="37" t="n"/>
      <c r="B103" s="22">
        <f>IF(A103="","",IFERROR(INT((A103-DATE(2026,4,27))/7)+1,""))</f>
        <v/>
      </c>
      <c r="C103" s="38" t="n"/>
      <c r="D103" s="38" t="n"/>
      <c r="E103" s="38" t="n"/>
      <c r="F103" s="38" t="n"/>
      <c r="G103" s="38" t="n"/>
      <c r="H103" s="38" t="n"/>
      <c r="I103" s="26" t="n"/>
    </row>
    <row r="104" ht="18" customHeight="1">
      <c r="A104" s="35" t="n"/>
      <c r="B104" s="16">
        <f>IF(A104="","",IFERROR(INT((A104-DATE(2026,4,27))/7)+1,""))</f>
        <v/>
      </c>
      <c r="C104" s="36" t="n"/>
      <c r="D104" s="36" t="n"/>
      <c r="E104" s="36" t="n"/>
      <c r="F104" s="36" t="n"/>
      <c r="G104" s="36" t="n"/>
      <c r="H104" s="36" t="n"/>
      <c r="I104" s="20" t="n"/>
    </row>
    <row r="105" ht="18" customHeight="1">
      <c r="A105" s="37" t="n"/>
      <c r="B105" s="22">
        <f>IF(A105="","",IFERROR(INT((A105-DATE(2026,4,27))/7)+1,""))</f>
        <v/>
      </c>
      <c r="C105" s="38" t="n"/>
      <c r="D105" s="38" t="n"/>
      <c r="E105" s="38" t="n"/>
      <c r="F105" s="38" t="n"/>
      <c r="G105" s="38" t="n"/>
      <c r="H105" s="38" t="n"/>
      <c r="I105" s="26" t="n"/>
    </row>
    <row r="106" ht="18" customHeight="1">
      <c r="A106" s="35" t="n"/>
      <c r="B106" s="16">
        <f>IF(A106="","",IFERROR(INT((A106-DATE(2026,4,27))/7)+1,""))</f>
        <v/>
      </c>
      <c r="C106" s="36" t="n"/>
      <c r="D106" s="36" t="n"/>
      <c r="E106" s="36" t="n"/>
      <c r="F106" s="36" t="n"/>
      <c r="G106" s="36" t="n"/>
      <c r="H106" s="36" t="n"/>
      <c r="I106" s="20" t="n"/>
    </row>
    <row r="107" ht="18" customHeight="1">
      <c r="A107" s="37" t="n"/>
      <c r="B107" s="22">
        <f>IF(A107="","",IFERROR(INT((A107-DATE(2026,4,27))/7)+1,""))</f>
        <v/>
      </c>
      <c r="C107" s="38" t="n"/>
      <c r="D107" s="38" t="n"/>
      <c r="E107" s="38" t="n"/>
      <c r="F107" s="38" t="n"/>
      <c r="G107" s="38" t="n"/>
      <c r="H107" s="38" t="n"/>
      <c r="I107" s="26" t="n"/>
    </row>
    <row r="108" ht="18" customHeight="1">
      <c r="A108" s="35" t="n"/>
      <c r="B108" s="16">
        <f>IF(A108="","",IFERROR(INT((A108-DATE(2026,4,27))/7)+1,""))</f>
        <v/>
      </c>
      <c r="C108" s="36" t="n"/>
      <c r="D108" s="36" t="n"/>
      <c r="E108" s="36" t="n"/>
      <c r="F108" s="36" t="n"/>
      <c r="G108" s="36" t="n"/>
      <c r="H108" s="36" t="n"/>
      <c r="I108" s="20" t="n"/>
    </row>
    <row r="109" ht="18" customHeight="1">
      <c r="A109" s="37" t="n"/>
      <c r="B109" s="22">
        <f>IF(A109="","",IFERROR(INT((A109-DATE(2026,4,27))/7)+1,""))</f>
        <v/>
      </c>
      <c r="C109" s="38" t="n"/>
      <c r="D109" s="38" t="n"/>
      <c r="E109" s="38" t="n"/>
      <c r="F109" s="38" t="n"/>
      <c r="G109" s="38" t="n"/>
      <c r="H109" s="38" t="n"/>
      <c r="I109" s="26" t="n"/>
    </row>
    <row r="110" ht="18" customHeight="1">
      <c r="A110" s="35" t="n"/>
      <c r="B110" s="16">
        <f>IF(A110="","",IFERROR(INT((A110-DATE(2026,4,27))/7)+1,""))</f>
        <v/>
      </c>
      <c r="C110" s="36" t="n"/>
      <c r="D110" s="36" t="n"/>
      <c r="E110" s="36" t="n"/>
      <c r="F110" s="36" t="n"/>
      <c r="G110" s="36" t="n"/>
      <c r="H110" s="36" t="n"/>
      <c r="I110" s="20" t="n"/>
    </row>
    <row r="111" ht="18" customHeight="1">
      <c r="A111" s="37" t="n"/>
      <c r="B111" s="22">
        <f>IF(A111="","",IFERROR(INT((A111-DATE(2026,4,27))/7)+1,""))</f>
        <v/>
      </c>
      <c r="C111" s="38" t="n"/>
      <c r="D111" s="38" t="n"/>
      <c r="E111" s="38" t="n"/>
      <c r="F111" s="38" t="n"/>
      <c r="G111" s="38" t="n"/>
      <c r="H111" s="38" t="n"/>
      <c r="I111" s="26" t="n"/>
    </row>
    <row r="112" ht="18" customHeight="1">
      <c r="A112" s="35" t="n"/>
      <c r="B112" s="16">
        <f>IF(A112="","",IFERROR(INT((A112-DATE(2026,4,27))/7)+1,""))</f>
        <v/>
      </c>
      <c r="C112" s="36" t="n"/>
      <c r="D112" s="36" t="n"/>
      <c r="E112" s="36" t="n"/>
      <c r="F112" s="36" t="n"/>
      <c r="G112" s="36" t="n"/>
      <c r="H112" s="36" t="n"/>
      <c r="I112" s="20" t="n"/>
    </row>
    <row r="113" ht="18" customHeight="1">
      <c r="A113" s="37" t="n"/>
      <c r="B113" s="22">
        <f>IF(A113="","",IFERROR(INT((A113-DATE(2026,4,27))/7)+1,""))</f>
        <v/>
      </c>
      <c r="C113" s="38" t="n"/>
      <c r="D113" s="38" t="n"/>
      <c r="E113" s="38" t="n"/>
      <c r="F113" s="38" t="n"/>
      <c r="G113" s="38" t="n"/>
      <c r="H113" s="38" t="n"/>
      <c r="I113" s="26" t="n"/>
    </row>
    <row r="114" ht="18" customHeight="1">
      <c r="A114" s="35" t="n"/>
      <c r="B114" s="16">
        <f>IF(A114="","",IFERROR(INT((A114-DATE(2026,4,27))/7)+1,""))</f>
        <v/>
      </c>
      <c r="C114" s="36" t="n"/>
      <c r="D114" s="36" t="n"/>
      <c r="E114" s="36" t="n"/>
      <c r="F114" s="36" t="n"/>
      <c r="G114" s="36" t="n"/>
      <c r="H114" s="36" t="n"/>
      <c r="I114" s="20" t="n"/>
    </row>
    <row r="115" ht="18" customHeight="1">
      <c r="A115" s="37" t="n"/>
      <c r="B115" s="22">
        <f>IF(A115="","",IFERROR(INT((A115-DATE(2026,4,27))/7)+1,""))</f>
        <v/>
      </c>
      <c r="C115" s="38" t="n"/>
      <c r="D115" s="38" t="n"/>
      <c r="E115" s="38" t="n"/>
      <c r="F115" s="38" t="n"/>
      <c r="G115" s="38" t="n"/>
      <c r="H115" s="38" t="n"/>
      <c r="I115" s="26" t="n"/>
    </row>
    <row r="116" ht="18" customHeight="1">
      <c r="A116" s="35" t="n"/>
      <c r="B116" s="16">
        <f>IF(A116="","",IFERROR(INT((A116-DATE(2026,4,27))/7)+1,""))</f>
        <v/>
      </c>
      <c r="C116" s="36" t="n"/>
      <c r="D116" s="36" t="n"/>
      <c r="E116" s="36" t="n"/>
      <c r="F116" s="36" t="n"/>
      <c r="G116" s="36" t="n"/>
      <c r="H116" s="36" t="n"/>
      <c r="I116" s="20" t="n"/>
    </row>
    <row r="117" ht="18" customHeight="1">
      <c r="A117" s="37" t="n"/>
      <c r="B117" s="22">
        <f>IF(A117="","",IFERROR(INT((A117-DATE(2026,4,27))/7)+1,""))</f>
        <v/>
      </c>
      <c r="C117" s="38" t="n"/>
      <c r="D117" s="38" t="n"/>
      <c r="E117" s="38" t="n"/>
      <c r="F117" s="38" t="n"/>
      <c r="G117" s="38" t="n"/>
      <c r="H117" s="38" t="n"/>
      <c r="I117" s="26" t="n"/>
    </row>
    <row r="118" ht="18" customHeight="1">
      <c r="A118" s="35" t="n"/>
      <c r="B118" s="16">
        <f>IF(A118="","",IFERROR(INT((A118-DATE(2026,4,27))/7)+1,""))</f>
        <v/>
      </c>
      <c r="C118" s="36" t="n"/>
      <c r="D118" s="36" t="n"/>
      <c r="E118" s="36" t="n"/>
      <c r="F118" s="36" t="n"/>
      <c r="G118" s="36" t="n"/>
      <c r="H118" s="36" t="n"/>
      <c r="I118" s="20" t="n"/>
    </row>
    <row r="119" ht="18" customHeight="1">
      <c r="A119" s="37" t="n"/>
      <c r="B119" s="22">
        <f>IF(A119="","",IFERROR(INT((A119-DATE(2026,4,27))/7)+1,""))</f>
        <v/>
      </c>
      <c r="C119" s="38" t="n"/>
      <c r="D119" s="38" t="n"/>
      <c r="E119" s="38" t="n"/>
      <c r="F119" s="38" t="n"/>
      <c r="G119" s="38" t="n"/>
      <c r="H119" s="38" t="n"/>
      <c r="I119" s="26" t="n"/>
    </row>
    <row r="120" ht="18" customHeight="1">
      <c r="A120" s="35" t="n"/>
      <c r="B120" s="16">
        <f>IF(A120="","",IFERROR(INT((A120-DATE(2026,4,27))/7)+1,""))</f>
        <v/>
      </c>
      <c r="C120" s="36" t="n"/>
      <c r="D120" s="36" t="n"/>
      <c r="E120" s="36" t="n"/>
      <c r="F120" s="36" t="n"/>
      <c r="G120" s="36" t="n"/>
      <c r="H120" s="36" t="n"/>
      <c r="I120" s="20" t="n"/>
    </row>
    <row r="121" ht="18" customHeight="1">
      <c r="A121" s="37" t="n"/>
      <c r="B121" s="22">
        <f>IF(A121="","",IFERROR(INT((A121-DATE(2026,4,27))/7)+1,""))</f>
        <v/>
      </c>
      <c r="C121" s="38" t="n"/>
      <c r="D121" s="38" t="n"/>
      <c r="E121" s="38" t="n"/>
      <c r="F121" s="38" t="n"/>
      <c r="G121" s="38" t="n"/>
      <c r="H121" s="38" t="n"/>
      <c r="I121" s="26" t="n"/>
    </row>
    <row r="122" ht="18" customHeight="1">
      <c r="A122" s="35" t="n"/>
      <c r="B122" s="16">
        <f>IF(A122="","",IFERROR(INT((A122-DATE(2026,4,27))/7)+1,""))</f>
        <v/>
      </c>
      <c r="C122" s="36" t="n"/>
      <c r="D122" s="36" t="n"/>
      <c r="E122" s="36" t="n"/>
      <c r="F122" s="36" t="n"/>
      <c r="G122" s="36" t="n"/>
      <c r="H122" s="36" t="n"/>
      <c r="I122" s="20" t="n"/>
    </row>
    <row r="123" ht="18" customHeight="1">
      <c r="A123" s="37" t="n"/>
      <c r="B123" s="22">
        <f>IF(A123="","",IFERROR(INT((A123-DATE(2026,4,27))/7)+1,""))</f>
        <v/>
      </c>
      <c r="C123" s="38" t="n"/>
      <c r="D123" s="38" t="n"/>
      <c r="E123" s="38" t="n"/>
      <c r="F123" s="38" t="n"/>
      <c r="G123" s="38" t="n"/>
      <c r="H123" s="38" t="n"/>
      <c r="I123" s="26" t="n"/>
    </row>
    <row r="124" ht="18" customHeight="1">
      <c r="A124" s="35" t="n"/>
      <c r="B124" s="16">
        <f>IF(A124="","",IFERROR(INT((A124-DATE(2026,4,27))/7)+1,""))</f>
        <v/>
      </c>
      <c r="C124" s="36" t="n"/>
      <c r="D124" s="36" t="n"/>
      <c r="E124" s="36" t="n"/>
      <c r="F124" s="36" t="n"/>
      <c r="G124" s="36" t="n"/>
      <c r="H124" s="36" t="n"/>
      <c r="I124" s="20" t="n"/>
    </row>
    <row r="125" ht="18" customHeight="1">
      <c r="A125" s="37" t="n"/>
      <c r="B125" s="22">
        <f>IF(A125="","",IFERROR(INT((A125-DATE(2026,4,27))/7)+1,""))</f>
        <v/>
      </c>
      <c r="C125" s="38" t="n"/>
      <c r="D125" s="38" t="n"/>
      <c r="E125" s="38" t="n"/>
      <c r="F125" s="38" t="n"/>
      <c r="G125" s="38" t="n"/>
      <c r="H125" s="38" t="n"/>
      <c r="I125" s="26" t="n"/>
    </row>
    <row r="126" ht="18" customHeight="1">
      <c r="A126" s="35" t="n"/>
      <c r="B126" s="16">
        <f>IF(A126="","",IFERROR(INT((A126-DATE(2026,4,27))/7)+1,""))</f>
        <v/>
      </c>
      <c r="C126" s="36" t="n"/>
      <c r="D126" s="36" t="n"/>
      <c r="E126" s="36" t="n"/>
      <c r="F126" s="36" t="n"/>
      <c r="G126" s="36" t="n"/>
      <c r="H126" s="36" t="n"/>
      <c r="I126" s="20" t="n"/>
    </row>
    <row r="127" ht="18" customHeight="1">
      <c r="A127" s="37" t="n"/>
      <c r="B127" s="22">
        <f>IF(A127="","",IFERROR(INT((A127-DATE(2026,4,27))/7)+1,""))</f>
        <v/>
      </c>
      <c r="C127" s="38" t="n"/>
      <c r="D127" s="38" t="n"/>
      <c r="E127" s="38" t="n"/>
      <c r="F127" s="38" t="n"/>
      <c r="G127" s="38" t="n"/>
      <c r="H127" s="38" t="n"/>
      <c r="I127" s="26" t="n"/>
    </row>
    <row r="128" ht="18" customHeight="1">
      <c r="A128" s="35" t="n"/>
      <c r="B128" s="16">
        <f>IF(A128="","",IFERROR(INT((A128-DATE(2026,4,27))/7)+1,""))</f>
        <v/>
      </c>
      <c r="C128" s="36" t="n"/>
      <c r="D128" s="36" t="n"/>
      <c r="E128" s="36" t="n"/>
      <c r="F128" s="36" t="n"/>
      <c r="G128" s="36" t="n"/>
      <c r="H128" s="36" t="n"/>
      <c r="I128" s="20" t="n"/>
    </row>
    <row r="129" ht="18" customHeight="1">
      <c r="A129" s="37" t="n"/>
      <c r="B129" s="22">
        <f>IF(A129="","",IFERROR(INT((A129-DATE(2026,4,27))/7)+1,""))</f>
        <v/>
      </c>
      <c r="C129" s="38" t="n"/>
      <c r="D129" s="38" t="n"/>
      <c r="E129" s="38" t="n"/>
      <c r="F129" s="38" t="n"/>
      <c r="G129" s="38" t="n"/>
      <c r="H129" s="38" t="n"/>
      <c r="I129" s="26" t="n"/>
    </row>
    <row r="130" ht="18" customHeight="1">
      <c r="A130" s="35" t="n"/>
      <c r="B130" s="16">
        <f>IF(A130="","",IFERROR(INT((A130-DATE(2026,4,27))/7)+1,""))</f>
        <v/>
      </c>
      <c r="C130" s="36" t="n"/>
      <c r="D130" s="36" t="n"/>
      <c r="E130" s="36" t="n"/>
      <c r="F130" s="36" t="n"/>
      <c r="G130" s="36" t="n"/>
      <c r="H130" s="36" t="n"/>
      <c r="I130" s="20" t="n"/>
    </row>
    <row r="131" ht="18" customHeight="1">
      <c r="A131" s="37" t="n"/>
      <c r="B131" s="22">
        <f>IF(A131="","",IFERROR(INT((A131-DATE(2026,4,27))/7)+1,""))</f>
        <v/>
      </c>
      <c r="C131" s="38" t="n"/>
      <c r="D131" s="38" t="n"/>
      <c r="E131" s="38" t="n"/>
      <c r="F131" s="38" t="n"/>
      <c r="G131" s="38" t="n"/>
      <c r="H131" s="38" t="n"/>
      <c r="I131" s="26" t="n"/>
    </row>
    <row r="132" ht="18" customHeight="1">
      <c r="A132" s="35" t="n"/>
      <c r="B132" s="16">
        <f>IF(A132="","",IFERROR(INT((A132-DATE(2026,4,27))/7)+1,""))</f>
        <v/>
      </c>
      <c r="C132" s="36" t="n"/>
      <c r="D132" s="36" t="n"/>
      <c r="E132" s="36" t="n"/>
      <c r="F132" s="36" t="n"/>
      <c r="G132" s="36" t="n"/>
      <c r="H132" s="36" t="n"/>
      <c r="I132" s="20" t="n"/>
    </row>
    <row r="133" ht="18" customHeight="1">
      <c r="A133" s="37" t="n"/>
      <c r="B133" s="22">
        <f>IF(A133="","",IFERROR(INT((A133-DATE(2026,4,27))/7)+1,""))</f>
        <v/>
      </c>
      <c r="C133" s="38" t="n"/>
      <c r="D133" s="38" t="n"/>
      <c r="E133" s="38" t="n"/>
      <c r="F133" s="38" t="n"/>
      <c r="G133" s="38" t="n"/>
      <c r="H133" s="38" t="n"/>
      <c r="I133" s="26" t="n"/>
    </row>
    <row r="134" ht="18" customHeight="1">
      <c r="A134" s="35" t="n"/>
      <c r="B134" s="16">
        <f>IF(A134="","",IFERROR(INT((A134-DATE(2026,4,27))/7)+1,""))</f>
        <v/>
      </c>
      <c r="C134" s="36" t="n"/>
      <c r="D134" s="36" t="n"/>
      <c r="E134" s="36" t="n"/>
      <c r="F134" s="36" t="n"/>
      <c r="G134" s="36" t="n"/>
      <c r="H134" s="36" t="n"/>
      <c r="I134" s="20" t="n"/>
    </row>
    <row r="135" ht="18" customHeight="1">
      <c r="A135" s="37" t="n"/>
      <c r="B135" s="22">
        <f>IF(A135="","",IFERROR(INT((A135-DATE(2026,4,27))/7)+1,""))</f>
        <v/>
      </c>
      <c r="C135" s="38" t="n"/>
      <c r="D135" s="38" t="n"/>
      <c r="E135" s="38" t="n"/>
      <c r="F135" s="38" t="n"/>
      <c r="G135" s="38" t="n"/>
      <c r="H135" s="38" t="n"/>
      <c r="I135" s="26" t="n"/>
    </row>
    <row r="136" ht="18" customHeight="1">
      <c r="A136" s="35" t="n"/>
      <c r="B136" s="16">
        <f>IF(A136="","",IFERROR(INT((A136-DATE(2026,4,27))/7)+1,""))</f>
        <v/>
      </c>
      <c r="C136" s="36" t="n"/>
      <c r="D136" s="36" t="n"/>
      <c r="E136" s="36" t="n"/>
      <c r="F136" s="36" t="n"/>
      <c r="G136" s="36" t="n"/>
      <c r="H136" s="36" t="n"/>
      <c r="I136" s="20" t="n"/>
    </row>
    <row r="137" ht="18" customHeight="1">
      <c r="A137" s="37" t="n"/>
      <c r="B137" s="22">
        <f>IF(A137="","",IFERROR(INT((A137-DATE(2026,4,27))/7)+1,""))</f>
        <v/>
      </c>
      <c r="C137" s="38" t="n"/>
      <c r="D137" s="38" t="n"/>
      <c r="E137" s="38" t="n"/>
      <c r="F137" s="38" t="n"/>
      <c r="G137" s="38" t="n"/>
      <c r="H137" s="38" t="n"/>
      <c r="I137" s="26" t="n"/>
    </row>
    <row r="138" ht="18" customHeight="1">
      <c r="A138" s="35" t="n"/>
      <c r="B138" s="16">
        <f>IF(A138="","",IFERROR(INT((A138-DATE(2026,4,27))/7)+1,""))</f>
        <v/>
      </c>
      <c r="C138" s="36" t="n"/>
      <c r="D138" s="36" t="n"/>
      <c r="E138" s="36" t="n"/>
      <c r="F138" s="36" t="n"/>
      <c r="G138" s="36" t="n"/>
      <c r="H138" s="36" t="n"/>
      <c r="I138" s="20" t="n"/>
    </row>
    <row r="139" ht="18" customHeight="1">
      <c r="A139" s="37" t="n"/>
      <c r="B139" s="22">
        <f>IF(A139="","",IFERROR(INT((A139-DATE(2026,4,27))/7)+1,""))</f>
        <v/>
      </c>
      <c r="C139" s="38" t="n"/>
      <c r="D139" s="38" t="n"/>
      <c r="E139" s="38" t="n"/>
      <c r="F139" s="38" t="n"/>
      <c r="G139" s="38" t="n"/>
      <c r="H139" s="38" t="n"/>
      <c r="I139" s="26" t="n"/>
    </row>
    <row r="140" ht="18" customHeight="1">
      <c r="A140" s="35" t="n"/>
      <c r="B140" s="16">
        <f>IF(A140="","",IFERROR(INT((A140-DATE(2026,4,27))/7)+1,""))</f>
        <v/>
      </c>
      <c r="C140" s="36" t="n"/>
      <c r="D140" s="36" t="n"/>
      <c r="E140" s="36" t="n"/>
      <c r="F140" s="36" t="n"/>
      <c r="G140" s="36" t="n"/>
      <c r="H140" s="36" t="n"/>
      <c r="I140" s="20" t="n"/>
    </row>
    <row r="141" ht="18" customHeight="1">
      <c r="A141" s="37" t="n"/>
      <c r="B141" s="22">
        <f>IF(A141="","",IFERROR(INT((A141-DATE(2026,4,27))/7)+1,""))</f>
        <v/>
      </c>
      <c r="C141" s="38" t="n"/>
      <c r="D141" s="38" t="n"/>
      <c r="E141" s="38" t="n"/>
      <c r="F141" s="38" t="n"/>
      <c r="G141" s="38" t="n"/>
      <c r="H141" s="38" t="n"/>
      <c r="I141" s="26" t="n"/>
    </row>
    <row r="142" ht="18" customHeight="1">
      <c r="A142" s="35" t="n"/>
      <c r="B142" s="16">
        <f>IF(A142="","",IFERROR(INT((A142-DATE(2026,4,27))/7)+1,""))</f>
        <v/>
      </c>
      <c r="C142" s="36" t="n"/>
      <c r="D142" s="36" t="n"/>
      <c r="E142" s="36" t="n"/>
      <c r="F142" s="36" t="n"/>
      <c r="G142" s="36" t="n"/>
      <c r="H142" s="36" t="n"/>
      <c r="I142" s="20" t="n"/>
    </row>
    <row r="143" ht="18" customHeight="1">
      <c r="A143" s="37" t="n"/>
      <c r="B143" s="22">
        <f>IF(A143="","",IFERROR(INT((A143-DATE(2026,4,27))/7)+1,""))</f>
        <v/>
      </c>
      <c r="C143" s="38" t="n"/>
      <c r="D143" s="38" t="n"/>
      <c r="E143" s="38" t="n"/>
      <c r="F143" s="38" t="n"/>
      <c r="G143" s="38" t="n"/>
      <c r="H143" s="38" t="n"/>
      <c r="I143" s="26" t="n"/>
    </row>
    <row r="144" ht="18" customHeight="1">
      <c r="A144" s="35" t="n"/>
      <c r="B144" s="16">
        <f>IF(A144="","",IFERROR(INT((A144-DATE(2026,4,27))/7)+1,""))</f>
        <v/>
      </c>
      <c r="C144" s="36" t="n"/>
      <c r="D144" s="36" t="n"/>
      <c r="E144" s="36" t="n"/>
      <c r="F144" s="36" t="n"/>
      <c r="G144" s="36" t="n"/>
      <c r="H144" s="36" t="n"/>
      <c r="I144" s="20" t="n"/>
    </row>
    <row r="145" ht="18" customHeight="1">
      <c r="A145" s="37" t="n"/>
      <c r="B145" s="22">
        <f>IF(A145="","",IFERROR(INT((A145-DATE(2026,4,27))/7)+1,""))</f>
        <v/>
      </c>
      <c r="C145" s="38" t="n"/>
      <c r="D145" s="38" t="n"/>
      <c r="E145" s="38" t="n"/>
      <c r="F145" s="38" t="n"/>
      <c r="G145" s="38" t="n"/>
      <c r="H145" s="38" t="n"/>
      <c r="I145" s="26" t="n"/>
    </row>
    <row r="146" ht="18" customHeight="1">
      <c r="A146" s="35" t="n"/>
      <c r="B146" s="16">
        <f>IF(A146="","",IFERROR(INT((A146-DATE(2026,4,27))/7)+1,""))</f>
        <v/>
      </c>
      <c r="C146" s="36" t="n"/>
      <c r="D146" s="36" t="n"/>
      <c r="E146" s="36" t="n"/>
      <c r="F146" s="36" t="n"/>
      <c r="G146" s="36" t="n"/>
      <c r="H146" s="36" t="n"/>
      <c r="I146" s="20" t="n"/>
    </row>
    <row r="147" ht="18" customHeight="1">
      <c r="A147" s="37" t="n"/>
      <c r="B147" s="22">
        <f>IF(A147="","",IFERROR(INT((A147-DATE(2026,4,27))/7)+1,""))</f>
        <v/>
      </c>
      <c r="C147" s="38" t="n"/>
      <c r="D147" s="38" t="n"/>
      <c r="E147" s="38" t="n"/>
      <c r="F147" s="38" t="n"/>
      <c r="G147" s="38" t="n"/>
      <c r="H147" s="38" t="n"/>
      <c r="I147" s="26" t="n"/>
    </row>
    <row r="148" ht="18" customHeight="1">
      <c r="A148" s="35" t="n"/>
      <c r="B148" s="16">
        <f>IF(A148="","",IFERROR(INT((A148-DATE(2026,4,27))/7)+1,""))</f>
        <v/>
      </c>
      <c r="C148" s="36" t="n"/>
      <c r="D148" s="36" t="n"/>
      <c r="E148" s="36" t="n"/>
      <c r="F148" s="36" t="n"/>
      <c r="G148" s="36" t="n"/>
      <c r="H148" s="36" t="n"/>
      <c r="I148" s="20" t="n"/>
    </row>
    <row r="149" ht="18" customHeight="1">
      <c r="A149" s="37" t="n"/>
      <c r="B149" s="22">
        <f>IF(A149="","",IFERROR(INT((A149-DATE(2026,4,27))/7)+1,""))</f>
        <v/>
      </c>
      <c r="C149" s="38" t="n"/>
      <c r="D149" s="38" t="n"/>
      <c r="E149" s="38" t="n"/>
      <c r="F149" s="38" t="n"/>
      <c r="G149" s="38" t="n"/>
      <c r="H149" s="38" t="n"/>
      <c r="I149" s="26" t="n"/>
    </row>
    <row r="150" ht="18" customHeight="1">
      <c r="A150" s="35" t="n"/>
      <c r="B150" s="16">
        <f>IF(A150="","",IFERROR(INT((A150-DATE(2026,4,27))/7)+1,""))</f>
        <v/>
      </c>
      <c r="C150" s="36" t="n"/>
      <c r="D150" s="36" t="n"/>
      <c r="E150" s="36" t="n"/>
      <c r="F150" s="36" t="n"/>
      <c r="G150" s="36" t="n"/>
      <c r="H150" s="36" t="n"/>
      <c r="I150" s="20" t="n"/>
    </row>
    <row r="151" ht="18" customHeight="1">
      <c r="A151" s="37" t="n"/>
      <c r="B151" s="22">
        <f>IF(A151="","",IFERROR(INT((A151-DATE(2026,4,27))/7)+1,""))</f>
        <v/>
      </c>
      <c r="C151" s="38" t="n"/>
      <c r="D151" s="38" t="n"/>
      <c r="E151" s="38" t="n"/>
      <c r="F151" s="38" t="n"/>
      <c r="G151" s="38" t="n"/>
      <c r="H151" s="38" t="n"/>
      <c r="I151" s="26" t="n"/>
    </row>
    <row r="152" ht="18" customHeight="1">
      <c r="A152" s="35" t="n"/>
      <c r="B152" s="16">
        <f>IF(A152="","",IFERROR(INT((A152-DATE(2026,4,27))/7)+1,""))</f>
        <v/>
      </c>
      <c r="C152" s="36" t="n"/>
      <c r="D152" s="36" t="n"/>
      <c r="E152" s="36" t="n"/>
      <c r="F152" s="36" t="n"/>
      <c r="G152" s="36" t="n"/>
      <c r="H152" s="36" t="n"/>
      <c r="I152" s="20" t="n"/>
    </row>
    <row r="153" ht="18" customHeight="1">
      <c r="A153" s="37" t="n"/>
      <c r="B153" s="22">
        <f>IF(A153="","",IFERROR(INT((A153-DATE(2026,4,27))/7)+1,""))</f>
        <v/>
      </c>
      <c r="C153" s="38" t="n"/>
      <c r="D153" s="38" t="n"/>
      <c r="E153" s="38" t="n"/>
      <c r="F153" s="38" t="n"/>
      <c r="G153" s="38" t="n"/>
      <c r="H153" s="38" t="n"/>
      <c r="I153" s="26" t="n"/>
    </row>
    <row r="154" ht="18" customHeight="1">
      <c r="A154" s="35" t="n"/>
      <c r="B154" s="16">
        <f>IF(A154="","",IFERROR(INT((A154-DATE(2026,4,27))/7)+1,""))</f>
        <v/>
      </c>
      <c r="C154" s="36" t="n"/>
      <c r="D154" s="36" t="n"/>
      <c r="E154" s="36" t="n"/>
      <c r="F154" s="36" t="n"/>
      <c r="G154" s="36" t="n"/>
      <c r="H154" s="36" t="n"/>
      <c r="I154" s="20" t="n"/>
    </row>
    <row r="155" ht="18" customHeight="1">
      <c r="A155" s="37" t="n"/>
      <c r="B155" s="22">
        <f>IF(A155="","",IFERROR(INT((A155-DATE(2026,4,27))/7)+1,""))</f>
        <v/>
      </c>
      <c r="C155" s="38" t="n"/>
      <c r="D155" s="38" t="n"/>
      <c r="E155" s="38" t="n"/>
      <c r="F155" s="38" t="n"/>
      <c r="G155" s="38" t="n"/>
      <c r="H155" s="38" t="n"/>
      <c r="I155" s="26" t="n"/>
    </row>
    <row r="156" ht="18" customHeight="1">
      <c r="A156" s="35" t="n"/>
      <c r="B156" s="16">
        <f>IF(A156="","",IFERROR(INT((A156-DATE(2026,4,27))/7)+1,""))</f>
        <v/>
      </c>
      <c r="C156" s="36" t="n"/>
      <c r="D156" s="36" t="n"/>
      <c r="E156" s="36" t="n"/>
      <c r="F156" s="36" t="n"/>
      <c r="G156" s="36" t="n"/>
      <c r="H156" s="36" t="n"/>
      <c r="I156" s="20" t="n"/>
    </row>
    <row r="157" ht="18" customHeight="1">
      <c r="A157" s="37" t="n"/>
      <c r="B157" s="22">
        <f>IF(A157="","",IFERROR(INT((A157-DATE(2026,4,27))/7)+1,""))</f>
        <v/>
      </c>
      <c r="C157" s="38" t="n"/>
      <c r="D157" s="38" t="n"/>
      <c r="E157" s="38" t="n"/>
      <c r="F157" s="38" t="n"/>
      <c r="G157" s="38" t="n"/>
      <c r="H157" s="38" t="n"/>
      <c r="I157" s="26" t="n"/>
    </row>
    <row r="158" ht="18" customHeight="1">
      <c r="A158" s="35" t="n"/>
      <c r="B158" s="16">
        <f>IF(A158="","",IFERROR(INT((A158-DATE(2026,4,27))/7)+1,""))</f>
        <v/>
      </c>
      <c r="C158" s="36" t="n"/>
      <c r="D158" s="36" t="n"/>
      <c r="E158" s="36" t="n"/>
      <c r="F158" s="36" t="n"/>
      <c r="G158" s="36" t="n"/>
      <c r="H158" s="36" t="n"/>
      <c r="I158" s="20" t="n"/>
    </row>
    <row r="159" ht="18" customHeight="1">
      <c r="A159" s="37" t="n"/>
      <c r="B159" s="22">
        <f>IF(A159="","",IFERROR(INT((A159-DATE(2026,4,27))/7)+1,""))</f>
        <v/>
      </c>
      <c r="C159" s="38" t="n"/>
      <c r="D159" s="38" t="n"/>
      <c r="E159" s="38" t="n"/>
      <c r="F159" s="38" t="n"/>
      <c r="G159" s="38" t="n"/>
      <c r="H159" s="38" t="n"/>
      <c r="I159" s="26" t="n"/>
    </row>
    <row r="160" ht="18" customHeight="1">
      <c r="A160" s="35" t="n"/>
      <c r="B160" s="16">
        <f>IF(A160="","",IFERROR(INT((A160-DATE(2026,4,27))/7)+1,""))</f>
        <v/>
      </c>
      <c r="C160" s="36" t="n"/>
      <c r="D160" s="36" t="n"/>
      <c r="E160" s="36" t="n"/>
      <c r="F160" s="36" t="n"/>
      <c r="G160" s="36" t="n"/>
      <c r="H160" s="36" t="n"/>
      <c r="I160" s="20" t="n"/>
    </row>
    <row r="161" ht="18" customHeight="1">
      <c r="A161" s="37" t="n"/>
      <c r="B161" s="22">
        <f>IF(A161="","",IFERROR(INT((A161-DATE(2026,4,27))/7)+1,""))</f>
        <v/>
      </c>
      <c r="C161" s="38" t="n"/>
      <c r="D161" s="38" t="n"/>
      <c r="E161" s="38" t="n"/>
      <c r="F161" s="38" t="n"/>
      <c r="G161" s="38" t="n"/>
      <c r="H161" s="38" t="n"/>
      <c r="I161" s="26" t="n"/>
    </row>
    <row r="162" ht="18" customHeight="1">
      <c r="A162" s="35" t="n"/>
      <c r="B162" s="16">
        <f>IF(A162="","",IFERROR(INT((A162-DATE(2026,4,27))/7)+1,""))</f>
        <v/>
      </c>
      <c r="C162" s="36" t="n"/>
      <c r="D162" s="36" t="n"/>
      <c r="E162" s="36" t="n"/>
      <c r="F162" s="36" t="n"/>
      <c r="G162" s="36" t="n"/>
      <c r="H162" s="36" t="n"/>
      <c r="I162" s="20" t="n"/>
    </row>
    <row r="163" ht="18" customHeight="1">
      <c r="A163" s="37" t="n"/>
      <c r="B163" s="22">
        <f>IF(A163="","",IFERROR(INT((A163-DATE(2026,4,27))/7)+1,""))</f>
        <v/>
      </c>
      <c r="C163" s="38" t="n"/>
      <c r="D163" s="38" t="n"/>
      <c r="E163" s="38" t="n"/>
      <c r="F163" s="38" t="n"/>
      <c r="G163" s="38" t="n"/>
      <c r="H163" s="38" t="n"/>
      <c r="I163" s="26" t="n"/>
    </row>
    <row r="164" ht="18" customHeight="1">
      <c r="A164" s="35" t="n"/>
      <c r="B164" s="16">
        <f>IF(A164="","",IFERROR(INT((A164-DATE(2026,4,27))/7)+1,""))</f>
        <v/>
      </c>
      <c r="C164" s="36" t="n"/>
      <c r="D164" s="36" t="n"/>
      <c r="E164" s="36" t="n"/>
      <c r="F164" s="36" t="n"/>
      <c r="G164" s="36" t="n"/>
      <c r="H164" s="36" t="n"/>
      <c r="I164" s="20" t="n"/>
    </row>
    <row r="165" ht="18" customHeight="1">
      <c r="A165" s="37" t="n"/>
      <c r="B165" s="22">
        <f>IF(A165="","",IFERROR(INT((A165-DATE(2026,4,27))/7)+1,""))</f>
        <v/>
      </c>
      <c r="C165" s="38" t="n"/>
      <c r="D165" s="38" t="n"/>
      <c r="E165" s="38" t="n"/>
      <c r="F165" s="38" t="n"/>
      <c r="G165" s="38" t="n"/>
      <c r="H165" s="38" t="n"/>
      <c r="I165" s="26" t="n"/>
    </row>
    <row r="166" ht="18" customHeight="1">
      <c r="A166" s="35" t="n"/>
      <c r="B166" s="16">
        <f>IF(A166="","",IFERROR(INT((A166-DATE(2026,4,27))/7)+1,""))</f>
        <v/>
      </c>
      <c r="C166" s="36" t="n"/>
      <c r="D166" s="36" t="n"/>
      <c r="E166" s="36" t="n"/>
      <c r="F166" s="36" t="n"/>
      <c r="G166" s="36" t="n"/>
      <c r="H166" s="36" t="n"/>
      <c r="I166" s="20" t="n"/>
    </row>
    <row r="167" ht="18" customHeight="1">
      <c r="A167" s="37" t="n"/>
      <c r="B167" s="22">
        <f>IF(A167="","",IFERROR(INT((A167-DATE(2026,4,27))/7)+1,""))</f>
        <v/>
      </c>
      <c r="C167" s="38" t="n"/>
      <c r="D167" s="38" t="n"/>
      <c r="E167" s="38" t="n"/>
      <c r="F167" s="38" t="n"/>
      <c r="G167" s="38" t="n"/>
      <c r="H167" s="38" t="n"/>
      <c r="I167" s="26" t="n"/>
    </row>
    <row r="168" ht="18" customHeight="1">
      <c r="A168" s="35" t="n"/>
      <c r="B168" s="16">
        <f>IF(A168="","",IFERROR(INT((A168-DATE(2026,4,27))/7)+1,""))</f>
        <v/>
      </c>
      <c r="C168" s="36" t="n"/>
      <c r="D168" s="36" t="n"/>
      <c r="E168" s="36" t="n"/>
      <c r="F168" s="36" t="n"/>
      <c r="G168" s="36" t="n"/>
      <c r="H168" s="36" t="n"/>
      <c r="I168" s="20" t="n"/>
    </row>
    <row r="169" ht="18" customHeight="1">
      <c r="A169" s="37" t="n"/>
      <c r="B169" s="22">
        <f>IF(A169="","",IFERROR(INT((A169-DATE(2026,4,27))/7)+1,""))</f>
        <v/>
      </c>
      <c r="C169" s="38" t="n"/>
      <c r="D169" s="38" t="n"/>
      <c r="E169" s="38" t="n"/>
      <c r="F169" s="38" t="n"/>
      <c r="G169" s="38" t="n"/>
      <c r="H169" s="38" t="n"/>
      <c r="I169" s="26" t="n"/>
    </row>
    <row r="170" ht="18" customHeight="1">
      <c r="A170" s="35" t="n"/>
      <c r="B170" s="16">
        <f>IF(A170="","",IFERROR(INT((A170-DATE(2026,4,27))/7)+1,""))</f>
        <v/>
      </c>
      <c r="C170" s="36" t="n"/>
      <c r="D170" s="36" t="n"/>
      <c r="E170" s="36" t="n"/>
      <c r="F170" s="36" t="n"/>
      <c r="G170" s="36" t="n"/>
      <c r="H170" s="36" t="n"/>
      <c r="I170" s="20" t="n"/>
    </row>
    <row r="171" ht="18" customHeight="1">
      <c r="A171" s="37" t="n"/>
      <c r="B171" s="22">
        <f>IF(A171="","",IFERROR(INT((A171-DATE(2026,4,27))/7)+1,""))</f>
        <v/>
      </c>
      <c r="C171" s="38" t="n"/>
      <c r="D171" s="38" t="n"/>
      <c r="E171" s="38" t="n"/>
      <c r="F171" s="38" t="n"/>
      <c r="G171" s="38" t="n"/>
      <c r="H171" s="38" t="n"/>
      <c r="I171" s="26" t="n"/>
    </row>
    <row r="172" ht="18" customHeight="1">
      <c r="A172" s="35" t="n"/>
      <c r="B172" s="16">
        <f>IF(A172="","",IFERROR(INT((A172-DATE(2026,4,27))/7)+1,""))</f>
        <v/>
      </c>
      <c r="C172" s="36" t="n"/>
      <c r="D172" s="36" t="n"/>
      <c r="E172" s="36" t="n"/>
      <c r="F172" s="36" t="n"/>
      <c r="G172" s="36" t="n"/>
      <c r="H172" s="36" t="n"/>
      <c r="I172" s="20" t="n"/>
    </row>
    <row r="173" ht="18" customHeight="1">
      <c r="A173" s="37" t="n"/>
      <c r="B173" s="22">
        <f>IF(A173="","",IFERROR(INT((A173-DATE(2026,4,27))/7)+1,""))</f>
        <v/>
      </c>
      <c r="C173" s="38" t="n"/>
      <c r="D173" s="38" t="n"/>
      <c r="E173" s="38" t="n"/>
      <c r="F173" s="38" t="n"/>
      <c r="G173" s="38" t="n"/>
      <c r="H173" s="38" t="n"/>
      <c r="I173" s="26" t="n"/>
    </row>
    <row r="174" ht="18" customHeight="1">
      <c r="A174" s="35" t="n"/>
      <c r="B174" s="16">
        <f>IF(A174="","",IFERROR(INT((A174-DATE(2026,4,27))/7)+1,""))</f>
        <v/>
      </c>
      <c r="C174" s="36" t="n"/>
      <c r="D174" s="36" t="n"/>
      <c r="E174" s="36" t="n"/>
      <c r="F174" s="36" t="n"/>
      <c r="G174" s="36" t="n"/>
      <c r="H174" s="36" t="n"/>
      <c r="I174" s="20" t="n"/>
    </row>
    <row r="175" ht="18" customHeight="1">
      <c r="A175" s="37" t="n"/>
      <c r="B175" s="22">
        <f>IF(A175="","",IFERROR(INT((A175-DATE(2026,4,27))/7)+1,""))</f>
        <v/>
      </c>
      <c r="C175" s="38" t="n"/>
      <c r="D175" s="38" t="n"/>
      <c r="E175" s="38" t="n"/>
      <c r="F175" s="38" t="n"/>
      <c r="G175" s="38" t="n"/>
      <c r="H175" s="38" t="n"/>
      <c r="I175" s="26" t="n"/>
    </row>
    <row r="176" ht="18" customHeight="1">
      <c r="A176" s="35" t="n"/>
      <c r="B176" s="16">
        <f>IF(A176="","",IFERROR(INT((A176-DATE(2026,4,27))/7)+1,""))</f>
        <v/>
      </c>
      <c r="C176" s="36" t="n"/>
      <c r="D176" s="36" t="n"/>
      <c r="E176" s="36" t="n"/>
      <c r="F176" s="36" t="n"/>
      <c r="G176" s="36" t="n"/>
      <c r="H176" s="36" t="n"/>
      <c r="I176" s="20" t="n"/>
    </row>
    <row r="177" ht="18" customHeight="1">
      <c r="A177" s="37" t="n"/>
      <c r="B177" s="22">
        <f>IF(A177="","",IFERROR(INT((A177-DATE(2026,4,27))/7)+1,""))</f>
        <v/>
      </c>
      <c r="C177" s="38" t="n"/>
      <c r="D177" s="38" t="n"/>
      <c r="E177" s="38" t="n"/>
      <c r="F177" s="38" t="n"/>
      <c r="G177" s="38" t="n"/>
      <c r="H177" s="38" t="n"/>
      <c r="I177" s="26" t="n"/>
    </row>
    <row r="178" ht="18" customHeight="1">
      <c r="A178" s="35" t="n"/>
      <c r="B178" s="16">
        <f>IF(A178="","",IFERROR(INT((A178-DATE(2026,4,27))/7)+1,""))</f>
        <v/>
      </c>
      <c r="C178" s="36" t="n"/>
      <c r="D178" s="36" t="n"/>
      <c r="E178" s="36" t="n"/>
      <c r="F178" s="36" t="n"/>
      <c r="G178" s="36" t="n"/>
      <c r="H178" s="36" t="n"/>
      <c r="I178" s="20" t="n"/>
    </row>
    <row r="179" ht="18" customHeight="1">
      <c r="A179" s="37" t="n"/>
      <c r="B179" s="22">
        <f>IF(A179="","",IFERROR(INT((A179-DATE(2026,4,27))/7)+1,""))</f>
        <v/>
      </c>
      <c r="C179" s="38" t="n"/>
      <c r="D179" s="38" t="n"/>
      <c r="E179" s="38" t="n"/>
      <c r="F179" s="38" t="n"/>
      <c r="G179" s="38" t="n"/>
      <c r="H179" s="38" t="n"/>
      <c r="I179" s="26" t="n"/>
    </row>
    <row r="180" ht="18" customHeight="1">
      <c r="A180" s="35" t="n"/>
      <c r="B180" s="16">
        <f>IF(A180="","",IFERROR(INT((A180-DATE(2026,4,27))/7)+1,""))</f>
        <v/>
      </c>
      <c r="C180" s="36" t="n"/>
      <c r="D180" s="36" t="n"/>
      <c r="E180" s="36" t="n"/>
      <c r="F180" s="36" t="n"/>
      <c r="G180" s="36" t="n"/>
      <c r="H180" s="36" t="n"/>
      <c r="I180" s="20" t="n"/>
    </row>
    <row r="181" ht="18" customHeight="1">
      <c r="A181" s="37" t="n"/>
      <c r="B181" s="22">
        <f>IF(A181="","",IFERROR(INT((A181-DATE(2026,4,27))/7)+1,""))</f>
        <v/>
      </c>
      <c r="C181" s="38" t="n"/>
      <c r="D181" s="38" t="n"/>
      <c r="E181" s="38" t="n"/>
      <c r="F181" s="38" t="n"/>
      <c r="G181" s="38" t="n"/>
      <c r="H181" s="38" t="n"/>
      <c r="I181" s="26" t="n"/>
    </row>
    <row r="182" ht="18" customHeight="1">
      <c r="A182" s="35" t="n"/>
      <c r="B182" s="16">
        <f>IF(A182="","",IFERROR(INT((A182-DATE(2026,4,27))/7)+1,""))</f>
        <v/>
      </c>
      <c r="C182" s="36" t="n"/>
      <c r="D182" s="36" t="n"/>
      <c r="E182" s="36" t="n"/>
      <c r="F182" s="36" t="n"/>
      <c r="G182" s="36" t="n"/>
      <c r="H182" s="36" t="n"/>
      <c r="I182" s="20" t="n"/>
    </row>
    <row r="183" ht="18" customHeight="1">
      <c r="A183" s="37" t="n"/>
      <c r="B183" s="22">
        <f>IF(A183="","",IFERROR(INT((A183-DATE(2026,4,27))/7)+1,""))</f>
        <v/>
      </c>
      <c r="C183" s="38" t="n"/>
      <c r="D183" s="38" t="n"/>
      <c r="E183" s="38" t="n"/>
      <c r="F183" s="38" t="n"/>
      <c r="G183" s="38" t="n"/>
      <c r="H183" s="38" t="n"/>
      <c r="I183" s="26" t="n"/>
    </row>
    <row r="184" ht="18" customHeight="1">
      <c r="A184" s="35" t="n"/>
      <c r="B184" s="16">
        <f>IF(A184="","",IFERROR(INT((A184-DATE(2026,4,27))/7)+1,""))</f>
        <v/>
      </c>
      <c r="C184" s="36" t="n"/>
      <c r="D184" s="36" t="n"/>
      <c r="E184" s="36" t="n"/>
      <c r="F184" s="36" t="n"/>
      <c r="G184" s="36" t="n"/>
      <c r="H184" s="36" t="n"/>
      <c r="I184" s="20" t="n"/>
    </row>
    <row r="185" ht="18" customHeight="1">
      <c r="A185" s="37" t="n"/>
      <c r="B185" s="22">
        <f>IF(A185="","",IFERROR(INT((A185-DATE(2026,4,27))/7)+1,""))</f>
        <v/>
      </c>
      <c r="C185" s="38" t="n"/>
      <c r="D185" s="38" t="n"/>
      <c r="E185" s="38" t="n"/>
      <c r="F185" s="38" t="n"/>
      <c r="G185" s="38" t="n"/>
      <c r="H185" s="38" t="n"/>
      <c r="I185" s="26" t="n"/>
    </row>
    <row r="186" ht="18" customHeight="1">
      <c r="A186" s="35" t="n"/>
      <c r="B186" s="16">
        <f>IF(A186="","",IFERROR(INT((A186-DATE(2026,4,27))/7)+1,""))</f>
        <v/>
      </c>
      <c r="C186" s="36" t="n"/>
      <c r="D186" s="36" t="n"/>
      <c r="E186" s="36" t="n"/>
      <c r="F186" s="36" t="n"/>
      <c r="G186" s="36" t="n"/>
      <c r="H186" s="36" t="n"/>
      <c r="I186" s="20" t="n"/>
    </row>
    <row r="187" ht="18" customHeight="1">
      <c r="A187" s="37" t="n"/>
      <c r="B187" s="22">
        <f>IF(A187="","",IFERROR(INT((A187-DATE(2026,4,27))/7)+1,""))</f>
        <v/>
      </c>
      <c r="C187" s="38" t="n"/>
      <c r="D187" s="38" t="n"/>
      <c r="E187" s="38" t="n"/>
      <c r="F187" s="38" t="n"/>
      <c r="G187" s="38" t="n"/>
      <c r="H187" s="38" t="n"/>
      <c r="I187" s="26" t="n"/>
    </row>
    <row r="188" ht="18" customHeight="1">
      <c r="A188" s="35" t="n"/>
      <c r="B188" s="16">
        <f>IF(A188="","",IFERROR(INT((A188-DATE(2026,4,27))/7)+1,""))</f>
        <v/>
      </c>
      <c r="C188" s="36" t="n"/>
      <c r="D188" s="36" t="n"/>
      <c r="E188" s="36" t="n"/>
      <c r="F188" s="36" t="n"/>
      <c r="G188" s="36" t="n"/>
      <c r="H188" s="36" t="n"/>
      <c r="I188" s="20" t="n"/>
    </row>
    <row r="189" ht="18" customHeight="1">
      <c r="A189" s="37" t="n"/>
      <c r="B189" s="22">
        <f>IF(A189="","",IFERROR(INT((A189-DATE(2026,4,27))/7)+1,""))</f>
        <v/>
      </c>
      <c r="C189" s="38" t="n"/>
      <c r="D189" s="38" t="n"/>
      <c r="E189" s="38" t="n"/>
      <c r="F189" s="38" t="n"/>
      <c r="G189" s="38" t="n"/>
      <c r="H189" s="38" t="n"/>
      <c r="I189" s="26" t="n"/>
    </row>
    <row r="190" ht="18" customHeight="1">
      <c r="A190" s="35" t="n"/>
      <c r="B190" s="16">
        <f>IF(A190="","",IFERROR(INT((A190-DATE(2026,4,27))/7)+1,""))</f>
        <v/>
      </c>
      <c r="C190" s="36" t="n"/>
      <c r="D190" s="36" t="n"/>
      <c r="E190" s="36" t="n"/>
      <c r="F190" s="36" t="n"/>
      <c r="G190" s="36" t="n"/>
      <c r="H190" s="36" t="n"/>
      <c r="I190" s="20" t="n"/>
    </row>
    <row r="191" ht="18" customHeight="1">
      <c r="A191" s="37" t="n"/>
      <c r="B191" s="22">
        <f>IF(A191="","",IFERROR(INT((A191-DATE(2026,4,27))/7)+1,""))</f>
        <v/>
      </c>
      <c r="C191" s="38" t="n"/>
      <c r="D191" s="38" t="n"/>
      <c r="E191" s="38" t="n"/>
      <c r="F191" s="38" t="n"/>
      <c r="G191" s="38" t="n"/>
      <c r="H191" s="38" t="n"/>
      <c r="I191" s="26" t="n"/>
    </row>
    <row r="192" ht="18" customHeight="1">
      <c r="A192" s="35" t="n"/>
      <c r="B192" s="16">
        <f>IF(A192="","",IFERROR(INT((A192-DATE(2026,4,27))/7)+1,""))</f>
        <v/>
      </c>
      <c r="C192" s="36" t="n"/>
      <c r="D192" s="36" t="n"/>
      <c r="E192" s="36" t="n"/>
      <c r="F192" s="36" t="n"/>
      <c r="G192" s="36" t="n"/>
      <c r="H192" s="36" t="n"/>
      <c r="I192" s="20" t="n"/>
    </row>
    <row r="193" ht="18" customHeight="1">
      <c r="A193" s="37" t="n"/>
      <c r="B193" s="22">
        <f>IF(A193="","",IFERROR(INT((A193-DATE(2026,4,27))/7)+1,""))</f>
        <v/>
      </c>
      <c r="C193" s="38" t="n"/>
      <c r="D193" s="38" t="n"/>
      <c r="E193" s="38" t="n"/>
      <c r="F193" s="38" t="n"/>
      <c r="G193" s="38" t="n"/>
      <c r="H193" s="38" t="n"/>
      <c r="I193" s="26" t="n"/>
    </row>
    <row r="194" ht="18" customHeight="1">
      <c r="A194" s="35" t="n"/>
      <c r="B194" s="16">
        <f>IF(A194="","",IFERROR(INT((A194-DATE(2026,4,27))/7)+1,""))</f>
        <v/>
      </c>
      <c r="C194" s="36" t="n"/>
      <c r="D194" s="36" t="n"/>
      <c r="E194" s="36" t="n"/>
      <c r="F194" s="36" t="n"/>
      <c r="G194" s="36" t="n"/>
      <c r="H194" s="36" t="n"/>
      <c r="I194" s="20" t="n"/>
    </row>
    <row r="195" ht="18" customHeight="1">
      <c r="A195" s="37" t="n"/>
      <c r="B195" s="22">
        <f>IF(A195="","",IFERROR(INT((A195-DATE(2026,4,27))/7)+1,""))</f>
        <v/>
      </c>
      <c r="C195" s="38" t="n"/>
      <c r="D195" s="38" t="n"/>
      <c r="E195" s="38" t="n"/>
      <c r="F195" s="38" t="n"/>
      <c r="G195" s="38" t="n"/>
      <c r="H195" s="38" t="n"/>
      <c r="I195" s="26" t="n"/>
    </row>
    <row r="196" ht="18" customHeight="1">
      <c r="A196" s="35" t="n"/>
      <c r="B196" s="16">
        <f>IF(A196="","",IFERROR(INT((A196-DATE(2026,4,27))/7)+1,""))</f>
        <v/>
      </c>
      <c r="C196" s="36" t="n"/>
      <c r="D196" s="36" t="n"/>
      <c r="E196" s="36" t="n"/>
      <c r="F196" s="36" t="n"/>
      <c r="G196" s="36" t="n"/>
      <c r="H196" s="36" t="n"/>
      <c r="I196" s="20" t="n"/>
    </row>
    <row r="197" ht="18" customHeight="1">
      <c r="A197" s="37" t="n"/>
      <c r="B197" s="22">
        <f>IF(A197="","",IFERROR(INT((A197-DATE(2026,4,27))/7)+1,""))</f>
        <v/>
      </c>
      <c r="C197" s="38" t="n"/>
      <c r="D197" s="38" t="n"/>
      <c r="E197" s="38" t="n"/>
      <c r="F197" s="38" t="n"/>
      <c r="G197" s="38" t="n"/>
      <c r="H197" s="38" t="n"/>
      <c r="I197" s="26" t="n"/>
    </row>
    <row r="198" ht="18" customHeight="1">
      <c r="A198" s="35" t="n"/>
      <c r="B198" s="16">
        <f>IF(A198="","",IFERROR(INT((A198-DATE(2026,4,27))/7)+1,""))</f>
        <v/>
      </c>
      <c r="C198" s="36" t="n"/>
      <c r="D198" s="36" t="n"/>
      <c r="E198" s="36" t="n"/>
      <c r="F198" s="36" t="n"/>
      <c r="G198" s="36" t="n"/>
      <c r="H198" s="36" t="n"/>
      <c r="I198" s="20" t="n"/>
    </row>
    <row r="199" ht="18" customHeight="1">
      <c r="A199" s="37" t="n"/>
      <c r="B199" s="22">
        <f>IF(A199="","",IFERROR(INT((A199-DATE(2026,4,27))/7)+1,""))</f>
        <v/>
      </c>
      <c r="C199" s="38" t="n"/>
      <c r="D199" s="38" t="n"/>
      <c r="E199" s="38" t="n"/>
      <c r="F199" s="38" t="n"/>
      <c r="G199" s="38" t="n"/>
      <c r="H199" s="38" t="n"/>
      <c r="I199" s="26"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18" customWidth="1" min="3" max="3"/>
    <col width="14" customWidth="1" min="4" max="4"/>
    <col width="14" customWidth="1" min="5" max="5"/>
    <col width="22" customWidth="1" min="6" max="6"/>
  </cols>
  <sheetData>
    <row r="1" ht="26" customHeight="1">
      <c r="A1" s="14" t="inlineStr">
        <is>
          <t>Exercise</t>
        </is>
      </c>
      <c r="B1" s="14" t="inlineStr">
        <is>
          <t>Best Weight (kg)</t>
        </is>
      </c>
      <c r="C1" s="14" t="inlineStr">
        <is>
          <t>Best Reps @ Weight</t>
        </is>
      </c>
      <c r="D1" s="14" t="inlineStr">
        <is>
          <t>Date Achieved</t>
        </is>
      </c>
      <c r="E1" s="14" t="inlineStr">
        <is>
          <t>Best e1RM (kg)</t>
        </is>
      </c>
      <c r="F1" s="14" t="inlineStr">
        <is>
          <t>Best Single-Set Volume</t>
        </is>
      </c>
    </row>
    <row r="2" ht="20" customHeight="1">
      <c r="A2" s="17" t="inlineStr">
        <is>
          <t>Bench Press</t>
        </is>
      </c>
      <c r="B2" s="36">
        <f>IF(COUNTIF('Lifting Log'!D:D,A2)=0,"",SUMPRODUCT(MAX(('Lifting Log'!D2:D801=A2)*'Lifting Log'!G2:G801)))</f>
        <v/>
      </c>
      <c r="C2" s="16">
        <f>IF(COUNTIF('Lifting Log'!D:D,A2)=0,"",SUMPRODUCT(MAX(('Lifting Log'!D2:D801=A2)*('Lifting Log'!G2:G801=B2)*'Lifting Log'!F2:F801)))</f>
        <v/>
      </c>
      <c r="D2" s="35">
        <f>IF(COUNTIF('Lifting Log'!D:D,A2)=0,"",SUMPRODUCT(MAX(('Lifting Log'!D2:D801=A2)*('Lifting Log'!G2:G801=B2)*'Lifting Log'!A2:A801)))</f>
        <v/>
      </c>
      <c r="E2" s="36">
        <f>IF(COUNTIF('Lifting Log'!D:D,A2)=0,"",SUMPRODUCT(MAX(('Lifting Log'!D2:D801=A2)*IFERROR('Lifting Log'!J2:J801*1,0))))</f>
        <v/>
      </c>
      <c r="F2" s="19">
        <f>IF(COUNTIF('Lifting Log'!D:D,A2)=0,"",SUMPRODUCT(MAX(('Lifting Log'!D2:D801=A2)*IFERROR('Lifting Log'!I2:I801*1,0))))</f>
        <v/>
      </c>
    </row>
    <row r="3" ht="20" customHeight="1">
      <c r="A3" s="23" t="inlineStr">
        <is>
          <t>Barbell Row</t>
        </is>
      </c>
      <c r="B3" s="38">
        <f>IF(COUNTIF('Lifting Log'!D:D,A3)=0,"",SUMPRODUCT(MAX(('Lifting Log'!D2:D801=A3)*'Lifting Log'!G2:G801)))</f>
        <v/>
      </c>
      <c r="C3" s="22">
        <f>IF(COUNTIF('Lifting Log'!D:D,A3)=0,"",SUMPRODUCT(MAX(('Lifting Log'!D2:D801=A3)*('Lifting Log'!G2:G801=B3)*'Lifting Log'!F2:F801)))</f>
        <v/>
      </c>
      <c r="D3" s="37">
        <f>IF(COUNTIF('Lifting Log'!D:D,A3)=0,"",SUMPRODUCT(MAX(('Lifting Log'!D2:D801=A3)*('Lifting Log'!G2:G801=B3)*'Lifting Log'!A2:A801)))</f>
        <v/>
      </c>
      <c r="E3" s="38">
        <f>IF(COUNTIF('Lifting Log'!D:D,A3)=0,"",SUMPRODUCT(MAX(('Lifting Log'!D2:D801=A3)*IFERROR('Lifting Log'!J2:J801*1,0))))</f>
        <v/>
      </c>
      <c r="F3" s="25">
        <f>IF(COUNTIF('Lifting Log'!D:D,A3)=0,"",SUMPRODUCT(MAX(('Lifting Log'!D2:D801=A3)*IFERROR('Lifting Log'!I2:I801*1,0))))</f>
        <v/>
      </c>
    </row>
    <row r="4" ht="20" customHeight="1">
      <c r="A4" s="17" t="inlineStr">
        <is>
          <t>Incline DB Press</t>
        </is>
      </c>
      <c r="B4" s="36">
        <f>IF(COUNTIF('Lifting Log'!D:D,A4)=0,"",SUMPRODUCT(MAX(('Lifting Log'!D2:D801=A4)*'Lifting Log'!G2:G801)))</f>
        <v/>
      </c>
      <c r="C4" s="16">
        <f>IF(COUNTIF('Lifting Log'!D:D,A4)=0,"",SUMPRODUCT(MAX(('Lifting Log'!D2:D801=A4)*('Lifting Log'!G2:G801=B4)*'Lifting Log'!F2:F801)))</f>
        <v/>
      </c>
      <c r="D4" s="35">
        <f>IF(COUNTIF('Lifting Log'!D:D,A4)=0,"",SUMPRODUCT(MAX(('Lifting Log'!D2:D801=A4)*('Lifting Log'!G2:G801=B4)*'Lifting Log'!A2:A801)))</f>
        <v/>
      </c>
      <c r="E4" s="36">
        <f>IF(COUNTIF('Lifting Log'!D:D,A4)=0,"",SUMPRODUCT(MAX(('Lifting Log'!D2:D801=A4)*IFERROR('Lifting Log'!J2:J801*1,0))))</f>
        <v/>
      </c>
      <c r="F4" s="19">
        <f>IF(COUNTIF('Lifting Log'!D:D,A4)=0,"",SUMPRODUCT(MAX(('Lifting Log'!D2:D801=A4)*IFERROR('Lifting Log'!I2:I801*1,0))))</f>
        <v/>
      </c>
    </row>
    <row r="5" ht="20" customHeight="1">
      <c r="A5" s="23" t="inlineStr">
        <is>
          <t>Lat Pulldown</t>
        </is>
      </c>
      <c r="B5" s="38">
        <f>IF(COUNTIF('Lifting Log'!D:D,A5)=0,"",SUMPRODUCT(MAX(('Lifting Log'!D2:D801=A5)*'Lifting Log'!G2:G801)))</f>
        <v/>
      </c>
      <c r="C5" s="22">
        <f>IF(COUNTIF('Lifting Log'!D:D,A5)=0,"",SUMPRODUCT(MAX(('Lifting Log'!D2:D801=A5)*('Lifting Log'!G2:G801=B5)*'Lifting Log'!F2:F801)))</f>
        <v/>
      </c>
      <c r="D5" s="37">
        <f>IF(COUNTIF('Lifting Log'!D:D,A5)=0,"",SUMPRODUCT(MAX(('Lifting Log'!D2:D801=A5)*('Lifting Log'!G2:G801=B5)*'Lifting Log'!A2:A801)))</f>
        <v/>
      </c>
      <c r="E5" s="38">
        <f>IF(COUNTIF('Lifting Log'!D:D,A5)=0,"",SUMPRODUCT(MAX(('Lifting Log'!D2:D801=A5)*IFERROR('Lifting Log'!J2:J801*1,0))))</f>
        <v/>
      </c>
      <c r="F5" s="25">
        <f>IF(COUNTIF('Lifting Log'!D:D,A5)=0,"",SUMPRODUCT(MAX(('Lifting Log'!D2:D801=A5)*IFERROR('Lifting Log'!I2:I801*1,0))))</f>
        <v/>
      </c>
    </row>
    <row r="6" ht="20" customHeight="1">
      <c r="A6" s="17" t="inlineStr">
        <is>
          <t>Pec Deck</t>
        </is>
      </c>
      <c r="B6" s="36">
        <f>IF(COUNTIF('Lifting Log'!D:D,A6)=0,"",SUMPRODUCT(MAX(('Lifting Log'!D2:D801=A6)*'Lifting Log'!G2:G801)))</f>
        <v/>
      </c>
      <c r="C6" s="16">
        <f>IF(COUNTIF('Lifting Log'!D:D,A6)=0,"",SUMPRODUCT(MAX(('Lifting Log'!D2:D801=A6)*('Lifting Log'!G2:G801=B6)*'Lifting Log'!F2:F801)))</f>
        <v/>
      </c>
      <c r="D6" s="35">
        <f>IF(COUNTIF('Lifting Log'!D:D,A6)=0,"",SUMPRODUCT(MAX(('Lifting Log'!D2:D801=A6)*('Lifting Log'!G2:G801=B6)*'Lifting Log'!A2:A801)))</f>
        <v/>
      </c>
      <c r="E6" s="36">
        <f>IF(COUNTIF('Lifting Log'!D:D,A6)=0,"",SUMPRODUCT(MAX(('Lifting Log'!D2:D801=A6)*IFERROR('Lifting Log'!J2:J801*1,0))))</f>
        <v/>
      </c>
      <c r="F6" s="19">
        <f>IF(COUNTIF('Lifting Log'!D:D,A6)=0,"",SUMPRODUCT(MAX(('Lifting Log'!D2:D801=A6)*IFERROR('Lifting Log'!I2:I801*1,0))))</f>
        <v/>
      </c>
    </row>
    <row r="7" ht="20" customHeight="1">
      <c r="A7" s="23" t="inlineStr">
        <is>
          <t>Triceps Pushdown</t>
        </is>
      </c>
      <c r="B7" s="38">
        <f>IF(COUNTIF('Lifting Log'!D:D,A7)=0,"",SUMPRODUCT(MAX(('Lifting Log'!D2:D801=A7)*'Lifting Log'!G2:G801)))</f>
        <v/>
      </c>
      <c r="C7" s="22">
        <f>IF(COUNTIF('Lifting Log'!D:D,A7)=0,"",SUMPRODUCT(MAX(('Lifting Log'!D2:D801=A7)*('Lifting Log'!G2:G801=B7)*'Lifting Log'!F2:F801)))</f>
        <v/>
      </c>
      <c r="D7" s="37">
        <f>IF(COUNTIF('Lifting Log'!D:D,A7)=0,"",SUMPRODUCT(MAX(('Lifting Log'!D2:D801=A7)*('Lifting Log'!G2:G801=B7)*'Lifting Log'!A2:A801)))</f>
        <v/>
      </c>
      <c r="E7" s="38">
        <f>IF(COUNTIF('Lifting Log'!D:D,A7)=0,"",SUMPRODUCT(MAX(('Lifting Log'!D2:D801=A7)*IFERROR('Lifting Log'!J2:J801*1,0))))</f>
        <v/>
      </c>
      <c r="F7" s="25">
        <f>IF(COUNTIF('Lifting Log'!D:D,A7)=0,"",SUMPRODUCT(MAX(('Lifting Log'!D2:D801=A7)*IFERROR('Lifting Log'!I2:I801*1,0))))</f>
        <v/>
      </c>
    </row>
    <row r="8" ht="20" customHeight="1">
      <c r="A8" s="17" t="inlineStr">
        <is>
          <t>DB Curl</t>
        </is>
      </c>
      <c r="B8" s="36">
        <f>IF(COUNTIF('Lifting Log'!D:D,A8)=0,"",SUMPRODUCT(MAX(('Lifting Log'!D2:D801=A8)*'Lifting Log'!G2:G801)))</f>
        <v/>
      </c>
      <c r="C8" s="16">
        <f>IF(COUNTIF('Lifting Log'!D:D,A8)=0,"",SUMPRODUCT(MAX(('Lifting Log'!D2:D801=A8)*('Lifting Log'!G2:G801=B8)*'Lifting Log'!F2:F801)))</f>
        <v/>
      </c>
      <c r="D8" s="35">
        <f>IF(COUNTIF('Lifting Log'!D:D,A8)=0,"",SUMPRODUCT(MAX(('Lifting Log'!D2:D801=A8)*('Lifting Log'!G2:G801=B8)*'Lifting Log'!A2:A801)))</f>
        <v/>
      </c>
      <c r="E8" s="36">
        <f>IF(COUNTIF('Lifting Log'!D:D,A8)=0,"",SUMPRODUCT(MAX(('Lifting Log'!D2:D801=A8)*IFERROR('Lifting Log'!J2:J801*1,0))))</f>
        <v/>
      </c>
      <c r="F8" s="19">
        <f>IF(COUNTIF('Lifting Log'!D:D,A8)=0,"",SUMPRODUCT(MAX(('Lifting Log'!D2:D801=A8)*IFERROR('Lifting Log'!I2:I801*1,0))))</f>
        <v/>
      </c>
    </row>
    <row r="9" ht="20" customHeight="1">
      <c r="A9" s="23" t="inlineStr">
        <is>
          <t>Back Squat</t>
        </is>
      </c>
      <c r="B9" s="38">
        <f>IF(COUNTIF('Lifting Log'!D:D,A9)=0,"",SUMPRODUCT(MAX(('Lifting Log'!D2:D801=A9)*'Lifting Log'!G2:G801)))</f>
        <v/>
      </c>
      <c r="C9" s="22">
        <f>IF(COUNTIF('Lifting Log'!D:D,A9)=0,"",SUMPRODUCT(MAX(('Lifting Log'!D2:D801=A9)*('Lifting Log'!G2:G801=B9)*'Lifting Log'!F2:F801)))</f>
        <v/>
      </c>
      <c r="D9" s="37">
        <f>IF(COUNTIF('Lifting Log'!D:D,A9)=0,"",SUMPRODUCT(MAX(('Lifting Log'!D2:D801=A9)*('Lifting Log'!G2:G801=B9)*'Lifting Log'!A2:A801)))</f>
        <v/>
      </c>
      <c r="E9" s="38">
        <f>IF(COUNTIF('Lifting Log'!D:D,A9)=0,"",SUMPRODUCT(MAX(('Lifting Log'!D2:D801=A9)*IFERROR('Lifting Log'!J2:J801*1,0))))</f>
        <v/>
      </c>
      <c r="F9" s="25">
        <f>IF(COUNTIF('Lifting Log'!D:D,A9)=0,"",SUMPRODUCT(MAX(('Lifting Log'!D2:D801=A9)*IFERROR('Lifting Log'!I2:I801*1,0))))</f>
        <v/>
      </c>
    </row>
    <row r="10" ht="20" customHeight="1">
      <c r="A10" s="17" t="inlineStr">
        <is>
          <t>Romanian Deadlift</t>
        </is>
      </c>
      <c r="B10" s="36">
        <f>IF(COUNTIF('Lifting Log'!D:D,A10)=0,"",SUMPRODUCT(MAX(('Lifting Log'!D2:D801=A10)*'Lifting Log'!G2:G801)))</f>
        <v/>
      </c>
      <c r="C10" s="16">
        <f>IF(COUNTIF('Lifting Log'!D:D,A10)=0,"",SUMPRODUCT(MAX(('Lifting Log'!D2:D801=A10)*('Lifting Log'!G2:G801=B10)*'Lifting Log'!F2:F801)))</f>
        <v/>
      </c>
      <c r="D10" s="35">
        <f>IF(COUNTIF('Lifting Log'!D:D,A10)=0,"",SUMPRODUCT(MAX(('Lifting Log'!D2:D801=A10)*('Lifting Log'!G2:G801=B10)*'Lifting Log'!A2:A801)))</f>
        <v/>
      </c>
      <c r="E10" s="36">
        <f>IF(COUNTIF('Lifting Log'!D:D,A10)=0,"",SUMPRODUCT(MAX(('Lifting Log'!D2:D801=A10)*IFERROR('Lifting Log'!J2:J801*1,0))))</f>
        <v/>
      </c>
      <c r="F10" s="19">
        <f>IF(COUNTIF('Lifting Log'!D:D,A10)=0,"",SUMPRODUCT(MAX(('Lifting Log'!D2:D801=A10)*IFERROR('Lifting Log'!I2:I801*1,0))))</f>
        <v/>
      </c>
    </row>
    <row r="11" ht="20" customHeight="1">
      <c r="A11" s="23" t="inlineStr">
        <is>
          <t>Leg Press</t>
        </is>
      </c>
      <c r="B11" s="38">
        <f>IF(COUNTIF('Lifting Log'!D:D,A11)=0,"",SUMPRODUCT(MAX(('Lifting Log'!D2:D801=A11)*'Lifting Log'!G2:G801)))</f>
        <v/>
      </c>
      <c r="C11" s="22">
        <f>IF(COUNTIF('Lifting Log'!D:D,A11)=0,"",SUMPRODUCT(MAX(('Lifting Log'!D2:D801=A11)*('Lifting Log'!G2:G801=B11)*'Lifting Log'!F2:F801)))</f>
        <v/>
      </c>
      <c r="D11" s="37">
        <f>IF(COUNTIF('Lifting Log'!D:D,A11)=0,"",SUMPRODUCT(MAX(('Lifting Log'!D2:D801=A11)*('Lifting Log'!G2:G801=B11)*'Lifting Log'!A2:A801)))</f>
        <v/>
      </c>
      <c r="E11" s="38">
        <f>IF(COUNTIF('Lifting Log'!D:D,A11)=0,"",SUMPRODUCT(MAX(('Lifting Log'!D2:D801=A11)*IFERROR('Lifting Log'!J2:J801*1,0))))</f>
        <v/>
      </c>
      <c r="F11" s="25">
        <f>IF(COUNTIF('Lifting Log'!D:D,A11)=0,"",SUMPRODUCT(MAX(('Lifting Log'!D2:D801=A11)*IFERROR('Lifting Log'!I2:I801*1,0))))</f>
        <v/>
      </c>
    </row>
    <row r="12" ht="20" customHeight="1">
      <c r="A12" s="17" t="inlineStr">
        <is>
          <t>Lying Leg Curl</t>
        </is>
      </c>
      <c r="B12" s="36">
        <f>IF(COUNTIF('Lifting Log'!D:D,A12)=0,"",SUMPRODUCT(MAX(('Lifting Log'!D2:D801=A12)*'Lifting Log'!G2:G801)))</f>
        <v/>
      </c>
      <c r="C12" s="16">
        <f>IF(COUNTIF('Lifting Log'!D:D,A12)=0,"",SUMPRODUCT(MAX(('Lifting Log'!D2:D801=A12)*('Lifting Log'!G2:G801=B12)*'Lifting Log'!F2:F801)))</f>
        <v/>
      </c>
      <c r="D12" s="35">
        <f>IF(COUNTIF('Lifting Log'!D:D,A12)=0,"",SUMPRODUCT(MAX(('Lifting Log'!D2:D801=A12)*('Lifting Log'!G2:G801=B12)*'Lifting Log'!A2:A801)))</f>
        <v/>
      </c>
      <c r="E12" s="36">
        <f>IF(COUNTIF('Lifting Log'!D:D,A12)=0,"",SUMPRODUCT(MAX(('Lifting Log'!D2:D801=A12)*IFERROR('Lifting Log'!J2:J801*1,0))))</f>
        <v/>
      </c>
      <c r="F12" s="19">
        <f>IF(COUNTIF('Lifting Log'!D:D,A12)=0,"",SUMPRODUCT(MAX(('Lifting Log'!D2:D801=A12)*IFERROR('Lifting Log'!I2:I801*1,0))))</f>
        <v/>
      </c>
    </row>
    <row r="13" ht="20" customHeight="1">
      <c r="A13" s="23" t="inlineStr">
        <is>
          <t>Standing Calf Raise</t>
        </is>
      </c>
      <c r="B13" s="38">
        <f>IF(COUNTIF('Lifting Log'!D:D,A13)=0,"",SUMPRODUCT(MAX(('Lifting Log'!D2:D801=A13)*'Lifting Log'!G2:G801)))</f>
        <v/>
      </c>
      <c r="C13" s="22">
        <f>IF(COUNTIF('Lifting Log'!D:D,A13)=0,"",SUMPRODUCT(MAX(('Lifting Log'!D2:D801=A13)*('Lifting Log'!G2:G801=B13)*'Lifting Log'!F2:F801)))</f>
        <v/>
      </c>
      <c r="D13" s="37">
        <f>IF(COUNTIF('Lifting Log'!D:D,A13)=0,"",SUMPRODUCT(MAX(('Lifting Log'!D2:D801=A13)*('Lifting Log'!G2:G801=B13)*'Lifting Log'!A2:A801)))</f>
        <v/>
      </c>
      <c r="E13" s="38">
        <f>IF(COUNTIF('Lifting Log'!D:D,A13)=0,"",SUMPRODUCT(MAX(('Lifting Log'!D2:D801=A13)*IFERROR('Lifting Log'!J2:J801*1,0))))</f>
        <v/>
      </c>
      <c r="F13" s="25">
        <f>IF(COUNTIF('Lifting Log'!D:D,A13)=0,"",SUMPRODUCT(MAX(('Lifting Log'!D2:D801=A13)*IFERROR('Lifting Log'!I2:I801*1,0))))</f>
        <v/>
      </c>
    </row>
    <row r="14" ht="20" customHeight="1">
      <c r="A14" s="17" t="inlineStr">
        <is>
          <t>Hanging Knee Raise</t>
        </is>
      </c>
      <c r="B14" s="36">
        <f>IF(COUNTIF('Lifting Log'!D:D,A14)=0,"",SUMPRODUCT(MAX(('Lifting Log'!D2:D801=A14)*'Lifting Log'!G2:G801)))</f>
        <v/>
      </c>
      <c r="C14" s="16">
        <f>IF(COUNTIF('Lifting Log'!D:D,A14)=0,"",SUMPRODUCT(MAX(('Lifting Log'!D2:D801=A14)*('Lifting Log'!G2:G801=B14)*'Lifting Log'!F2:F801)))</f>
        <v/>
      </c>
      <c r="D14" s="35">
        <f>IF(COUNTIF('Lifting Log'!D:D,A14)=0,"",SUMPRODUCT(MAX(('Lifting Log'!D2:D801=A14)*('Lifting Log'!G2:G801=B14)*'Lifting Log'!A2:A801)))</f>
        <v/>
      </c>
      <c r="E14" s="36">
        <f>IF(COUNTIF('Lifting Log'!D:D,A14)=0,"",SUMPRODUCT(MAX(('Lifting Log'!D2:D801=A14)*IFERROR('Lifting Log'!J2:J801*1,0))))</f>
        <v/>
      </c>
      <c r="F14" s="19">
        <f>IF(COUNTIF('Lifting Log'!D:D,A14)=0,"",SUMPRODUCT(MAX(('Lifting Log'!D2:D801=A14)*IFERROR('Lifting Log'!I2:I801*1,0))))</f>
        <v/>
      </c>
    </row>
    <row r="15" ht="20" customHeight="1">
      <c r="A15" s="23" t="inlineStr">
        <is>
          <t>Overhead Press</t>
        </is>
      </c>
      <c r="B15" s="38">
        <f>IF(COUNTIF('Lifting Log'!D:D,A15)=0,"",SUMPRODUCT(MAX(('Lifting Log'!D2:D801=A15)*'Lifting Log'!G2:G801)))</f>
        <v/>
      </c>
      <c r="C15" s="22">
        <f>IF(COUNTIF('Lifting Log'!D:D,A15)=0,"",SUMPRODUCT(MAX(('Lifting Log'!D2:D801=A15)*('Lifting Log'!G2:G801=B15)*'Lifting Log'!F2:F801)))</f>
        <v/>
      </c>
      <c r="D15" s="37">
        <f>IF(COUNTIF('Lifting Log'!D:D,A15)=0,"",SUMPRODUCT(MAX(('Lifting Log'!D2:D801=A15)*('Lifting Log'!G2:G801=B15)*'Lifting Log'!A2:A801)))</f>
        <v/>
      </c>
      <c r="E15" s="38">
        <f>IF(COUNTIF('Lifting Log'!D:D,A15)=0,"",SUMPRODUCT(MAX(('Lifting Log'!D2:D801=A15)*IFERROR('Lifting Log'!J2:J801*1,0))))</f>
        <v/>
      </c>
      <c r="F15" s="25">
        <f>IF(COUNTIF('Lifting Log'!D:D,A15)=0,"",SUMPRODUCT(MAX(('Lifting Log'!D2:D801=A15)*IFERROR('Lifting Log'!I2:I801*1,0))))</f>
        <v/>
      </c>
    </row>
    <row r="16" ht="20" customHeight="1">
      <c r="A16" s="17" t="inlineStr">
        <is>
          <t>Cable Row</t>
        </is>
      </c>
      <c r="B16" s="36">
        <f>IF(COUNTIF('Lifting Log'!D:D,A16)=0,"",SUMPRODUCT(MAX(('Lifting Log'!D2:D801=A16)*'Lifting Log'!G2:G801)))</f>
        <v/>
      </c>
      <c r="C16" s="16">
        <f>IF(COUNTIF('Lifting Log'!D:D,A16)=0,"",SUMPRODUCT(MAX(('Lifting Log'!D2:D801=A16)*('Lifting Log'!G2:G801=B16)*'Lifting Log'!F2:F801)))</f>
        <v/>
      </c>
      <c r="D16" s="35">
        <f>IF(COUNTIF('Lifting Log'!D:D,A16)=0,"",SUMPRODUCT(MAX(('Lifting Log'!D2:D801=A16)*('Lifting Log'!G2:G801=B16)*'Lifting Log'!A2:A801)))</f>
        <v/>
      </c>
      <c r="E16" s="36">
        <f>IF(COUNTIF('Lifting Log'!D:D,A16)=0,"",SUMPRODUCT(MAX(('Lifting Log'!D2:D801=A16)*IFERROR('Lifting Log'!J2:J801*1,0))))</f>
        <v/>
      </c>
      <c r="F16" s="19">
        <f>IF(COUNTIF('Lifting Log'!D:D,A16)=0,"",SUMPRODUCT(MAX(('Lifting Log'!D2:D801=A16)*IFERROR('Lifting Log'!I2:I801*1,0))))</f>
        <v/>
      </c>
    </row>
    <row r="17" ht="20" customHeight="1">
      <c r="A17" s="23" t="inlineStr">
        <is>
          <t>DB Lateral Raise</t>
        </is>
      </c>
      <c r="B17" s="38">
        <f>IF(COUNTIF('Lifting Log'!D:D,A17)=0,"",SUMPRODUCT(MAX(('Lifting Log'!D2:D801=A17)*'Lifting Log'!G2:G801)))</f>
        <v/>
      </c>
      <c r="C17" s="22">
        <f>IF(COUNTIF('Lifting Log'!D:D,A17)=0,"",SUMPRODUCT(MAX(('Lifting Log'!D2:D801=A17)*('Lifting Log'!G2:G801=B17)*'Lifting Log'!F2:F801)))</f>
        <v/>
      </c>
      <c r="D17" s="37">
        <f>IF(COUNTIF('Lifting Log'!D:D,A17)=0,"",SUMPRODUCT(MAX(('Lifting Log'!D2:D801=A17)*('Lifting Log'!G2:G801=B17)*'Lifting Log'!A2:A801)))</f>
        <v/>
      </c>
      <c r="E17" s="38">
        <f>IF(COUNTIF('Lifting Log'!D:D,A17)=0,"",SUMPRODUCT(MAX(('Lifting Log'!D2:D801=A17)*IFERROR('Lifting Log'!J2:J801*1,0))))</f>
        <v/>
      </c>
      <c r="F17" s="25">
        <f>IF(COUNTIF('Lifting Log'!D:D,A17)=0,"",SUMPRODUCT(MAX(('Lifting Log'!D2:D801=A17)*IFERROR('Lifting Log'!I2:I801*1,0))))</f>
        <v/>
      </c>
    </row>
    <row r="18" ht="20" customHeight="1">
      <c r="A18" s="17" t="inlineStr">
        <is>
          <t>Face Pull</t>
        </is>
      </c>
      <c r="B18" s="36">
        <f>IF(COUNTIF('Lifting Log'!D:D,A18)=0,"",SUMPRODUCT(MAX(('Lifting Log'!D2:D801=A18)*'Lifting Log'!G2:G801)))</f>
        <v/>
      </c>
      <c r="C18" s="16">
        <f>IF(COUNTIF('Lifting Log'!D:D,A18)=0,"",SUMPRODUCT(MAX(('Lifting Log'!D2:D801=A18)*('Lifting Log'!G2:G801=B18)*'Lifting Log'!F2:F801)))</f>
        <v/>
      </c>
      <c r="D18" s="35">
        <f>IF(COUNTIF('Lifting Log'!D:D,A18)=0,"",SUMPRODUCT(MAX(('Lifting Log'!D2:D801=A18)*('Lifting Log'!G2:G801=B18)*'Lifting Log'!A2:A801)))</f>
        <v/>
      </c>
      <c r="E18" s="36">
        <f>IF(COUNTIF('Lifting Log'!D:D,A18)=0,"",SUMPRODUCT(MAX(('Lifting Log'!D2:D801=A18)*IFERROR('Lifting Log'!J2:J801*1,0))))</f>
        <v/>
      </c>
      <c r="F18" s="19">
        <f>IF(COUNTIF('Lifting Log'!D:D,A18)=0,"",SUMPRODUCT(MAX(('Lifting Log'!D2:D801=A18)*IFERROR('Lifting Log'!I2:I801*1,0))))</f>
        <v/>
      </c>
    </row>
    <row r="19" ht="20" customHeight="1">
      <c r="A19" s="23" t="inlineStr">
        <is>
          <t>Skull Crusher</t>
        </is>
      </c>
      <c r="B19" s="38">
        <f>IF(COUNTIF('Lifting Log'!D:D,A19)=0,"",SUMPRODUCT(MAX(('Lifting Log'!D2:D801=A19)*'Lifting Log'!G2:G801)))</f>
        <v/>
      </c>
      <c r="C19" s="22">
        <f>IF(COUNTIF('Lifting Log'!D:D,A19)=0,"",SUMPRODUCT(MAX(('Lifting Log'!D2:D801=A19)*('Lifting Log'!G2:G801=B19)*'Lifting Log'!F2:F801)))</f>
        <v/>
      </c>
      <c r="D19" s="37">
        <f>IF(COUNTIF('Lifting Log'!D:D,A19)=0,"",SUMPRODUCT(MAX(('Lifting Log'!D2:D801=A19)*('Lifting Log'!G2:G801=B19)*'Lifting Log'!A2:A801)))</f>
        <v/>
      </c>
      <c r="E19" s="38">
        <f>IF(COUNTIF('Lifting Log'!D:D,A19)=0,"",SUMPRODUCT(MAX(('Lifting Log'!D2:D801=A19)*IFERROR('Lifting Log'!J2:J801*1,0))))</f>
        <v/>
      </c>
      <c r="F19" s="25">
        <f>IF(COUNTIF('Lifting Log'!D:D,A19)=0,"",SUMPRODUCT(MAX(('Lifting Log'!D2:D801=A19)*IFERROR('Lifting Log'!I2:I801*1,0))))</f>
        <v/>
      </c>
    </row>
    <row r="20" ht="20" customHeight="1">
      <c r="A20" s="17" t="inlineStr">
        <is>
          <t>Trap Bar Deadlift</t>
        </is>
      </c>
      <c r="B20" s="36">
        <f>IF(COUNTIF('Lifting Log'!D:D,A20)=0,"",SUMPRODUCT(MAX(('Lifting Log'!D2:D801=A20)*'Lifting Log'!G2:G801)))</f>
        <v/>
      </c>
      <c r="C20" s="16">
        <f>IF(COUNTIF('Lifting Log'!D:D,A20)=0,"",SUMPRODUCT(MAX(('Lifting Log'!D2:D801=A20)*('Lifting Log'!G2:G801=B20)*'Lifting Log'!F2:F801)))</f>
        <v/>
      </c>
      <c r="D20" s="35">
        <f>IF(COUNTIF('Lifting Log'!D:D,A20)=0,"",SUMPRODUCT(MAX(('Lifting Log'!D2:D801=A20)*('Lifting Log'!G2:G801=B20)*'Lifting Log'!A2:A801)))</f>
        <v/>
      </c>
      <c r="E20" s="36">
        <f>IF(COUNTIF('Lifting Log'!D:D,A20)=0,"",SUMPRODUCT(MAX(('Lifting Log'!D2:D801=A20)*IFERROR('Lifting Log'!J2:J801*1,0))))</f>
        <v/>
      </c>
      <c r="F20" s="19">
        <f>IF(COUNTIF('Lifting Log'!D:D,A20)=0,"",SUMPRODUCT(MAX(('Lifting Log'!D2:D801=A20)*IFERROR('Lifting Log'!I2:I801*1,0))))</f>
        <v/>
      </c>
    </row>
    <row r="21" ht="20" customHeight="1">
      <c r="A21" s="23" t="inlineStr">
        <is>
          <t>Bulgarian Split Squat</t>
        </is>
      </c>
      <c r="B21" s="38">
        <f>IF(COUNTIF('Lifting Log'!D:D,A21)=0,"",SUMPRODUCT(MAX(('Lifting Log'!D2:D801=A21)*'Lifting Log'!G2:G801)))</f>
        <v/>
      </c>
      <c r="C21" s="22">
        <f>IF(COUNTIF('Lifting Log'!D:D,A21)=0,"",SUMPRODUCT(MAX(('Lifting Log'!D2:D801=A21)*('Lifting Log'!G2:G801=B21)*'Lifting Log'!F2:F801)))</f>
        <v/>
      </c>
      <c r="D21" s="37">
        <f>IF(COUNTIF('Lifting Log'!D:D,A21)=0,"",SUMPRODUCT(MAX(('Lifting Log'!D2:D801=A21)*('Lifting Log'!G2:G801=B21)*'Lifting Log'!A2:A801)))</f>
        <v/>
      </c>
      <c r="E21" s="38">
        <f>IF(COUNTIF('Lifting Log'!D:D,A21)=0,"",SUMPRODUCT(MAX(('Lifting Log'!D2:D801=A21)*IFERROR('Lifting Log'!J2:J801*1,0))))</f>
        <v/>
      </c>
      <c r="F21" s="25">
        <f>IF(COUNTIF('Lifting Log'!D:D,A21)=0,"",SUMPRODUCT(MAX(('Lifting Log'!D2:D801=A21)*IFERROR('Lifting Log'!I2:I801*1,0))))</f>
        <v/>
      </c>
    </row>
    <row r="22" ht="20" customHeight="1">
      <c r="A22" s="17" t="inlineStr">
        <is>
          <t>Hip Thrust</t>
        </is>
      </c>
      <c r="B22" s="36">
        <f>IF(COUNTIF('Lifting Log'!D:D,A22)=0,"",SUMPRODUCT(MAX(('Lifting Log'!D2:D801=A22)*'Lifting Log'!G2:G801)))</f>
        <v/>
      </c>
      <c r="C22" s="16">
        <f>IF(COUNTIF('Lifting Log'!D:D,A22)=0,"",SUMPRODUCT(MAX(('Lifting Log'!D2:D801=A22)*('Lifting Log'!G2:G801=B22)*'Lifting Log'!F2:F801)))</f>
        <v/>
      </c>
      <c r="D22" s="35">
        <f>IF(COUNTIF('Lifting Log'!D:D,A22)=0,"",SUMPRODUCT(MAX(('Lifting Log'!D2:D801=A22)*('Lifting Log'!G2:G801=B22)*'Lifting Log'!A2:A801)))</f>
        <v/>
      </c>
      <c r="E22" s="36">
        <f>IF(COUNTIF('Lifting Log'!D:D,A22)=0,"",SUMPRODUCT(MAX(('Lifting Log'!D2:D801=A22)*IFERROR('Lifting Log'!J2:J801*1,0))))</f>
        <v/>
      </c>
      <c r="F22" s="19">
        <f>IF(COUNTIF('Lifting Log'!D:D,A22)=0,"",SUMPRODUCT(MAX(('Lifting Log'!D2:D801=A22)*IFERROR('Lifting Log'!I2:I801*1,0))))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7" customWidth="1" min="1" max="1"/>
    <col width="22" customWidth="1" min="2" max="2"/>
    <col width="17" customWidth="1" min="3" max="3"/>
    <col width="12" customWidth="1" min="4" max="4"/>
    <col width="19" customWidth="1" min="5" max="5"/>
    <col width="10" customWidth="1" min="6" max="6"/>
    <col width="8" customWidth="1" min="7" max="7"/>
    <col width="10" customWidth="1" min="8" max="8"/>
    <col width="14" customWidth="1" min="9" max="9"/>
    <col width="12" customWidth="1" min="10" max="10"/>
    <col width="13" customWidth="1" min="11" max="11"/>
  </cols>
  <sheetData>
    <row r="1" ht="26" customHeight="1">
      <c r="A1" s="14" t="inlineStr">
        <is>
          <t>Week</t>
        </is>
      </c>
      <c r="B1" s="14" t="inlineStr">
        <is>
          <t>Date Range</t>
        </is>
      </c>
      <c r="C1" s="14" t="inlineStr">
        <is>
          <t>Lifting Sessions</t>
        </is>
      </c>
      <c r="D1" s="14" t="inlineStr">
        <is>
          <t>Total Sets</t>
        </is>
      </c>
      <c r="E1" s="14" t="inlineStr">
        <is>
          <t>Total Volume (kg)</t>
        </is>
      </c>
      <c r="F1" s="14" t="inlineStr">
        <is>
          <t>Avg RPE</t>
        </is>
      </c>
      <c r="G1" s="14" t="inlineStr">
        <is>
          <t>Runs</t>
        </is>
      </c>
      <c r="H1" s="14" t="inlineStr">
        <is>
          <t>Run km</t>
        </is>
      </c>
      <c r="I1" s="14" t="inlineStr">
        <is>
          <t>Run Time (min)</t>
        </is>
      </c>
      <c r="J1" s="14" t="inlineStr">
        <is>
          <t>Avg Run HR</t>
        </is>
      </c>
      <c r="K1" s="14" t="inlineStr">
        <is>
          <t>Avg BW (kg)</t>
        </is>
      </c>
    </row>
    <row r="2" ht="20" customHeight="1">
      <c r="A2" s="16" t="n">
        <v>1</v>
      </c>
      <c r="B2" s="16">
        <f>TEXT(DATE(2026,4,27)+(A2-1)*7,"mmm d")&amp;" – "&amp;TEXT(DATE(2026,4,27)+A2*7-1,"mmm d")</f>
        <v/>
      </c>
      <c r="C2" s="16">
        <f>SUMPRODUCT(IFERROR((('Lifting Log'!B2:B801=A2)*('Lifting Log'!E2:E801=1))/COUNTIFS('Lifting Log'!A:A,'Lifting Log'!A2:A801,'Lifting Log'!E:E,1),0))</f>
        <v/>
      </c>
      <c r="D2" s="16">
        <f>COUNTIFS('Lifting Log'!B:B,A2)</f>
        <v/>
      </c>
      <c r="E2" s="29">
        <f>SUMIFS('Lifting Log'!I:I,'Lifting Log'!B:B,A2)</f>
        <v/>
      </c>
      <c r="F2" s="36">
        <f>IFERROR(AVERAGEIFS('Lifting Log'!H:H,'Lifting Log'!B:B,A2),"")</f>
        <v/>
      </c>
      <c r="G2" s="16">
        <f>COUNTIFS('Running Log'!B:B,A2)</f>
        <v/>
      </c>
      <c r="H2" s="27">
        <f>SUMIFS('Running Log'!C:C,'Running Log'!B:B,A2)</f>
        <v/>
      </c>
      <c r="I2" s="19">
        <f>SUMIFS('Running Log'!D:D,'Running Log'!B:B,A2)</f>
        <v/>
      </c>
      <c r="J2" s="19">
        <f>IFERROR(AVERAGEIFS('Running Log'!F:F,'Running Log'!B:B,A2),"")</f>
        <v/>
      </c>
      <c r="K2" s="36">
        <f>IFERROR(AVERAGEIFS('Body Metrics'!C:C,'Body Metrics'!B:B,A2),"")</f>
        <v/>
      </c>
    </row>
    <row r="3" ht="20" customHeight="1">
      <c r="A3" s="22" t="n">
        <v>2</v>
      </c>
      <c r="B3" s="22">
        <f>TEXT(DATE(2026,4,27)+(A3-1)*7,"mmm d")&amp;" – "&amp;TEXT(DATE(2026,4,27)+A3*7-1,"mmm d")</f>
        <v/>
      </c>
      <c r="C3" s="22">
        <f>SUMPRODUCT(IFERROR((('Lifting Log'!B2:B801=A3)*('Lifting Log'!E2:E801=1))/COUNTIFS('Lifting Log'!A:A,'Lifting Log'!A2:A801,'Lifting Log'!E:E,1),0))</f>
        <v/>
      </c>
      <c r="D3" s="22">
        <f>COUNTIFS('Lifting Log'!B:B,A3)</f>
        <v/>
      </c>
      <c r="E3" s="30">
        <f>SUMIFS('Lifting Log'!I:I,'Lifting Log'!B:B,A3)</f>
        <v/>
      </c>
      <c r="F3" s="38">
        <f>IFERROR(AVERAGEIFS('Lifting Log'!H:H,'Lifting Log'!B:B,A3),"")</f>
        <v/>
      </c>
      <c r="G3" s="22">
        <f>COUNTIFS('Running Log'!B:B,A3)</f>
        <v/>
      </c>
      <c r="H3" s="28">
        <f>SUMIFS('Running Log'!C:C,'Running Log'!B:B,A3)</f>
        <v/>
      </c>
      <c r="I3" s="25">
        <f>SUMIFS('Running Log'!D:D,'Running Log'!B:B,A3)</f>
        <v/>
      </c>
      <c r="J3" s="25">
        <f>IFERROR(AVERAGEIFS('Running Log'!F:F,'Running Log'!B:B,A3),"")</f>
        <v/>
      </c>
      <c r="K3" s="38">
        <f>IFERROR(AVERAGEIFS('Body Metrics'!C:C,'Body Metrics'!B:B,A3),"")</f>
        <v/>
      </c>
    </row>
    <row r="4" ht="20" customHeight="1">
      <c r="A4" s="16" t="n">
        <v>3</v>
      </c>
      <c r="B4" s="16">
        <f>TEXT(DATE(2026,4,27)+(A4-1)*7,"mmm d")&amp;" – "&amp;TEXT(DATE(2026,4,27)+A4*7-1,"mmm d")</f>
        <v/>
      </c>
      <c r="C4" s="16">
        <f>SUMPRODUCT(IFERROR((('Lifting Log'!B2:B801=A4)*('Lifting Log'!E2:E801=1))/COUNTIFS('Lifting Log'!A:A,'Lifting Log'!A2:A801,'Lifting Log'!E:E,1),0))</f>
        <v/>
      </c>
      <c r="D4" s="16">
        <f>COUNTIFS('Lifting Log'!B:B,A4)</f>
        <v/>
      </c>
      <c r="E4" s="29">
        <f>SUMIFS('Lifting Log'!I:I,'Lifting Log'!B:B,A4)</f>
        <v/>
      </c>
      <c r="F4" s="36">
        <f>IFERROR(AVERAGEIFS('Lifting Log'!H:H,'Lifting Log'!B:B,A4),"")</f>
        <v/>
      </c>
      <c r="G4" s="16">
        <f>COUNTIFS('Running Log'!B:B,A4)</f>
        <v/>
      </c>
      <c r="H4" s="27">
        <f>SUMIFS('Running Log'!C:C,'Running Log'!B:B,A4)</f>
        <v/>
      </c>
      <c r="I4" s="19">
        <f>SUMIFS('Running Log'!D:D,'Running Log'!B:B,A4)</f>
        <v/>
      </c>
      <c r="J4" s="19">
        <f>IFERROR(AVERAGEIFS('Running Log'!F:F,'Running Log'!B:B,A4),"")</f>
        <v/>
      </c>
      <c r="K4" s="36">
        <f>IFERROR(AVERAGEIFS('Body Metrics'!C:C,'Body Metrics'!B:B,A4),"")</f>
        <v/>
      </c>
    </row>
    <row r="5" ht="20" customHeight="1">
      <c r="A5" s="22" t="n">
        <v>4</v>
      </c>
      <c r="B5" s="22">
        <f>TEXT(DATE(2026,4,27)+(A5-1)*7,"mmm d")&amp;" – "&amp;TEXT(DATE(2026,4,27)+A5*7-1,"mmm d")</f>
        <v/>
      </c>
      <c r="C5" s="22">
        <f>SUMPRODUCT(IFERROR((('Lifting Log'!B2:B801=A5)*('Lifting Log'!E2:E801=1))/COUNTIFS('Lifting Log'!A:A,'Lifting Log'!A2:A801,'Lifting Log'!E:E,1),0))</f>
        <v/>
      </c>
      <c r="D5" s="22">
        <f>COUNTIFS('Lifting Log'!B:B,A5)</f>
        <v/>
      </c>
      <c r="E5" s="30">
        <f>SUMIFS('Lifting Log'!I:I,'Lifting Log'!B:B,A5)</f>
        <v/>
      </c>
      <c r="F5" s="38">
        <f>IFERROR(AVERAGEIFS('Lifting Log'!H:H,'Lifting Log'!B:B,A5),"")</f>
        <v/>
      </c>
      <c r="G5" s="22">
        <f>COUNTIFS('Running Log'!B:B,A5)</f>
        <v/>
      </c>
      <c r="H5" s="28">
        <f>SUMIFS('Running Log'!C:C,'Running Log'!B:B,A5)</f>
        <v/>
      </c>
      <c r="I5" s="25">
        <f>SUMIFS('Running Log'!D:D,'Running Log'!B:B,A5)</f>
        <v/>
      </c>
      <c r="J5" s="25">
        <f>IFERROR(AVERAGEIFS('Running Log'!F:F,'Running Log'!B:B,A5),"")</f>
        <v/>
      </c>
      <c r="K5" s="38">
        <f>IFERROR(AVERAGEIFS('Body Metrics'!C:C,'Body Metrics'!B:B,A5),"")</f>
        <v/>
      </c>
    </row>
    <row r="6" ht="20" customHeight="1">
      <c r="A6" s="16" t="n">
        <v>5</v>
      </c>
      <c r="B6" s="16">
        <f>TEXT(DATE(2026,4,27)+(A6-1)*7,"mmm d")&amp;" – "&amp;TEXT(DATE(2026,4,27)+A6*7-1,"mmm d")</f>
        <v/>
      </c>
      <c r="C6" s="16">
        <f>SUMPRODUCT(IFERROR((('Lifting Log'!B2:B801=A6)*('Lifting Log'!E2:E801=1))/COUNTIFS('Lifting Log'!A:A,'Lifting Log'!A2:A801,'Lifting Log'!E:E,1),0))</f>
        <v/>
      </c>
      <c r="D6" s="16">
        <f>COUNTIFS('Lifting Log'!B:B,A6)</f>
        <v/>
      </c>
      <c r="E6" s="29">
        <f>SUMIFS('Lifting Log'!I:I,'Lifting Log'!B:B,A6)</f>
        <v/>
      </c>
      <c r="F6" s="36">
        <f>IFERROR(AVERAGEIFS('Lifting Log'!H:H,'Lifting Log'!B:B,A6),"")</f>
        <v/>
      </c>
      <c r="G6" s="16">
        <f>COUNTIFS('Running Log'!B:B,A6)</f>
        <v/>
      </c>
      <c r="H6" s="27">
        <f>SUMIFS('Running Log'!C:C,'Running Log'!B:B,A6)</f>
        <v/>
      </c>
      <c r="I6" s="19">
        <f>SUMIFS('Running Log'!D:D,'Running Log'!B:B,A6)</f>
        <v/>
      </c>
      <c r="J6" s="19">
        <f>IFERROR(AVERAGEIFS('Running Log'!F:F,'Running Log'!B:B,A6),"")</f>
        <v/>
      </c>
      <c r="K6" s="36">
        <f>IFERROR(AVERAGEIFS('Body Metrics'!C:C,'Body Metrics'!B:B,A6),"")</f>
        <v/>
      </c>
    </row>
    <row r="7" ht="20" customHeight="1">
      <c r="A7" s="22" t="n">
        <v>6</v>
      </c>
      <c r="B7" s="22">
        <f>TEXT(DATE(2026,4,27)+(A7-1)*7,"mmm d")&amp;" – "&amp;TEXT(DATE(2026,4,27)+A7*7-1,"mmm d")</f>
        <v/>
      </c>
      <c r="C7" s="22">
        <f>SUMPRODUCT(IFERROR((('Lifting Log'!B2:B801=A7)*('Lifting Log'!E2:E801=1))/COUNTIFS('Lifting Log'!A:A,'Lifting Log'!A2:A801,'Lifting Log'!E:E,1),0))</f>
        <v/>
      </c>
      <c r="D7" s="22">
        <f>COUNTIFS('Lifting Log'!B:B,A7)</f>
        <v/>
      </c>
      <c r="E7" s="30">
        <f>SUMIFS('Lifting Log'!I:I,'Lifting Log'!B:B,A7)</f>
        <v/>
      </c>
      <c r="F7" s="38">
        <f>IFERROR(AVERAGEIFS('Lifting Log'!H:H,'Lifting Log'!B:B,A7),"")</f>
        <v/>
      </c>
      <c r="G7" s="22">
        <f>COUNTIFS('Running Log'!B:B,A7)</f>
        <v/>
      </c>
      <c r="H7" s="28">
        <f>SUMIFS('Running Log'!C:C,'Running Log'!B:B,A7)</f>
        <v/>
      </c>
      <c r="I7" s="25">
        <f>SUMIFS('Running Log'!D:D,'Running Log'!B:B,A7)</f>
        <v/>
      </c>
      <c r="J7" s="25">
        <f>IFERROR(AVERAGEIFS('Running Log'!F:F,'Running Log'!B:B,A7),"")</f>
        <v/>
      </c>
      <c r="K7" s="38">
        <f>IFERROR(AVERAGEIFS('Body Metrics'!C:C,'Body Metrics'!B:B,A7),"")</f>
        <v/>
      </c>
    </row>
    <row r="8" ht="20" customHeight="1">
      <c r="A8" s="16" t="n">
        <v>7</v>
      </c>
      <c r="B8" s="16">
        <f>TEXT(DATE(2026,4,27)+(A8-1)*7,"mmm d")&amp;" – "&amp;TEXT(DATE(2026,4,27)+A8*7-1,"mmm d")</f>
        <v/>
      </c>
      <c r="C8" s="16">
        <f>SUMPRODUCT(IFERROR((('Lifting Log'!B2:B801=A8)*('Lifting Log'!E2:E801=1))/COUNTIFS('Lifting Log'!A:A,'Lifting Log'!A2:A801,'Lifting Log'!E:E,1),0))</f>
        <v/>
      </c>
      <c r="D8" s="16">
        <f>COUNTIFS('Lifting Log'!B:B,A8)</f>
        <v/>
      </c>
      <c r="E8" s="29">
        <f>SUMIFS('Lifting Log'!I:I,'Lifting Log'!B:B,A8)</f>
        <v/>
      </c>
      <c r="F8" s="36">
        <f>IFERROR(AVERAGEIFS('Lifting Log'!H:H,'Lifting Log'!B:B,A8),"")</f>
        <v/>
      </c>
      <c r="G8" s="16">
        <f>COUNTIFS('Running Log'!B:B,A8)</f>
        <v/>
      </c>
      <c r="H8" s="27">
        <f>SUMIFS('Running Log'!C:C,'Running Log'!B:B,A8)</f>
        <v/>
      </c>
      <c r="I8" s="19">
        <f>SUMIFS('Running Log'!D:D,'Running Log'!B:B,A8)</f>
        <v/>
      </c>
      <c r="J8" s="19">
        <f>IFERROR(AVERAGEIFS('Running Log'!F:F,'Running Log'!B:B,A8),"")</f>
        <v/>
      </c>
      <c r="K8" s="36">
        <f>IFERROR(AVERAGEIFS('Body Metrics'!C:C,'Body Metrics'!B:B,A8),"")</f>
        <v/>
      </c>
    </row>
    <row r="9" ht="20" customHeight="1">
      <c r="A9" s="22" t="n">
        <v>8</v>
      </c>
      <c r="B9" s="22">
        <f>TEXT(DATE(2026,4,27)+(A9-1)*7,"mmm d")&amp;" – "&amp;TEXT(DATE(2026,4,27)+A9*7-1,"mmm d")</f>
        <v/>
      </c>
      <c r="C9" s="22">
        <f>SUMPRODUCT(IFERROR((('Lifting Log'!B2:B801=A9)*('Lifting Log'!E2:E801=1))/COUNTIFS('Lifting Log'!A:A,'Lifting Log'!A2:A801,'Lifting Log'!E:E,1),0))</f>
        <v/>
      </c>
      <c r="D9" s="22">
        <f>COUNTIFS('Lifting Log'!B:B,A9)</f>
        <v/>
      </c>
      <c r="E9" s="30">
        <f>SUMIFS('Lifting Log'!I:I,'Lifting Log'!B:B,A9)</f>
        <v/>
      </c>
      <c r="F9" s="38">
        <f>IFERROR(AVERAGEIFS('Lifting Log'!H:H,'Lifting Log'!B:B,A9),"")</f>
        <v/>
      </c>
      <c r="G9" s="22">
        <f>COUNTIFS('Running Log'!B:B,A9)</f>
        <v/>
      </c>
      <c r="H9" s="28">
        <f>SUMIFS('Running Log'!C:C,'Running Log'!B:B,A9)</f>
        <v/>
      </c>
      <c r="I9" s="25">
        <f>SUMIFS('Running Log'!D:D,'Running Log'!B:B,A9)</f>
        <v/>
      </c>
      <c r="J9" s="25">
        <f>IFERROR(AVERAGEIFS('Running Log'!F:F,'Running Log'!B:B,A9),"")</f>
        <v/>
      </c>
      <c r="K9" s="38">
        <f>IFERROR(AVERAGEIFS('Body Metrics'!C:C,'Body Metrics'!B:B,A9),"")</f>
        <v/>
      </c>
    </row>
    <row r="10" ht="20" customHeight="1">
      <c r="A10" s="16" t="n">
        <v>9</v>
      </c>
      <c r="B10" s="16">
        <f>TEXT(DATE(2026,4,27)+(A10-1)*7,"mmm d")&amp;" – "&amp;TEXT(DATE(2026,4,27)+A10*7-1,"mmm d")</f>
        <v/>
      </c>
      <c r="C10" s="16">
        <f>SUMPRODUCT(IFERROR((('Lifting Log'!B2:B801=A10)*('Lifting Log'!E2:E801=1))/COUNTIFS('Lifting Log'!A:A,'Lifting Log'!A2:A801,'Lifting Log'!E:E,1),0))</f>
        <v/>
      </c>
      <c r="D10" s="16">
        <f>COUNTIFS('Lifting Log'!B:B,A10)</f>
        <v/>
      </c>
      <c r="E10" s="29">
        <f>SUMIFS('Lifting Log'!I:I,'Lifting Log'!B:B,A10)</f>
        <v/>
      </c>
      <c r="F10" s="36">
        <f>IFERROR(AVERAGEIFS('Lifting Log'!H:H,'Lifting Log'!B:B,A10),"")</f>
        <v/>
      </c>
      <c r="G10" s="16">
        <f>COUNTIFS('Running Log'!B:B,A10)</f>
        <v/>
      </c>
      <c r="H10" s="27">
        <f>SUMIFS('Running Log'!C:C,'Running Log'!B:B,A10)</f>
        <v/>
      </c>
      <c r="I10" s="19">
        <f>SUMIFS('Running Log'!D:D,'Running Log'!B:B,A10)</f>
        <v/>
      </c>
      <c r="J10" s="19">
        <f>IFERROR(AVERAGEIFS('Running Log'!F:F,'Running Log'!B:B,A10),"")</f>
        <v/>
      </c>
      <c r="K10" s="36">
        <f>IFERROR(AVERAGEIFS('Body Metrics'!C:C,'Body Metrics'!B:B,A10),"")</f>
        <v/>
      </c>
    </row>
    <row r="11" ht="20" customHeight="1">
      <c r="A11" s="22" t="n">
        <v>10</v>
      </c>
      <c r="B11" s="22">
        <f>TEXT(DATE(2026,4,27)+(A11-1)*7,"mmm d")&amp;" – "&amp;TEXT(DATE(2026,4,27)+A11*7-1,"mmm d")</f>
        <v/>
      </c>
      <c r="C11" s="22">
        <f>SUMPRODUCT(IFERROR((('Lifting Log'!B2:B801=A11)*('Lifting Log'!E2:E801=1))/COUNTIFS('Lifting Log'!A:A,'Lifting Log'!A2:A801,'Lifting Log'!E:E,1),0))</f>
        <v/>
      </c>
      <c r="D11" s="22">
        <f>COUNTIFS('Lifting Log'!B:B,A11)</f>
        <v/>
      </c>
      <c r="E11" s="30">
        <f>SUMIFS('Lifting Log'!I:I,'Lifting Log'!B:B,A11)</f>
        <v/>
      </c>
      <c r="F11" s="38">
        <f>IFERROR(AVERAGEIFS('Lifting Log'!H:H,'Lifting Log'!B:B,A11),"")</f>
        <v/>
      </c>
      <c r="G11" s="22">
        <f>COUNTIFS('Running Log'!B:B,A11)</f>
        <v/>
      </c>
      <c r="H11" s="28">
        <f>SUMIFS('Running Log'!C:C,'Running Log'!B:B,A11)</f>
        <v/>
      </c>
      <c r="I11" s="25">
        <f>SUMIFS('Running Log'!D:D,'Running Log'!B:B,A11)</f>
        <v/>
      </c>
      <c r="J11" s="25">
        <f>IFERROR(AVERAGEIFS('Running Log'!F:F,'Running Log'!B:B,A11),"")</f>
        <v/>
      </c>
      <c r="K11" s="38">
        <f>IFERROR(AVERAGEIFS('Body Metrics'!C:C,'Body Metrics'!B:B,A11),"")</f>
        <v/>
      </c>
    </row>
    <row r="12" ht="20" customHeight="1">
      <c r="A12" s="16" t="n">
        <v>11</v>
      </c>
      <c r="B12" s="16">
        <f>TEXT(DATE(2026,4,27)+(A12-1)*7,"mmm d")&amp;" – "&amp;TEXT(DATE(2026,4,27)+A12*7-1,"mmm d")</f>
        <v/>
      </c>
      <c r="C12" s="16">
        <f>SUMPRODUCT(IFERROR((('Lifting Log'!B2:B801=A12)*('Lifting Log'!E2:E801=1))/COUNTIFS('Lifting Log'!A:A,'Lifting Log'!A2:A801,'Lifting Log'!E:E,1),0))</f>
        <v/>
      </c>
      <c r="D12" s="16">
        <f>COUNTIFS('Lifting Log'!B:B,A12)</f>
        <v/>
      </c>
      <c r="E12" s="29">
        <f>SUMIFS('Lifting Log'!I:I,'Lifting Log'!B:B,A12)</f>
        <v/>
      </c>
      <c r="F12" s="36">
        <f>IFERROR(AVERAGEIFS('Lifting Log'!H:H,'Lifting Log'!B:B,A12),"")</f>
        <v/>
      </c>
      <c r="G12" s="16">
        <f>COUNTIFS('Running Log'!B:B,A12)</f>
        <v/>
      </c>
      <c r="H12" s="27">
        <f>SUMIFS('Running Log'!C:C,'Running Log'!B:B,A12)</f>
        <v/>
      </c>
      <c r="I12" s="19">
        <f>SUMIFS('Running Log'!D:D,'Running Log'!B:B,A12)</f>
        <v/>
      </c>
      <c r="J12" s="19">
        <f>IFERROR(AVERAGEIFS('Running Log'!F:F,'Running Log'!B:B,A12),"")</f>
        <v/>
      </c>
      <c r="K12" s="36">
        <f>IFERROR(AVERAGEIFS('Body Metrics'!C:C,'Body Metrics'!B:B,A12),"")</f>
        <v/>
      </c>
    </row>
    <row r="13">
      <c r="A13" s="16" t="n">
        <v>12</v>
      </c>
      <c r="B13" s="16">
        <f>TEXT(DATE(2026,4,27)+(A13-1)*7,"mmm d")&amp;" – "&amp;TEXT(DATE(2026,4,27)+A13*7-1,"mmm d")</f>
        <v/>
      </c>
      <c r="C13" s="16">
        <f>SUMPRODUCT(IFERROR((('Lifting Log'!B2:B801=A13)*('Lifting Log'!E2:E801=1))/COUNTIFS('Lifting Log'!A:A,'Lifting Log'!A2:A801,'Lifting Log'!E:E,1),0))</f>
        <v/>
      </c>
      <c r="D13" s="16">
        <f>COUNTIFS('Lifting Log'!B:B,A13)</f>
        <v/>
      </c>
      <c r="E13" s="29">
        <f>SUMIFS('Lifting Log'!I:I,'Lifting Log'!B:B,A13)</f>
        <v/>
      </c>
      <c r="F13" s="36">
        <f>IFERROR(AVERAGEIFS('Lifting Log'!H:H,'Lifting Log'!B:B,A13),"")</f>
        <v/>
      </c>
      <c r="G13" s="16">
        <f>COUNTIFS('Running Log'!B:B,A13)</f>
        <v/>
      </c>
      <c r="H13" s="27">
        <f>SUMIFS('Running Log'!C:C,'Running Log'!B:B,A13)</f>
        <v/>
      </c>
      <c r="I13" s="19">
        <f>SUMIFS('Running Log'!D:D,'Running Log'!B:B,A13)</f>
        <v/>
      </c>
      <c r="J13" s="19">
        <f>IFERROR(AVERAGEIFS('Running Log'!F:F,'Running Log'!B:B,A13),"")</f>
        <v/>
      </c>
      <c r="K13" s="36">
        <f>IFERROR(AVERAGEIFS('Body Metrics'!C:C,'Body Metrics'!B:B,A13),"")</f>
        <v/>
      </c>
    </row>
    <row r="14">
      <c r="A14" s="16" t="n">
        <v>13</v>
      </c>
      <c r="B14" s="16">
        <f>TEXT(DATE(2026,4,27)+(A14-1)*7,"mmm d")&amp;" – "&amp;TEXT(DATE(2026,4,27)+A14*7-1,"mmm d")</f>
        <v/>
      </c>
      <c r="C14" s="16">
        <f>SUMPRODUCT(IFERROR((('Lifting Log'!B2:B801=A14)*('Lifting Log'!E2:E801=1))/COUNTIFS('Lifting Log'!A:A,'Lifting Log'!A2:A801,'Lifting Log'!E:E,1),0))</f>
        <v/>
      </c>
      <c r="D14" s="16">
        <f>COUNTIFS('Lifting Log'!B:B,A14)</f>
        <v/>
      </c>
      <c r="E14" s="29">
        <f>SUMIFS('Lifting Log'!I:I,'Lifting Log'!B:B,A14)</f>
        <v/>
      </c>
      <c r="F14" s="36">
        <f>IFERROR(AVERAGEIFS('Lifting Log'!H:H,'Lifting Log'!B:B,A14),"")</f>
        <v/>
      </c>
      <c r="G14" s="16">
        <f>COUNTIFS('Running Log'!B:B,A14)</f>
        <v/>
      </c>
      <c r="H14" s="27">
        <f>SUMIFS('Running Log'!C:C,'Running Log'!B:B,A14)</f>
        <v/>
      </c>
      <c r="I14" s="19">
        <f>SUMIFS('Running Log'!D:D,'Running Log'!B:B,A14)</f>
        <v/>
      </c>
      <c r="J14" s="19">
        <f>IFERROR(AVERAGEIFS('Running Log'!F:F,'Running Log'!B:B,A14),"")</f>
        <v/>
      </c>
      <c r="K14" s="36">
        <f>IFERROR(AVERAGEIFS('Body Metrics'!C:C,'Body Metrics'!B:B,A14),"")</f>
        <v/>
      </c>
    </row>
    <row r="15">
      <c r="A15" s="16" t="n">
        <v>14</v>
      </c>
      <c r="B15" s="16">
        <f>TEXT(DATE(2026,4,27)+(A15-1)*7,"mmm d")&amp;" – "&amp;TEXT(DATE(2026,4,27)+A15*7-1,"mmm d")</f>
        <v/>
      </c>
      <c r="C15" s="16">
        <f>SUMPRODUCT(IFERROR((('Lifting Log'!B2:B801=A15)*('Lifting Log'!E2:E801=1))/COUNTIFS('Lifting Log'!A:A,'Lifting Log'!A2:A801,'Lifting Log'!E:E,1),0))</f>
        <v/>
      </c>
      <c r="D15" s="16">
        <f>COUNTIFS('Lifting Log'!B:B,A15)</f>
        <v/>
      </c>
      <c r="E15" s="29">
        <f>SUMIFS('Lifting Log'!I:I,'Lifting Log'!B:B,A15)</f>
        <v/>
      </c>
      <c r="F15" s="36">
        <f>IFERROR(AVERAGEIFS('Lifting Log'!H:H,'Lifting Log'!B:B,A15),"")</f>
        <v/>
      </c>
      <c r="G15" s="16">
        <f>COUNTIFS('Running Log'!B:B,A15)</f>
        <v/>
      </c>
      <c r="H15" s="27">
        <f>SUMIFS('Running Log'!C:C,'Running Log'!B:B,A15)</f>
        <v/>
      </c>
      <c r="I15" s="19">
        <f>SUMIFS('Running Log'!D:D,'Running Log'!B:B,A15)</f>
        <v/>
      </c>
      <c r="J15" s="19">
        <f>IFERROR(AVERAGEIFS('Running Log'!F:F,'Running Log'!B:B,A15),"")</f>
        <v/>
      </c>
      <c r="K15" s="36">
        <f>IFERROR(AVERAGEIFS('Body Metrics'!C:C,'Body Metrics'!B:B,A15),"")</f>
        <v/>
      </c>
    </row>
    <row r="16">
      <c r="A16" s="16" t="n">
        <v>15</v>
      </c>
      <c r="B16" s="16">
        <f>TEXT(DATE(2026,4,27)+(A16-1)*7,"mmm d")&amp;" – "&amp;TEXT(DATE(2026,4,27)+A16*7-1,"mmm d")</f>
        <v/>
      </c>
      <c r="C16" s="16">
        <f>SUMPRODUCT(IFERROR((('Lifting Log'!B2:B801=A16)*('Lifting Log'!E2:E801=1))/COUNTIFS('Lifting Log'!A:A,'Lifting Log'!A2:A801,'Lifting Log'!E:E,1),0))</f>
        <v/>
      </c>
      <c r="D16" s="16">
        <f>COUNTIFS('Lifting Log'!B:B,A16)</f>
        <v/>
      </c>
      <c r="E16" s="29">
        <f>SUMIFS('Lifting Log'!I:I,'Lifting Log'!B:B,A16)</f>
        <v/>
      </c>
      <c r="F16" s="36">
        <f>IFERROR(AVERAGEIFS('Lifting Log'!H:H,'Lifting Log'!B:B,A16),"")</f>
        <v/>
      </c>
      <c r="G16" s="16">
        <f>COUNTIFS('Running Log'!B:B,A16)</f>
        <v/>
      </c>
      <c r="H16" s="27">
        <f>SUMIFS('Running Log'!C:C,'Running Log'!B:B,A16)</f>
        <v/>
      </c>
      <c r="I16" s="19">
        <f>SUMIFS('Running Log'!D:D,'Running Log'!B:B,A16)</f>
        <v/>
      </c>
      <c r="J16" s="19">
        <f>IFERROR(AVERAGEIFS('Running Log'!F:F,'Running Log'!B:B,A16),"")</f>
        <v/>
      </c>
      <c r="K16" s="36">
        <f>IFERROR(AVERAGEIFS('Body Metrics'!C:C,'Body Metrics'!B:B,A16),"")</f>
        <v/>
      </c>
    </row>
    <row r="17">
      <c r="A17" s="16" t="n">
        <v>16</v>
      </c>
      <c r="B17" s="16">
        <f>TEXT(DATE(2026,4,27)+(A17-1)*7,"mmm d")&amp;" – "&amp;TEXT(DATE(2026,4,27)+A17*7-1,"mmm d")</f>
        <v/>
      </c>
      <c r="C17" s="16">
        <f>SUMPRODUCT(IFERROR((('Lifting Log'!B2:B801=A17)*('Lifting Log'!E2:E801=1))/COUNTIFS('Lifting Log'!A:A,'Lifting Log'!A2:A801,'Lifting Log'!E:E,1),0))</f>
        <v/>
      </c>
      <c r="D17" s="16">
        <f>COUNTIFS('Lifting Log'!B:B,A17)</f>
        <v/>
      </c>
      <c r="E17" s="29">
        <f>SUMIFS('Lifting Log'!I:I,'Lifting Log'!B:B,A17)</f>
        <v/>
      </c>
      <c r="F17" s="36">
        <f>IFERROR(AVERAGEIFS('Lifting Log'!H:H,'Lifting Log'!B:B,A17),"")</f>
        <v/>
      </c>
      <c r="G17" s="16">
        <f>COUNTIFS('Running Log'!B:B,A17)</f>
        <v/>
      </c>
      <c r="H17" s="27">
        <f>SUMIFS('Running Log'!C:C,'Running Log'!B:B,A17)</f>
        <v/>
      </c>
      <c r="I17" s="19">
        <f>SUMIFS('Running Log'!D:D,'Running Log'!B:B,A17)</f>
        <v/>
      </c>
      <c r="J17" s="19">
        <f>IFERROR(AVERAGEIFS('Running Log'!F:F,'Running Log'!B:B,A17),"")</f>
        <v/>
      </c>
      <c r="K17" s="36">
        <f>IFERROR(AVERAGEIFS('Body Metrics'!C:C,'Body Metrics'!B:B,A17),"")</f>
        <v/>
      </c>
    </row>
    <row r="18">
      <c r="A18" s="16" t="n">
        <v>17</v>
      </c>
      <c r="B18" s="16">
        <f>TEXT(DATE(2026,4,27)+(A18-1)*7,"mmm d")&amp;" – "&amp;TEXT(DATE(2026,4,27)+A18*7-1,"mmm d")</f>
        <v/>
      </c>
      <c r="C18" s="16">
        <f>SUMPRODUCT(IFERROR((('Lifting Log'!B2:B801=A18)*('Lifting Log'!E2:E801=1))/COUNTIFS('Lifting Log'!A:A,'Lifting Log'!A2:A801,'Lifting Log'!E:E,1),0))</f>
        <v/>
      </c>
      <c r="D18" s="16">
        <f>COUNTIFS('Lifting Log'!B:B,A18)</f>
        <v/>
      </c>
      <c r="E18" s="29">
        <f>SUMIFS('Lifting Log'!I:I,'Lifting Log'!B:B,A18)</f>
        <v/>
      </c>
      <c r="F18" s="36">
        <f>IFERROR(AVERAGEIFS('Lifting Log'!H:H,'Lifting Log'!B:B,A18),"")</f>
        <v/>
      </c>
      <c r="G18" s="16">
        <f>COUNTIFS('Running Log'!B:B,A18)</f>
        <v/>
      </c>
      <c r="H18" s="27">
        <f>SUMIFS('Running Log'!C:C,'Running Log'!B:B,A18)</f>
        <v/>
      </c>
      <c r="I18" s="19">
        <f>SUMIFS('Running Log'!D:D,'Running Log'!B:B,A18)</f>
        <v/>
      </c>
      <c r="J18" s="19">
        <f>IFERROR(AVERAGEIFS('Running Log'!F:F,'Running Log'!B:B,A18),"")</f>
        <v/>
      </c>
      <c r="K18" s="36">
        <f>IFERROR(AVERAGEIFS('Body Metrics'!C:C,'Body Metrics'!B:B,A18),"")</f>
        <v/>
      </c>
    </row>
    <row r="19">
      <c r="A19" s="16" t="n">
        <v>18</v>
      </c>
      <c r="B19" s="16">
        <f>TEXT(DATE(2026,4,27)+(A19-1)*7,"mmm d")&amp;" – "&amp;TEXT(DATE(2026,4,27)+A19*7-1,"mmm d")</f>
        <v/>
      </c>
      <c r="C19" s="16">
        <f>SUMPRODUCT(IFERROR((('Lifting Log'!B2:B801=A19)*('Lifting Log'!E2:E801=1))/COUNTIFS('Lifting Log'!A:A,'Lifting Log'!A2:A801,'Lifting Log'!E:E,1),0))</f>
        <v/>
      </c>
      <c r="D19" s="16">
        <f>COUNTIFS('Lifting Log'!B:B,A19)</f>
        <v/>
      </c>
      <c r="E19" s="29">
        <f>SUMIFS('Lifting Log'!I:I,'Lifting Log'!B:B,A19)</f>
        <v/>
      </c>
      <c r="F19" s="36">
        <f>IFERROR(AVERAGEIFS('Lifting Log'!H:H,'Lifting Log'!B:B,A19),"")</f>
        <v/>
      </c>
      <c r="G19" s="16">
        <f>COUNTIFS('Running Log'!B:B,A19)</f>
        <v/>
      </c>
      <c r="H19" s="27">
        <f>SUMIFS('Running Log'!C:C,'Running Log'!B:B,A19)</f>
        <v/>
      </c>
      <c r="I19" s="19">
        <f>SUMIFS('Running Log'!D:D,'Running Log'!B:B,A19)</f>
        <v/>
      </c>
      <c r="J19" s="19">
        <f>IFERROR(AVERAGEIFS('Running Log'!F:F,'Running Log'!B:B,A19),"")</f>
        <v/>
      </c>
      <c r="K19" s="36">
        <f>IFERROR(AVERAGEIFS('Body Metrics'!C:C,'Body Metrics'!B:B,A19),"")</f>
        <v/>
      </c>
    </row>
    <row r="20">
      <c r="A20" s="16" t="n">
        <v>19</v>
      </c>
      <c r="B20" s="16">
        <f>TEXT(DATE(2026,4,27)+(A20-1)*7,"mmm d")&amp;" – "&amp;TEXT(DATE(2026,4,27)+A20*7-1,"mmm d")</f>
        <v/>
      </c>
      <c r="C20" s="16">
        <f>SUMPRODUCT(IFERROR((('Lifting Log'!B2:B801=A20)*('Lifting Log'!E2:E801=1))/COUNTIFS('Lifting Log'!A:A,'Lifting Log'!A2:A801,'Lifting Log'!E:E,1),0))</f>
        <v/>
      </c>
      <c r="D20" s="16">
        <f>COUNTIFS('Lifting Log'!B:B,A20)</f>
        <v/>
      </c>
      <c r="E20" s="29">
        <f>SUMIFS('Lifting Log'!I:I,'Lifting Log'!B:B,A20)</f>
        <v/>
      </c>
      <c r="F20" s="36">
        <f>IFERROR(AVERAGEIFS('Lifting Log'!H:H,'Lifting Log'!B:B,A20),"")</f>
        <v/>
      </c>
      <c r="G20" s="16">
        <f>COUNTIFS('Running Log'!B:B,A20)</f>
        <v/>
      </c>
      <c r="H20" s="27">
        <f>SUMIFS('Running Log'!C:C,'Running Log'!B:B,A20)</f>
        <v/>
      </c>
      <c r="I20" s="19">
        <f>SUMIFS('Running Log'!D:D,'Running Log'!B:B,A20)</f>
        <v/>
      </c>
      <c r="J20" s="19">
        <f>IFERROR(AVERAGEIFS('Running Log'!F:F,'Running Log'!B:B,A20),"")</f>
        <v/>
      </c>
      <c r="K20" s="36">
        <f>IFERROR(AVERAGEIFS('Body Metrics'!C:C,'Body Metrics'!B:B,A20),"")</f>
        <v/>
      </c>
    </row>
    <row r="21">
      <c r="A21" s="16" t="n">
        <v>20</v>
      </c>
      <c r="B21" s="16">
        <f>TEXT(DATE(2026,4,27)+(A21-1)*7,"mmm d")&amp;" – "&amp;TEXT(DATE(2026,4,27)+A21*7-1,"mmm d")</f>
        <v/>
      </c>
      <c r="C21" s="16">
        <f>SUMPRODUCT(IFERROR((('Lifting Log'!B2:B801=A21)*('Lifting Log'!E2:E801=1))/COUNTIFS('Lifting Log'!A:A,'Lifting Log'!A2:A801,'Lifting Log'!E:E,1),0))</f>
        <v/>
      </c>
      <c r="D21" s="16">
        <f>COUNTIFS('Lifting Log'!B:B,A21)</f>
        <v/>
      </c>
      <c r="E21" s="29">
        <f>SUMIFS('Lifting Log'!I:I,'Lifting Log'!B:B,A21)</f>
        <v/>
      </c>
      <c r="F21" s="36">
        <f>IFERROR(AVERAGEIFS('Lifting Log'!H:H,'Lifting Log'!B:B,A21),"")</f>
        <v/>
      </c>
      <c r="G21" s="16">
        <f>COUNTIFS('Running Log'!B:B,A21)</f>
        <v/>
      </c>
      <c r="H21" s="27">
        <f>SUMIFS('Running Log'!C:C,'Running Log'!B:B,A21)</f>
        <v/>
      </c>
      <c r="I21" s="19">
        <f>SUMIFS('Running Log'!D:D,'Running Log'!B:B,A21)</f>
        <v/>
      </c>
      <c r="J21" s="19">
        <f>IFERROR(AVERAGEIFS('Running Log'!F:F,'Running Log'!B:B,A21),"")</f>
        <v/>
      </c>
      <c r="K21" s="36">
        <f>IFERROR(AVERAGEIFS('Body Metrics'!C:C,'Body Metrics'!B:B,A21),"")</f>
        <v/>
      </c>
    </row>
    <row r="22">
      <c r="A22" s="16" t="n">
        <v>21</v>
      </c>
      <c r="B22" s="16">
        <f>TEXT(DATE(2026,4,27)+(A22-1)*7,"mmm d")&amp;" – "&amp;TEXT(DATE(2026,4,27)+A22*7-1,"mmm d")</f>
        <v/>
      </c>
      <c r="C22" s="16">
        <f>SUMPRODUCT(IFERROR((('Lifting Log'!B2:B801=A22)*('Lifting Log'!E2:E801=1))/COUNTIFS('Lifting Log'!A:A,'Lifting Log'!A2:A801,'Lifting Log'!E:E,1),0))</f>
        <v/>
      </c>
      <c r="D22" s="16">
        <f>COUNTIFS('Lifting Log'!B:B,A22)</f>
        <v/>
      </c>
      <c r="E22" s="29">
        <f>SUMIFS('Lifting Log'!I:I,'Lifting Log'!B:B,A22)</f>
        <v/>
      </c>
      <c r="F22" s="36">
        <f>IFERROR(AVERAGEIFS('Lifting Log'!H:H,'Lifting Log'!B:B,A22),"")</f>
        <v/>
      </c>
      <c r="G22" s="16">
        <f>COUNTIFS('Running Log'!B:B,A22)</f>
        <v/>
      </c>
      <c r="H22" s="27">
        <f>SUMIFS('Running Log'!C:C,'Running Log'!B:B,A22)</f>
        <v/>
      </c>
      <c r="I22" s="19">
        <f>SUMIFS('Running Log'!D:D,'Running Log'!B:B,A22)</f>
        <v/>
      </c>
      <c r="J22" s="19">
        <f>IFERROR(AVERAGEIFS('Running Log'!F:F,'Running Log'!B:B,A22),"")</f>
        <v/>
      </c>
      <c r="K22" s="36">
        <f>IFERROR(AVERAGEIFS('Body Metrics'!C:C,'Body Metrics'!B:B,A22),"")</f>
        <v/>
      </c>
    </row>
    <row r="23">
      <c r="A23" s="16" t="n">
        <v>22</v>
      </c>
      <c r="B23" s="16">
        <f>TEXT(DATE(2026,4,27)+(A23-1)*7,"mmm d")&amp;" – "&amp;TEXT(DATE(2026,4,27)+A23*7-1,"mmm d")</f>
        <v/>
      </c>
      <c r="C23" s="16">
        <f>SUMPRODUCT(IFERROR((('Lifting Log'!B2:B801=A23)*('Lifting Log'!E2:E801=1))/COUNTIFS('Lifting Log'!A:A,'Lifting Log'!A2:A801,'Lifting Log'!E:E,1),0))</f>
        <v/>
      </c>
      <c r="D23" s="16">
        <f>COUNTIFS('Lifting Log'!B:B,A23)</f>
        <v/>
      </c>
      <c r="E23" s="29">
        <f>SUMIFS('Lifting Log'!I:I,'Lifting Log'!B:B,A23)</f>
        <v/>
      </c>
      <c r="F23" s="36">
        <f>IFERROR(AVERAGEIFS('Lifting Log'!H:H,'Lifting Log'!B:B,A23),"")</f>
        <v/>
      </c>
      <c r="G23" s="16">
        <f>COUNTIFS('Running Log'!B:B,A23)</f>
        <v/>
      </c>
      <c r="H23" s="27">
        <f>SUMIFS('Running Log'!C:C,'Running Log'!B:B,A23)</f>
        <v/>
      </c>
      <c r="I23" s="19">
        <f>SUMIFS('Running Log'!D:D,'Running Log'!B:B,A23)</f>
        <v/>
      </c>
      <c r="J23" s="19">
        <f>IFERROR(AVERAGEIFS('Running Log'!F:F,'Running Log'!B:B,A23),"")</f>
        <v/>
      </c>
      <c r="K23" s="36">
        <f>IFERROR(AVERAGEIFS('Body Metrics'!C:C,'Body Metrics'!B:B,A23),"")</f>
        <v/>
      </c>
    </row>
    <row r="24">
      <c r="A24" s="16" t="n">
        <v>23</v>
      </c>
      <c r="B24" s="16">
        <f>TEXT(DATE(2026,4,27)+(A24-1)*7,"mmm d")&amp;" – "&amp;TEXT(DATE(2026,4,27)+A24*7-1,"mmm d")</f>
        <v/>
      </c>
      <c r="C24" s="16">
        <f>SUMPRODUCT(IFERROR((('Lifting Log'!B2:B801=A24)*('Lifting Log'!E2:E801=1))/COUNTIFS('Lifting Log'!A:A,'Lifting Log'!A2:A801,'Lifting Log'!E:E,1),0))</f>
        <v/>
      </c>
      <c r="D24" s="16">
        <f>COUNTIFS('Lifting Log'!B:B,A24)</f>
        <v/>
      </c>
      <c r="E24" s="29">
        <f>SUMIFS('Lifting Log'!I:I,'Lifting Log'!B:B,A24)</f>
        <v/>
      </c>
      <c r="F24" s="36">
        <f>IFERROR(AVERAGEIFS('Lifting Log'!H:H,'Lifting Log'!B:B,A24),"")</f>
        <v/>
      </c>
      <c r="G24" s="16">
        <f>COUNTIFS('Running Log'!B:B,A24)</f>
        <v/>
      </c>
      <c r="H24" s="27">
        <f>SUMIFS('Running Log'!C:C,'Running Log'!B:B,A24)</f>
        <v/>
      </c>
      <c r="I24" s="19">
        <f>SUMIFS('Running Log'!D:D,'Running Log'!B:B,A24)</f>
        <v/>
      </c>
      <c r="J24" s="19">
        <f>IFERROR(AVERAGEIFS('Running Log'!F:F,'Running Log'!B:B,A24),"")</f>
        <v/>
      </c>
      <c r="K24" s="36">
        <f>IFERROR(AVERAGEIFS('Body Metrics'!C:C,'Body Metrics'!B:B,A24),"")</f>
        <v/>
      </c>
    </row>
    <row r="25">
      <c r="A25" s="16" t="n">
        <v>24</v>
      </c>
      <c r="B25" s="16">
        <f>TEXT(DATE(2026,4,27)+(A25-1)*7,"mmm d")&amp;" – "&amp;TEXT(DATE(2026,4,27)+A25*7-1,"mmm d")</f>
        <v/>
      </c>
      <c r="C25" s="16">
        <f>SUMPRODUCT(IFERROR((('Lifting Log'!B2:B801=A25)*('Lifting Log'!E2:E801=1))/COUNTIFS('Lifting Log'!A:A,'Lifting Log'!A2:A801,'Lifting Log'!E:E,1),0))</f>
        <v/>
      </c>
      <c r="D25" s="16">
        <f>COUNTIFS('Lifting Log'!B:B,A25)</f>
        <v/>
      </c>
      <c r="E25" s="29">
        <f>SUMIFS('Lifting Log'!I:I,'Lifting Log'!B:B,A25)</f>
        <v/>
      </c>
      <c r="F25" s="36">
        <f>IFERROR(AVERAGEIFS('Lifting Log'!H:H,'Lifting Log'!B:B,A25),"")</f>
        <v/>
      </c>
      <c r="G25" s="16">
        <f>COUNTIFS('Running Log'!B:B,A25)</f>
        <v/>
      </c>
      <c r="H25" s="27">
        <f>SUMIFS('Running Log'!C:C,'Running Log'!B:B,A25)</f>
        <v/>
      </c>
      <c r="I25" s="19">
        <f>SUMIFS('Running Log'!D:D,'Running Log'!B:B,A25)</f>
        <v/>
      </c>
      <c r="J25" s="19">
        <f>IFERROR(AVERAGEIFS('Running Log'!F:F,'Running Log'!B:B,A25),"")</f>
        <v/>
      </c>
      <c r="K25" s="36">
        <f>IFERROR(AVERAGEIFS('Body Metrics'!C:C,'Body Metrics'!B:B,A25),"")</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ht="26" customHeight="1">
      <c r="A1" s="14" t="inlineStr">
        <is>
          <t>Week</t>
        </is>
      </c>
      <c r="B1" s="14" t="inlineStr">
        <is>
          <t>Date Range</t>
        </is>
      </c>
      <c r="C1" s="14" t="inlineStr">
        <is>
          <t>Bench Press</t>
        </is>
      </c>
      <c r="D1" s="14" t="inlineStr">
        <is>
          <t>Overhead Press</t>
        </is>
      </c>
      <c r="E1" s="14" t="inlineStr">
        <is>
          <t>Back Squat</t>
        </is>
      </c>
      <c r="F1" s="14" t="inlineStr">
        <is>
          <t>Romanian Deadlift</t>
        </is>
      </c>
      <c r="G1" s="14" t="inlineStr">
        <is>
          <t>Lat Pulldown</t>
        </is>
      </c>
      <c r="H1" s="14" t="inlineStr">
        <is>
          <t>Barbell Row</t>
        </is>
      </c>
      <c r="I1" s="14" t="inlineStr">
        <is>
          <t>Cable Row</t>
        </is>
      </c>
      <c r="J1" s="14" t="inlineStr">
        <is>
          <t>Incline DB Press</t>
        </is>
      </c>
    </row>
    <row r="2" ht="20" customHeight="1">
      <c r="A2" s="16" t="n">
        <v>1</v>
      </c>
      <c r="B2" s="16">
        <f>TEXT(DATE(2026,4,27)+(A2-1)*7,"mmm d")</f>
        <v/>
      </c>
      <c r="C2" s="36">
        <f>IF(COUNTIFS('Lifting Log'!B:B,A2,'Lifting Log'!D:D,"Bench Press")=0,"",SUMPRODUCT(MAX(('Lifting Log'!B2:B801=A2)*('Lifting Log'!D2:D801="Bench Press")*IFERROR('Lifting Log'!J2:J801*1,0))))</f>
        <v/>
      </c>
      <c r="D2" s="36">
        <f>IF(COUNTIFS('Lifting Log'!B:B,A2,'Lifting Log'!D:D,"Overhead Press")=0,"",SUMPRODUCT(MAX(('Lifting Log'!B2:B801=A2)*('Lifting Log'!D2:D801="Overhead Press")*IFERROR('Lifting Log'!J2:J801*1,0))))</f>
        <v/>
      </c>
      <c r="E2" s="36">
        <f>IF(COUNTIFS('Lifting Log'!B:B,A2,'Lifting Log'!D:D,"Back Squat")=0,"",SUMPRODUCT(MAX(('Lifting Log'!B2:B801=A2)*('Lifting Log'!D2:D801="Back Squat")*IFERROR('Lifting Log'!J2:J801*1,0))))</f>
        <v/>
      </c>
      <c r="F2" s="36">
        <f>IF(COUNTIFS('Lifting Log'!B:B,A2,'Lifting Log'!D:D,"Romanian Deadlift")=0,"",SUMPRODUCT(MAX(('Lifting Log'!B2:B801=A2)*('Lifting Log'!D2:D801="Romanian Deadlift")*IFERROR('Lifting Log'!J2:J801*1,0))))</f>
        <v/>
      </c>
      <c r="G2" s="36">
        <f>IF(COUNTIFS('Lifting Log'!B:B,A2,'Lifting Log'!D:D,"Lat Pulldown")=0,"",SUMPRODUCT(MAX(('Lifting Log'!B2:B801=A2)*('Lifting Log'!D2:D801="Lat Pulldown")*IFERROR('Lifting Log'!J2:J801*1,0))))</f>
        <v/>
      </c>
      <c r="H2" s="36">
        <f>IF(COUNTIFS('Lifting Log'!B:B,A2,'Lifting Log'!D:D,"Barbell Row")=0,"",SUMPRODUCT(MAX(('Lifting Log'!B2:B801=A2)*('Lifting Log'!D2:D801="Barbell Row")*IFERROR('Lifting Log'!J2:J801*1,0))))</f>
        <v/>
      </c>
      <c r="I2" s="36">
        <f>IF(COUNTIFS('Lifting Log'!B:B,A2,'Lifting Log'!D:D,"Cable Row")=0,"",SUMPRODUCT(MAX(('Lifting Log'!B2:B801=A2)*('Lifting Log'!D2:D801="Cable Row")*IFERROR('Lifting Log'!J2:J801*1,0))))</f>
        <v/>
      </c>
      <c r="J2" s="36">
        <f>IF(COUNTIFS('Lifting Log'!B:B,A2,'Lifting Log'!D:D,"Incline DB Press")=0,"",SUMPRODUCT(MAX(('Lifting Log'!B2:B801=A2)*('Lifting Log'!D2:D801="Incline DB Press")*IFERROR('Lifting Log'!J2:J801*1,0))))</f>
        <v/>
      </c>
    </row>
    <row r="3" ht="20" customHeight="1">
      <c r="A3" s="22" t="n">
        <v>2</v>
      </c>
      <c r="B3" s="22">
        <f>TEXT(DATE(2026,4,27)+(A3-1)*7,"mmm d")</f>
        <v/>
      </c>
      <c r="C3" s="38">
        <f>IF(COUNTIFS('Lifting Log'!B:B,A3,'Lifting Log'!D:D,"Bench Press")=0,"",SUMPRODUCT(MAX(('Lifting Log'!B2:B801=A3)*('Lifting Log'!D2:D801="Bench Press")*IFERROR('Lifting Log'!J2:J801*1,0))))</f>
        <v/>
      </c>
      <c r="D3" s="38">
        <f>IF(COUNTIFS('Lifting Log'!B:B,A3,'Lifting Log'!D:D,"Overhead Press")=0,"",SUMPRODUCT(MAX(('Lifting Log'!B2:B801=A3)*('Lifting Log'!D2:D801="Overhead Press")*IFERROR('Lifting Log'!J2:J801*1,0))))</f>
        <v/>
      </c>
      <c r="E3" s="38">
        <f>IF(COUNTIFS('Lifting Log'!B:B,A3,'Lifting Log'!D:D,"Back Squat")=0,"",SUMPRODUCT(MAX(('Lifting Log'!B2:B801=A3)*('Lifting Log'!D2:D801="Back Squat")*IFERROR('Lifting Log'!J2:J801*1,0))))</f>
        <v/>
      </c>
      <c r="F3" s="38">
        <f>IF(COUNTIFS('Lifting Log'!B:B,A3,'Lifting Log'!D:D,"Romanian Deadlift")=0,"",SUMPRODUCT(MAX(('Lifting Log'!B2:B801=A3)*('Lifting Log'!D2:D801="Romanian Deadlift")*IFERROR('Lifting Log'!J2:J801*1,0))))</f>
        <v/>
      </c>
      <c r="G3" s="38">
        <f>IF(COUNTIFS('Lifting Log'!B:B,A3,'Lifting Log'!D:D,"Lat Pulldown")=0,"",SUMPRODUCT(MAX(('Lifting Log'!B2:B801=A3)*('Lifting Log'!D2:D801="Lat Pulldown")*IFERROR('Lifting Log'!J2:J801*1,0))))</f>
        <v/>
      </c>
      <c r="H3" s="38">
        <f>IF(COUNTIFS('Lifting Log'!B:B,A3,'Lifting Log'!D:D,"Barbell Row")=0,"",SUMPRODUCT(MAX(('Lifting Log'!B2:B801=A3)*('Lifting Log'!D2:D801="Barbell Row")*IFERROR('Lifting Log'!J2:J801*1,0))))</f>
        <v/>
      </c>
      <c r="I3" s="38">
        <f>IF(COUNTIFS('Lifting Log'!B:B,A3,'Lifting Log'!D:D,"Cable Row")=0,"",SUMPRODUCT(MAX(('Lifting Log'!B2:B801=A3)*('Lifting Log'!D2:D801="Cable Row")*IFERROR('Lifting Log'!J2:J801*1,0))))</f>
        <v/>
      </c>
      <c r="J3" s="38">
        <f>IF(COUNTIFS('Lifting Log'!B:B,A3,'Lifting Log'!D:D,"Incline DB Press")=0,"",SUMPRODUCT(MAX(('Lifting Log'!B2:B801=A3)*('Lifting Log'!D2:D801="Incline DB Press")*IFERROR('Lifting Log'!J2:J801*1,0))))</f>
        <v/>
      </c>
    </row>
    <row r="4" ht="20" customHeight="1">
      <c r="A4" s="16" t="n">
        <v>3</v>
      </c>
      <c r="B4" s="16">
        <f>TEXT(DATE(2026,4,27)+(A4-1)*7,"mmm d")</f>
        <v/>
      </c>
      <c r="C4" s="36">
        <f>IF(COUNTIFS('Lifting Log'!B:B,A4,'Lifting Log'!D:D,"Bench Press")=0,"",SUMPRODUCT(MAX(('Lifting Log'!B2:B801=A4)*('Lifting Log'!D2:D801="Bench Press")*IFERROR('Lifting Log'!J2:J801*1,0))))</f>
        <v/>
      </c>
      <c r="D4" s="36">
        <f>IF(COUNTIFS('Lifting Log'!B:B,A4,'Lifting Log'!D:D,"Overhead Press")=0,"",SUMPRODUCT(MAX(('Lifting Log'!B2:B801=A4)*('Lifting Log'!D2:D801="Overhead Press")*IFERROR('Lifting Log'!J2:J801*1,0))))</f>
        <v/>
      </c>
      <c r="E4" s="36">
        <f>IF(COUNTIFS('Lifting Log'!B:B,A4,'Lifting Log'!D:D,"Back Squat")=0,"",SUMPRODUCT(MAX(('Lifting Log'!B2:B801=A4)*('Lifting Log'!D2:D801="Back Squat")*IFERROR('Lifting Log'!J2:J801*1,0))))</f>
        <v/>
      </c>
      <c r="F4" s="36">
        <f>IF(COUNTIFS('Lifting Log'!B:B,A4,'Lifting Log'!D:D,"Romanian Deadlift")=0,"",SUMPRODUCT(MAX(('Lifting Log'!B2:B801=A4)*('Lifting Log'!D2:D801="Romanian Deadlift")*IFERROR('Lifting Log'!J2:J801*1,0))))</f>
        <v/>
      </c>
      <c r="G4" s="36">
        <f>IF(COUNTIFS('Lifting Log'!B:B,A4,'Lifting Log'!D:D,"Lat Pulldown")=0,"",SUMPRODUCT(MAX(('Lifting Log'!B2:B801=A4)*('Lifting Log'!D2:D801="Lat Pulldown")*IFERROR('Lifting Log'!J2:J801*1,0))))</f>
        <v/>
      </c>
      <c r="H4" s="36">
        <f>IF(COUNTIFS('Lifting Log'!B:B,A4,'Lifting Log'!D:D,"Barbell Row")=0,"",SUMPRODUCT(MAX(('Lifting Log'!B2:B801=A4)*('Lifting Log'!D2:D801="Barbell Row")*IFERROR('Lifting Log'!J2:J801*1,0))))</f>
        <v/>
      </c>
      <c r="I4" s="36">
        <f>IF(COUNTIFS('Lifting Log'!B:B,A4,'Lifting Log'!D:D,"Cable Row")=0,"",SUMPRODUCT(MAX(('Lifting Log'!B2:B801=A4)*('Lifting Log'!D2:D801="Cable Row")*IFERROR('Lifting Log'!J2:J801*1,0))))</f>
        <v/>
      </c>
      <c r="J4" s="36">
        <f>IF(COUNTIFS('Lifting Log'!B:B,A4,'Lifting Log'!D:D,"Incline DB Press")=0,"",SUMPRODUCT(MAX(('Lifting Log'!B2:B801=A4)*('Lifting Log'!D2:D801="Incline DB Press")*IFERROR('Lifting Log'!J2:J801*1,0))))</f>
        <v/>
      </c>
    </row>
    <row r="5" ht="20" customHeight="1">
      <c r="A5" s="22" t="n">
        <v>4</v>
      </c>
      <c r="B5" s="22">
        <f>TEXT(DATE(2026,4,27)+(A5-1)*7,"mmm d")</f>
        <v/>
      </c>
      <c r="C5" s="38">
        <f>IF(COUNTIFS('Lifting Log'!B:B,A5,'Lifting Log'!D:D,"Bench Press")=0,"",SUMPRODUCT(MAX(('Lifting Log'!B2:B801=A5)*('Lifting Log'!D2:D801="Bench Press")*IFERROR('Lifting Log'!J2:J801*1,0))))</f>
        <v/>
      </c>
      <c r="D5" s="38">
        <f>IF(COUNTIFS('Lifting Log'!B:B,A5,'Lifting Log'!D:D,"Overhead Press")=0,"",SUMPRODUCT(MAX(('Lifting Log'!B2:B801=A5)*('Lifting Log'!D2:D801="Overhead Press")*IFERROR('Lifting Log'!J2:J801*1,0))))</f>
        <v/>
      </c>
      <c r="E5" s="38">
        <f>IF(COUNTIFS('Lifting Log'!B:B,A5,'Lifting Log'!D:D,"Back Squat")=0,"",SUMPRODUCT(MAX(('Lifting Log'!B2:B801=A5)*('Lifting Log'!D2:D801="Back Squat")*IFERROR('Lifting Log'!J2:J801*1,0))))</f>
        <v/>
      </c>
      <c r="F5" s="38">
        <f>IF(COUNTIFS('Lifting Log'!B:B,A5,'Lifting Log'!D:D,"Romanian Deadlift")=0,"",SUMPRODUCT(MAX(('Lifting Log'!B2:B801=A5)*('Lifting Log'!D2:D801="Romanian Deadlift")*IFERROR('Lifting Log'!J2:J801*1,0))))</f>
        <v/>
      </c>
      <c r="G5" s="38">
        <f>IF(COUNTIFS('Lifting Log'!B:B,A5,'Lifting Log'!D:D,"Lat Pulldown")=0,"",SUMPRODUCT(MAX(('Lifting Log'!B2:B801=A5)*('Lifting Log'!D2:D801="Lat Pulldown")*IFERROR('Lifting Log'!J2:J801*1,0))))</f>
        <v/>
      </c>
      <c r="H5" s="38">
        <f>IF(COUNTIFS('Lifting Log'!B:B,A5,'Lifting Log'!D:D,"Barbell Row")=0,"",SUMPRODUCT(MAX(('Lifting Log'!B2:B801=A5)*('Lifting Log'!D2:D801="Barbell Row")*IFERROR('Lifting Log'!J2:J801*1,0))))</f>
        <v/>
      </c>
      <c r="I5" s="38">
        <f>IF(COUNTIFS('Lifting Log'!B:B,A5,'Lifting Log'!D:D,"Cable Row")=0,"",SUMPRODUCT(MAX(('Lifting Log'!B2:B801=A5)*('Lifting Log'!D2:D801="Cable Row")*IFERROR('Lifting Log'!J2:J801*1,0))))</f>
        <v/>
      </c>
      <c r="J5" s="38">
        <f>IF(COUNTIFS('Lifting Log'!B:B,A5,'Lifting Log'!D:D,"Incline DB Press")=0,"",SUMPRODUCT(MAX(('Lifting Log'!B2:B801=A5)*('Lifting Log'!D2:D801="Incline DB Press")*IFERROR('Lifting Log'!J2:J801*1,0))))</f>
        <v/>
      </c>
    </row>
    <row r="6" ht="20" customHeight="1">
      <c r="A6" s="16" t="n">
        <v>5</v>
      </c>
      <c r="B6" s="16">
        <f>TEXT(DATE(2026,4,27)+(A6-1)*7,"mmm d")</f>
        <v/>
      </c>
      <c r="C6" s="36">
        <f>IF(COUNTIFS('Lifting Log'!B:B,A6,'Lifting Log'!D:D,"Bench Press")=0,"",SUMPRODUCT(MAX(('Lifting Log'!B2:B801=A6)*('Lifting Log'!D2:D801="Bench Press")*IFERROR('Lifting Log'!J2:J801*1,0))))</f>
        <v/>
      </c>
      <c r="D6" s="36">
        <f>IF(COUNTIFS('Lifting Log'!B:B,A6,'Lifting Log'!D:D,"Overhead Press")=0,"",SUMPRODUCT(MAX(('Lifting Log'!B2:B801=A6)*('Lifting Log'!D2:D801="Overhead Press")*IFERROR('Lifting Log'!J2:J801*1,0))))</f>
        <v/>
      </c>
      <c r="E6" s="36">
        <f>IF(COUNTIFS('Lifting Log'!B:B,A6,'Lifting Log'!D:D,"Back Squat")=0,"",SUMPRODUCT(MAX(('Lifting Log'!B2:B801=A6)*('Lifting Log'!D2:D801="Back Squat")*IFERROR('Lifting Log'!J2:J801*1,0))))</f>
        <v/>
      </c>
      <c r="F6" s="36">
        <f>IF(COUNTIFS('Lifting Log'!B:B,A6,'Lifting Log'!D:D,"Romanian Deadlift")=0,"",SUMPRODUCT(MAX(('Lifting Log'!B2:B801=A6)*('Lifting Log'!D2:D801="Romanian Deadlift")*IFERROR('Lifting Log'!J2:J801*1,0))))</f>
        <v/>
      </c>
      <c r="G6" s="36">
        <f>IF(COUNTIFS('Lifting Log'!B:B,A6,'Lifting Log'!D:D,"Lat Pulldown")=0,"",SUMPRODUCT(MAX(('Lifting Log'!B2:B801=A6)*('Lifting Log'!D2:D801="Lat Pulldown")*IFERROR('Lifting Log'!J2:J801*1,0))))</f>
        <v/>
      </c>
      <c r="H6" s="36">
        <f>IF(COUNTIFS('Lifting Log'!B:B,A6,'Lifting Log'!D:D,"Barbell Row")=0,"",SUMPRODUCT(MAX(('Lifting Log'!B2:B801=A6)*('Lifting Log'!D2:D801="Barbell Row")*IFERROR('Lifting Log'!J2:J801*1,0))))</f>
        <v/>
      </c>
      <c r="I6" s="36">
        <f>IF(COUNTIFS('Lifting Log'!B:B,A6,'Lifting Log'!D:D,"Cable Row")=0,"",SUMPRODUCT(MAX(('Lifting Log'!B2:B801=A6)*('Lifting Log'!D2:D801="Cable Row")*IFERROR('Lifting Log'!J2:J801*1,0))))</f>
        <v/>
      </c>
      <c r="J6" s="36">
        <f>IF(COUNTIFS('Lifting Log'!B:B,A6,'Lifting Log'!D:D,"Incline DB Press")=0,"",SUMPRODUCT(MAX(('Lifting Log'!B2:B801=A6)*('Lifting Log'!D2:D801="Incline DB Press")*IFERROR('Lifting Log'!J2:J801*1,0))))</f>
        <v/>
      </c>
    </row>
    <row r="7" ht="20" customHeight="1">
      <c r="A7" s="22" t="n">
        <v>6</v>
      </c>
      <c r="B7" s="22">
        <f>TEXT(DATE(2026,4,27)+(A7-1)*7,"mmm d")</f>
        <v/>
      </c>
      <c r="C7" s="38">
        <f>IF(COUNTIFS('Lifting Log'!B:B,A7,'Lifting Log'!D:D,"Bench Press")=0,"",SUMPRODUCT(MAX(('Lifting Log'!B2:B801=A7)*('Lifting Log'!D2:D801="Bench Press")*IFERROR('Lifting Log'!J2:J801*1,0))))</f>
        <v/>
      </c>
      <c r="D7" s="38">
        <f>IF(COUNTIFS('Lifting Log'!B:B,A7,'Lifting Log'!D:D,"Overhead Press")=0,"",SUMPRODUCT(MAX(('Lifting Log'!B2:B801=A7)*('Lifting Log'!D2:D801="Overhead Press")*IFERROR('Lifting Log'!J2:J801*1,0))))</f>
        <v/>
      </c>
      <c r="E7" s="38">
        <f>IF(COUNTIFS('Lifting Log'!B:B,A7,'Lifting Log'!D:D,"Back Squat")=0,"",SUMPRODUCT(MAX(('Lifting Log'!B2:B801=A7)*('Lifting Log'!D2:D801="Back Squat")*IFERROR('Lifting Log'!J2:J801*1,0))))</f>
        <v/>
      </c>
      <c r="F7" s="38">
        <f>IF(COUNTIFS('Lifting Log'!B:B,A7,'Lifting Log'!D:D,"Romanian Deadlift")=0,"",SUMPRODUCT(MAX(('Lifting Log'!B2:B801=A7)*('Lifting Log'!D2:D801="Romanian Deadlift")*IFERROR('Lifting Log'!J2:J801*1,0))))</f>
        <v/>
      </c>
      <c r="G7" s="38">
        <f>IF(COUNTIFS('Lifting Log'!B:B,A7,'Lifting Log'!D:D,"Lat Pulldown")=0,"",SUMPRODUCT(MAX(('Lifting Log'!B2:B801=A7)*('Lifting Log'!D2:D801="Lat Pulldown")*IFERROR('Lifting Log'!J2:J801*1,0))))</f>
        <v/>
      </c>
      <c r="H7" s="38">
        <f>IF(COUNTIFS('Lifting Log'!B:B,A7,'Lifting Log'!D:D,"Barbell Row")=0,"",SUMPRODUCT(MAX(('Lifting Log'!B2:B801=A7)*('Lifting Log'!D2:D801="Barbell Row")*IFERROR('Lifting Log'!J2:J801*1,0))))</f>
        <v/>
      </c>
      <c r="I7" s="38">
        <f>IF(COUNTIFS('Lifting Log'!B:B,A7,'Lifting Log'!D:D,"Cable Row")=0,"",SUMPRODUCT(MAX(('Lifting Log'!B2:B801=A7)*('Lifting Log'!D2:D801="Cable Row")*IFERROR('Lifting Log'!J2:J801*1,0))))</f>
        <v/>
      </c>
      <c r="J7" s="38">
        <f>IF(COUNTIFS('Lifting Log'!B:B,A7,'Lifting Log'!D:D,"Incline DB Press")=0,"",SUMPRODUCT(MAX(('Lifting Log'!B2:B801=A7)*('Lifting Log'!D2:D801="Incline DB Press")*IFERROR('Lifting Log'!J2:J801*1,0))))</f>
        <v/>
      </c>
    </row>
    <row r="8" ht="20" customHeight="1">
      <c r="A8" s="16" t="n">
        <v>7</v>
      </c>
      <c r="B8" s="16">
        <f>TEXT(DATE(2026,4,27)+(A8-1)*7,"mmm d")</f>
        <v/>
      </c>
      <c r="C8" s="36">
        <f>IF(COUNTIFS('Lifting Log'!B:B,A8,'Lifting Log'!D:D,"Bench Press")=0,"",SUMPRODUCT(MAX(('Lifting Log'!B2:B801=A8)*('Lifting Log'!D2:D801="Bench Press")*IFERROR('Lifting Log'!J2:J801*1,0))))</f>
        <v/>
      </c>
      <c r="D8" s="36">
        <f>IF(COUNTIFS('Lifting Log'!B:B,A8,'Lifting Log'!D:D,"Overhead Press")=0,"",SUMPRODUCT(MAX(('Lifting Log'!B2:B801=A8)*('Lifting Log'!D2:D801="Overhead Press")*IFERROR('Lifting Log'!J2:J801*1,0))))</f>
        <v/>
      </c>
      <c r="E8" s="36">
        <f>IF(COUNTIFS('Lifting Log'!B:B,A8,'Lifting Log'!D:D,"Back Squat")=0,"",SUMPRODUCT(MAX(('Lifting Log'!B2:B801=A8)*('Lifting Log'!D2:D801="Back Squat")*IFERROR('Lifting Log'!J2:J801*1,0))))</f>
        <v/>
      </c>
      <c r="F8" s="36">
        <f>IF(COUNTIFS('Lifting Log'!B:B,A8,'Lifting Log'!D:D,"Romanian Deadlift")=0,"",SUMPRODUCT(MAX(('Lifting Log'!B2:B801=A8)*('Lifting Log'!D2:D801="Romanian Deadlift")*IFERROR('Lifting Log'!J2:J801*1,0))))</f>
        <v/>
      </c>
      <c r="G8" s="36">
        <f>IF(COUNTIFS('Lifting Log'!B:B,A8,'Lifting Log'!D:D,"Lat Pulldown")=0,"",SUMPRODUCT(MAX(('Lifting Log'!B2:B801=A8)*('Lifting Log'!D2:D801="Lat Pulldown")*IFERROR('Lifting Log'!J2:J801*1,0))))</f>
        <v/>
      </c>
      <c r="H8" s="36">
        <f>IF(COUNTIFS('Lifting Log'!B:B,A8,'Lifting Log'!D:D,"Barbell Row")=0,"",SUMPRODUCT(MAX(('Lifting Log'!B2:B801=A8)*('Lifting Log'!D2:D801="Barbell Row")*IFERROR('Lifting Log'!J2:J801*1,0))))</f>
        <v/>
      </c>
      <c r="I8" s="36">
        <f>IF(COUNTIFS('Lifting Log'!B:B,A8,'Lifting Log'!D:D,"Cable Row")=0,"",SUMPRODUCT(MAX(('Lifting Log'!B2:B801=A8)*('Lifting Log'!D2:D801="Cable Row")*IFERROR('Lifting Log'!J2:J801*1,0))))</f>
        <v/>
      </c>
      <c r="J8" s="36">
        <f>IF(COUNTIFS('Lifting Log'!B:B,A8,'Lifting Log'!D:D,"Incline DB Press")=0,"",SUMPRODUCT(MAX(('Lifting Log'!B2:B801=A8)*('Lifting Log'!D2:D801="Incline DB Press")*IFERROR('Lifting Log'!J2:J801*1,0))))</f>
        <v/>
      </c>
    </row>
    <row r="9" ht="20" customHeight="1">
      <c r="A9" s="22" t="n">
        <v>8</v>
      </c>
      <c r="B9" s="22">
        <f>TEXT(DATE(2026,4,27)+(A9-1)*7,"mmm d")</f>
        <v/>
      </c>
      <c r="C9" s="38">
        <f>IF(COUNTIFS('Lifting Log'!B:B,A9,'Lifting Log'!D:D,"Bench Press")=0,"",SUMPRODUCT(MAX(('Lifting Log'!B2:B801=A9)*('Lifting Log'!D2:D801="Bench Press")*IFERROR('Lifting Log'!J2:J801*1,0))))</f>
        <v/>
      </c>
      <c r="D9" s="38">
        <f>IF(COUNTIFS('Lifting Log'!B:B,A9,'Lifting Log'!D:D,"Overhead Press")=0,"",SUMPRODUCT(MAX(('Lifting Log'!B2:B801=A9)*('Lifting Log'!D2:D801="Overhead Press")*IFERROR('Lifting Log'!J2:J801*1,0))))</f>
        <v/>
      </c>
      <c r="E9" s="38">
        <f>IF(COUNTIFS('Lifting Log'!B:B,A9,'Lifting Log'!D:D,"Back Squat")=0,"",SUMPRODUCT(MAX(('Lifting Log'!B2:B801=A9)*('Lifting Log'!D2:D801="Back Squat")*IFERROR('Lifting Log'!J2:J801*1,0))))</f>
        <v/>
      </c>
      <c r="F9" s="38">
        <f>IF(COUNTIFS('Lifting Log'!B:B,A9,'Lifting Log'!D:D,"Romanian Deadlift")=0,"",SUMPRODUCT(MAX(('Lifting Log'!B2:B801=A9)*('Lifting Log'!D2:D801="Romanian Deadlift")*IFERROR('Lifting Log'!J2:J801*1,0))))</f>
        <v/>
      </c>
      <c r="G9" s="38">
        <f>IF(COUNTIFS('Lifting Log'!B:B,A9,'Lifting Log'!D:D,"Lat Pulldown")=0,"",SUMPRODUCT(MAX(('Lifting Log'!B2:B801=A9)*('Lifting Log'!D2:D801="Lat Pulldown")*IFERROR('Lifting Log'!J2:J801*1,0))))</f>
        <v/>
      </c>
      <c r="H9" s="38">
        <f>IF(COUNTIFS('Lifting Log'!B:B,A9,'Lifting Log'!D:D,"Barbell Row")=0,"",SUMPRODUCT(MAX(('Lifting Log'!B2:B801=A9)*('Lifting Log'!D2:D801="Barbell Row")*IFERROR('Lifting Log'!J2:J801*1,0))))</f>
        <v/>
      </c>
      <c r="I9" s="38">
        <f>IF(COUNTIFS('Lifting Log'!B:B,A9,'Lifting Log'!D:D,"Cable Row")=0,"",SUMPRODUCT(MAX(('Lifting Log'!B2:B801=A9)*('Lifting Log'!D2:D801="Cable Row")*IFERROR('Lifting Log'!J2:J801*1,0))))</f>
        <v/>
      </c>
      <c r="J9" s="38">
        <f>IF(COUNTIFS('Lifting Log'!B:B,A9,'Lifting Log'!D:D,"Incline DB Press")=0,"",SUMPRODUCT(MAX(('Lifting Log'!B2:B801=A9)*('Lifting Log'!D2:D801="Incline DB Press")*IFERROR('Lifting Log'!J2:J801*1,0))))</f>
        <v/>
      </c>
    </row>
    <row r="10" ht="20" customHeight="1">
      <c r="A10" s="16" t="n">
        <v>9</v>
      </c>
      <c r="B10" s="16">
        <f>TEXT(DATE(2026,4,27)+(A10-1)*7,"mmm d")</f>
        <v/>
      </c>
      <c r="C10" s="36">
        <f>IF(COUNTIFS('Lifting Log'!B:B,A10,'Lifting Log'!D:D,"Bench Press")=0,"",SUMPRODUCT(MAX(('Lifting Log'!B2:B801=A10)*('Lifting Log'!D2:D801="Bench Press")*IFERROR('Lifting Log'!J2:J801*1,0))))</f>
        <v/>
      </c>
      <c r="D10" s="36">
        <f>IF(COUNTIFS('Lifting Log'!B:B,A10,'Lifting Log'!D:D,"Overhead Press")=0,"",SUMPRODUCT(MAX(('Lifting Log'!B2:B801=A10)*('Lifting Log'!D2:D801="Overhead Press")*IFERROR('Lifting Log'!J2:J801*1,0))))</f>
        <v/>
      </c>
      <c r="E10" s="36">
        <f>IF(COUNTIFS('Lifting Log'!B:B,A10,'Lifting Log'!D:D,"Back Squat")=0,"",SUMPRODUCT(MAX(('Lifting Log'!B2:B801=A10)*('Lifting Log'!D2:D801="Back Squat")*IFERROR('Lifting Log'!J2:J801*1,0))))</f>
        <v/>
      </c>
      <c r="F10" s="36">
        <f>IF(COUNTIFS('Lifting Log'!B:B,A10,'Lifting Log'!D:D,"Romanian Deadlift")=0,"",SUMPRODUCT(MAX(('Lifting Log'!B2:B801=A10)*('Lifting Log'!D2:D801="Romanian Deadlift")*IFERROR('Lifting Log'!J2:J801*1,0))))</f>
        <v/>
      </c>
      <c r="G10" s="36">
        <f>IF(COUNTIFS('Lifting Log'!B:B,A10,'Lifting Log'!D:D,"Lat Pulldown")=0,"",SUMPRODUCT(MAX(('Lifting Log'!B2:B801=A10)*('Lifting Log'!D2:D801="Lat Pulldown")*IFERROR('Lifting Log'!J2:J801*1,0))))</f>
        <v/>
      </c>
      <c r="H10" s="36">
        <f>IF(COUNTIFS('Lifting Log'!B:B,A10,'Lifting Log'!D:D,"Barbell Row")=0,"",SUMPRODUCT(MAX(('Lifting Log'!B2:B801=A10)*('Lifting Log'!D2:D801="Barbell Row")*IFERROR('Lifting Log'!J2:J801*1,0))))</f>
        <v/>
      </c>
      <c r="I10" s="36">
        <f>IF(COUNTIFS('Lifting Log'!B:B,A10,'Lifting Log'!D:D,"Cable Row")=0,"",SUMPRODUCT(MAX(('Lifting Log'!B2:B801=A10)*('Lifting Log'!D2:D801="Cable Row")*IFERROR('Lifting Log'!J2:J801*1,0))))</f>
        <v/>
      </c>
      <c r="J10" s="36">
        <f>IF(COUNTIFS('Lifting Log'!B:B,A10,'Lifting Log'!D:D,"Incline DB Press")=0,"",SUMPRODUCT(MAX(('Lifting Log'!B2:B801=A10)*('Lifting Log'!D2:D801="Incline DB Press")*IFERROR('Lifting Log'!J2:J801*1,0))))</f>
        <v/>
      </c>
    </row>
    <row r="11" ht="20" customHeight="1">
      <c r="A11" s="22" t="n">
        <v>10</v>
      </c>
      <c r="B11" s="22">
        <f>TEXT(DATE(2026,4,27)+(A11-1)*7,"mmm d")</f>
        <v/>
      </c>
      <c r="C11" s="38">
        <f>IF(COUNTIFS('Lifting Log'!B:B,A11,'Lifting Log'!D:D,"Bench Press")=0,"",SUMPRODUCT(MAX(('Lifting Log'!B2:B801=A11)*('Lifting Log'!D2:D801="Bench Press")*IFERROR('Lifting Log'!J2:J801*1,0))))</f>
        <v/>
      </c>
      <c r="D11" s="38">
        <f>IF(COUNTIFS('Lifting Log'!B:B,A11,'Lifting Log'!D:D,"Overhead Press")=0,"",SUMPRODUCT(MAX(('Lifting Log'!B2:B801=A11)*('Lifting Log'!D2:D801="Overhead Press")*IFERROR('Lifting Log'!J2:J801*1,0))))</f>
        <v/>
      </c>
      <c r="E11" s="38">
        <f>IF(COUNTIFS('Lifting Log'!B:B,A11,'Lifting Log'!D:D,"Back Squat")=0,"",SUMPRODUCT(MAX(('Lifting Log'!B2:B801=A11)*('Lifting Log'!D2:D801="Back Squat")*IFERROR('Lifting Log'!J2:J801*1,0))))</f>
        <v/>
      </c>
      <c r="F11" s="38">
        <f>IF(COUNTIFS('Lifting Log'!B:B,A11,'Lifting Log'!D:D,"Romanian Deadlift")=0,"",SUMPRODUCT(MAX(('Lifting Log'!B2:B801=A11)*('Lifting Log'!D2:D801="Romanian Deadlift")*IFERROR('Lifting Log'!J2:J801*1,0))))</f>
        <v/>
      </c>
      <c r="G11" s="38">
        <f>IF(COUNTIFS('Lifting Log'!B:B,A11,'Lifting Log'!D:D,"Lat Pulldown")=0,"",SUMPRODUCT(MAX(('Lifting Log'!B2:B801=A11)*('Lifting Log'!D2:D801="Lat Pulldown")*IFERROR('Lifting Log'!J2:J801*1,0))))</f>
        <v/>
      </c>
      <c r="H11" s="38">
        <f>IF(COUNTIFS('Lifting Log'!B:B,A11,'Lifting Log'!D:D,"Barbell Row")=0,"",SUMPRODUCT(MAX(('Lifting Log'!B2:B801=A11)*('Lifting Log'!D2:D801="Barbell Row")*IFERROR('Lifting Log'!J2:J801*1,0))))</f>
        <v/>
      </c>
      <c r="I11" s="38">
        <f>IF(COUNTIFS('Lifting Log'!B:B,A11,'Lifting Log'!D:D,"Cable Row")=0,"",SUMPRODUCT(MAX(('Lifting Log'!B2:B801=A11)*('Lifting Log'!D2:D801="Cable Row")*IFERROR('Lifting Log'!J2:J801*1,0))))</f>
        <v/>
      </c>
      <c r="J11" s="38">
        <f>IF(COUNTIFS('Lifting Log'!B:B,A11,'Lifting Log'!D:D,"Incline DB Press")=0,"",SUMPRODUCT(MAX(('Lifting Log'!B2:B801=A11)*('Lifting Log'!D2:D801="Incline DB Press")*IFERROR('Lifting Log'!J2:J801*1,0))))</f>
        <v/>
      </c>
    </row>
    <row r="12" ht="20" customHeight="1">
      <c r="A12" s="16" t="n">
        <v>11</v>
      </c>
      <c r="B12" s="16">
        <f>TEXT(DATE(2026,4,27)+(A12-1)*7,"mmm d")</f>
        <v/>
      </c>
      <c r="C12" s="36">
        <f>IF(COUNTIFS('Lifting Log'!B:B,A12,'Lifting Log'!D:D,"Bench Press")=0,"",SUMPRODUCT(MAX(('Lifting Log'!B2:B801=A12)*('Lifting Log'!D2:D801="Bench Press")*IFERROR('Lifting Log'!J2:J801*1,0))))</f>
        <v/>
      </c>
      <c r="D12" s="36">
        <f>IF(COUNTIFS('Lifting Log'!B:B,A12,'Lifting Log'!D:D,"Overhead Press")=0,"",SUMPRODUCT(MAX(('Lifting Log'!B2:B801=A12)*('Lifting Log'!D2:D801="Overhead Press")*IFERROR('Lifting Log'!J2:J801*1,0))))</f>
        <v/>
      </c>
      <c r="E12" s="36">
        <f>IF(COUNTIFS('Lifting Log'!B:B,A12,'Lifting Log'!D:D,"Back Squat")=0,"",SUMPRODUCT(MAX(('Lifting Log'!B2:B801=A12)*('Lifting Log'!D2:D801="Back Squat")*IFERROR('Lifting Log'!J2:J801*1,0))))</f>
        <v/>
      </c>
      <c r="F12" s="36">
        <f>IF(COUNTIFS('Lifting Log'!B:B,A12,'Lifting Log'!D:D,"Romanian Deadlift")=0,"",SUMPRODUCT(MAX(('Lifting Log'!B2:B801=A12)*('Lifting Log'!D2:D801="Romanian Deadlift")*IFERROR('Lifting Log'!J2:J801*1,0))))</f>
        <v/>
      </c>
      <c r="G12" s="36">
        <f>IF(COUNTIFS('Lifting Log'!B:B,A12,'Lifting Log'!D:D,"Lat Pulldown")=0,"",SUMPRODUCT(MAX(('Lifting Log'!B2:B801=A12)*('Lifting Log'!D2:D801="Lat Pulldown")*IFERROR('Lifting Log'!J2:J801*1,0))))</f>
        <v/>
      </c>
      <c r="H12" s="36">
        <f>IF(COUNTIFS('Lifting Log'!B:B,A12,'Lifting Log'!D:D,"Barbell Row")=0,"",SUMPRODUCT(MAX(('Lifting Log'!B2:B801=A12)*('Lifting Log'!D2:D801="Barbell Row")*IFERROR('Lifting Log'!J2:J801*1,0))))</f>
        <v/>
      </c>
      <c r="I12" s="36">
        <f>IF(COUNTIFS('Lifting Log'!B:B,A12,'Lifting Log'!D:D,"Cable Row")=0,"",SUMPRODUCT(MAX(('Lifting Log'!B2:B801=A12)*('Lifting Log'!D2:D801="Cable Row")*IFERROR('Lifting Log'!J2:J801*1,0))))</f>
        <v/>
      </c>
      <c r="J12" s="36">
        <f>IF(COUNTIFS('Lifting Log'!B:B,A12,'Lifting Log'!D:D,"Incline DB Press")=0,"",SUMPRODUCT(MAX(('Lifting Log'!B2:B801=A12)*('Lifting Log'!D2:D801="Incline DB Press")*IFERROR('Lifting Log'!J2:J801*1,0))))</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2" customWidth="1" min="1" max="1"/>
    <col width="22" customWidth="1" min="2" max="2"/>
    <col width="28" customWidth="1" min="3" max="3"/>
    <col width="22" customWidth="1" min="4" max="4"/>
  </cols>
  <sheetData>
    <row r="1" ht="26" customHeight="1">
      <c r="A1" s="31" t="inlineStr">
        <is>
          <t>Reference Data</t>
        </is>
      </c>
    </row>
    <row r="3">
      <c r="A3" s="2" t="inlineStr">
        <is>
          <t>HR Zones</t>
        </is>
      </c>
    </row>
    <row r="4" ht="22" customHeight="1">
      <c r="A4" s="14" t="inlineStr">
        <is>
          <t>Zone</t>
        </is>
      </c>
      <c r="B4" s="14" t="inlineStr">
        <is>
          <t>BPM</t>
        </is>
      </c>
      <c r="C4" s="14" t="inlineStr">
        <is>
          <t>Use</t>
        </is>
      </c>
    </row>
    <row r="5" ht="18" customHeight="1">
      <c r="A5" s="5" t="inlineStr">
        <is>
          <t>Z1 Warm-up</t>
        </is>
      </c>
      <c r="B5" s="5" t="inlineStr">
        <is>
          <t>100–119</t>
        </is>
      </c>
      <c r="C5" s="5" t="inlineStr">
        <is>
          <t>Warm-up only</t>
        </is>
      </c>
    </row>
    <row r="6" ht="18" customHeight="1">
      <c r="A6" s="7" t="inlineStr">
        <is>
          <t>Z2 Easy</t>
        </is>
      </c>
      <c r="B6" s="7" t="inlineStr">
        <is>
          <t>120–139</t>
        </is>
      </c>
      <c r="C6" s="7" t="inlineStr">
        <is>
          <t>Easy runs, recovery</t>
        </is>
      </c>
    </row>
    <row r="7" ht="18" customHeight="1">
      <c r="A7" s="5" t="inlineStr">
        <is>
          <t>Z3 Aerobic</t>
        </is>
      </c>
      <c r="B7" s="5" t="inlineStr">
        <is>
          <t>140–159</t>
        </is>
      </c>
      <c r="C7" s="5" t="inlineStr">
        <is>
          <t>Steady running</t>
        </is>
      </c>
    </row>
    <row r="8" ht="18" customHeight="1">
      <c r="A8" s="7" t="inlineStr">
        <is>
          <t>Z4 Threshold</t>
        </is>
      </c>
      <c r="B8" s="7" t="inlineStr">
        <is>
          <t>160–179</t>
        </is>
      </c>
      <c r="C8" s="7" t="inlineStr">
        <is>
          <t>Tempo/threshold reps</t>
        </is>
      </c>
    </row>
    <row r="9" ht="18" customHeight="1">
      <c r="A9" s="5" t="inlineStr">
        <is>
          <t>Z5 Max</t>
        </is>
      </c>
      <c r="B9" s="5" t="inlineStr">
        <is>
          <t>&gt;179</t>
        </is>
      </c>
      <c r="C9" s="5" t="inlineStr">
        <is>
          <t>Short hard intervals</t>
        </is>
      </c>
    </row>
    <row r="11">
      <c r="A11" s="2" t="inlineStr">
        <is>
          <t>Pacing Zones</t>
        </is>
      </c>
    </row>
    <row r="12" ht="22" customHeight="1">
      <c r="A12" s="14" t="inlineStr">
        <is>
          <t>Zone</t>
        </is>
      </c>
      <c r="B12" s="14" t="inlineStr">
        <is>
          <t>Pace/km</t>
        </is>
      </c>
      <c r="C12" s="14" t="inlineStr">
        <is>
          <t>Speed (km/h)</t>
        </is>
      </c>
      <c r="D12" s="14" t="inlineStr">
        <is>
          <t>Use</t>
        </is>
      </c>
    </row>
    <row r="13" ht="18" customHeight="1">
      <c r="A13" s="5" t="inlineStr">
        <is>
          <t>Easy</t>
        </is>
      </c>
      <c r="B13" s="5" t="inlineStr">
        <is>
          <t>6:30–7:00</t>
        </is>
      </c>
      <c r="C13" s="5" t="inlineStr">
        <is>
          <t>8.6–9.2</t>
        </is>
      </c>
      <c r="D13" s="5" t="inlineStr">
        <is>
          <t>Wed + Sun runs</t>
        </is>
      </c>
    </row>
    <row r="14" ht="18" customHeight="1">
      <c r="A14" s="7" t="inlineStr">
        <is>
          <t>Steady</t>
        </is>
      </c>
      <c r="B14" s="7" t="inlineStr">
        <is>
          <t>6:00–6:30</t>
        </is>
      </c>
      <c r="C14" s="7" t="inlineStr">
        <is>
          <t>9.2–10.0</t>
        </is>
      </c>
      <c r="D14" s="7" t="inlineStr">
        <is>
          <t>Slight progression</t>
        </is>
      </c>
    </row>
    <row r="15" ht="18" customHeight="1">
      <c r="A15" s="5" t="inlineStr">
        <is>
          <t>Pickup</t>
        </is>
      </c>
      <c r="B15" s="5" t="inlineStr">
        <is>
          <t>5:30–5:50</t>
        </is>
      </c>
      <c r="C15" s="5" t="inlineStr">
        <is>
          <t>10.3–10.9</t>
        </is>
      </c>
      <c r="D15" s="5" t="inlineStr">
        <is>
          <t>Wks 6–7 only</t>
        </is>
      </c>
    </row>
    <row r="17">
      <c r="A17" s="2" t="inlineStr">
        <is>
          <t>Weekly Schedule (Wk 2+)</t>
        </is>
      </c>
    </row>
    <row r="18" ht="22" customHeight="1">
      <c r="A18" s="14" t="inlineStr">
        <is>
          <t>Day</t>
        </is>
      </c>
      <c r="B18" s="14" t="inlineStr">
        <is>
          <t>Session</t>
        </is>
      </c>
    </row>
    <row r="19" ht="18" customHeight="1">
      <c r="A19" s="5" t="inlineStr">
        <is>
          <t>Mon</t>
        </is>
      </c>
      <c r="B19" s="5" t="inlineStr">
        <is>
          <t>Upper A</t>
        </is>
      </c>
    </row>
    <row r="20" ht="18" customHeight="1">
      <c r="A20" s="7" t="inlineStr">
        <is>
          <t>Tue</t>
        </is>
      </c>
      <c r="B20" s="7" t="inlineStr">
        <is>
          <t>Lower A</t>
        </is>
      </c>
    </row>
    <row r="21" ht="18" customHeight="1">
      <c r="A21" s="5" t="inlineStr">
        <is>
          <t>Wed</t>
        </is>
      </c>
      <c r="B21" s="5" t="inlineStr">
        <is>
          <t>REST</t>
        </is>
      </c>
    </row>
    <row r="22" ht="18" customHeight="1">
      <c r="A22" s="7" t="inlineStr">
        <is>
          <t>Thu</t>
        </is>
      </c>
      <c r="B22" s="7" t="inlineStr">
        <is>
          <t>Easy run Z2</t>
        </is>
      </c>
    </row>
    <row r="23" ht="18" customHeight="1">
      <c r="A23" s="5" t="inlineStr">
        <is>
          <t>Fri</t>
        </is>
      </c>
      <c r="B23" s="5" t="inlineStr">
        <is>
          <t>Upper B</t>
        </is>
      </c>
    </row>
    <row r="24" ht="18" customHeight="1">
      <c r="A24" s="7" t="inlineStr">
        <is>
          <t>Sat</t>
        </is>
      </c>
      <c r="B24" s="7" t="inlineStr">
        <is>
          <t>Lower B</t>
        </is>
      </c>
    </row>
    <row r="25" ht="18" customHeight="1">
      <c r="A25" s="5" t="inlineStr">
        <is>
          <t>Sun</t>
        </is>
      </c>
      <c r="B25" s="5" t="inlineStr">
        <is>
          <t>Easy run Z2</t>
        </is>
      </c>
    </row>
    <row r="27">
      <c r="A27" s="2" t="inlineStr">
        <is>
          <t>RPE Reference</t>
        </is>
      </c>
    </row>
    <row r="28" ht="22" customHeight="1">
      <c r="A28" s="14" t="inlineStr">
        <is>
          <t>RPE</t>
        </is>
      </c>
      <c r="B28" s="14" t="inlineStr">
        <is>
          <t>Reps in Reserve</t>
        </is>
      </c>
      <c r="C28" s="14" t="inlineStr">
        <is>
          <t>Use</t>
        </is>
      </c>
    </row>
    <row r="29" ht="18" customHeight="1">
      <c r="A29" s="5" t="inlineStr">
        <is>
          <t>6</t>
        </is>
      </c>
      <c r="B29" s="5" t="inlineStr">
        <is>
          <t>4 left</t>
        </is>
      </c>
      <c r="C29" s="5" t="inlineStr">
        <is>
          <t>Warm-up</t>
        </is>
      </c>
    </row>
    <row r="30" ht="18" customHeight="1">
      <c r="A30" s="7" t="inlineStr">
        <is>
          <t>7</t>
        </is>
      </c>
      <c r="B30" s="7" t="inlineStr">
        <is>
          <t>3 left</t>
        </is>
      </c>
      <c r="C30" s="7" t="inlineStr">
        <is>
          <t>Early sets, accumulation</t>
        </is>
      </c>
    </row>
    <row r="31" ht="18" customHeight="1">
      <c r="A31" s="5" t="inlineStr">
        <is>
          <t>8</t>
        </is>
      </c>
      <c r="B31" s="5" t="inlineStr">
        <is>
          <t>2 left</t>
        </is>
      </c>
      <c r="C31" s="5" t="inlineStr">
        <is>
          <t>Top sets — most of block</t>
        </is>
      </c>
    </row>
    <row r="32" ht="18" customHeight="1">
      <c r="A32" s="7" t="inlineStr">
        <is>
          <t>9</t>
        </is>
      </c>
      <c r="B32" s="7" t="inlineStr">
        <is>
          <t>1 left</t>
        </is>
      </c>
      <c r="C32" s="7" t="inlineStr">
        <is>
          <t>Peak weeks, isolation</t>
        </is>
      </c>
    </row>
    <row r="33" ht="18" customHeight="1">
      <c r="A33" s="5" t="inlineStr">
        <is>
          <t>10</t>
        </is>
      </c>
      <c r="B33" s="5" t="inlineStr">
        <is>
          <t>Failure</t>
        </is>
      </c>
      <c r="C33" s="5" t="inlineStr">
        <is>
          <t>Isolation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2026-07-02T11:01:25Z</dcterms:created>
  <dcterms:modified xmlns:dcterms="http://purl.org/dc/terms/" xmlns:xsi="http://www.w3.org/2001/XMLSchema-instance" xsi:type="dcterms:W3CDTF">2026-10-21T20:54:16Z</dcterms:modified>
</cp:coreProperties>
</file>