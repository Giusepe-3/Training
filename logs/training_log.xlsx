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  <c r="K1" s="14" t="inlineStr">
        <is>
          <t>Bike km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>
        <v>46272</v>
      </c>
      <c r="B19" s="22">
        <f>IF(A19="","",IFERROR(INT((A19-DATE(2026,4,27))/7)+1,""))</f>
        <v/>
      </c>
      <c r="C19" s="28" t="n">
        <v>5</v>
      </c>
      <c r="D19" s="38" t="n">
        <v>36.5</v>
      </c>
      <c r="E19" s="22">
        <f>IF(OR(C19="",D19=""),"",TEXT(D19/C19/1440,"m:ss"))</f>
        <v/>
      </c>
      <c r="F19" s="22" t="n">
        <v>147</v>
      </c>
      <c r="G19" s="22" t="n">
        <v>162</v>
      </c>
      <c r="H19" s="22" t="n">
        <v>3</v>
      </c>
      <c r="I19" s="22" t="inlineStr">
        <is>
          <t>Easy</t>
        </is>
      </c>
      <c r="J19" s="26" t="inlineStr">
        <is>
          <t>Blk2 Wk B Mon - 5k easy shakeout, 24h after Sun's 10k long. Monday was a REST day until two same-day schedule swaps (cali #3 Mon-&gt;Wed, cali #4 Fri-&gt;Sat) would have left 6 consecutive loaded days on one rest day; rebalanced by spending Monday's rest on the week's shortest run and making Thursday the rest day. 7:18/km @ HR 147, 97%Z2, RPE 3 = LOWEST RUN RPE IN THE LOG. Prescription was 7:35-7:50/km -&gt; ran ~20 s/km HOT. Allowed to stand because HR 147 held under the 150 ceiling, but it is the block's recurring pattern: feeling good becomes FASTER, not EASIER. On Sunday's 12k that costs the back half - open at 7:50 and mean it. EFFICIENCY: 7:18 @ 147 vs the clean rested comparable 7:08 @ 145 on 9/4 = 10 s/km slower at +2 bpm on a day-after-long shakeout = chassis recovering FASTER than the ramp assumed. CADENCE 167 = 4th straight cued run on target (166/166/167/167); metronome stays mandatory. 0 walk breaks, 3rd run running. SHIN CLEAN check #17. Fuel 2566 vs corrected uni-day ~2650-2700 = ~100 under, noise. Protein 169 (band 155-165). Creatine Y. Steps 9100. BIKE 24 km - uni-day commute, DISCLOSED TODAY as Tier 1 load (12 km each way, Mon-Thu = 96 km/wk, ~4-5 h, MORE clock time than the running). Zero bone cost (non-impact, does not spend the tibia budget) and it partly explains why the audits keep finding the engine ahead of the chassis. Makes the ~2400 kcal maintenance figure STALE: uni days 2650-2700, non-uni 2400, Sun long 2700. Sat+Sun are bike-free - that is what protects the long run. Wk B compliance: run 1 of 4.</t>
        </is>
      </c>
      <c r="K19" t="n">
        <v>24</v>
      </c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>
        <v>46272</v>
      </c>
      <c r="B36" s="16">
        <f>IF(A36="","",IFERROR(INT((A36-DATE(2026,4,27))/7)+1,""))</f>
        <v/>
      </c>
      <c r="C36" s="36" t="n">
        <v>75.84999999999999</v>
      </c>
      <c r="D36" s="36" t="n">
        <v>9</v>
      </c>
      <c r="E36" s="36" t="n"/>
      <c r="F36" s="36" t="n"/>
      <c r="G36" s="36" t="n"/>
      <c r="H36" s="36" t="n"/>
      <c r="I36" s="20" t="inlineStr">
        <is>
          <t>Wk B Mon - 5k easy shakeout (was a rest day; converted after two cali swaps). AM FULL GREEN: sleep 9:00 q10, RHR 46 delta -2, motivation 10, energy 10, stress 2, joints all clear. SHIN PERFECT check #16 (pre) and #17 (post-run). DOMS legs ALL 1 (quad/ham/glute/calf) at 2 days post-cali = RPE 6 leg cap validated a 3rd time. Upper: shoulder 3, chest 2, back 1, arm 1 = 9/5 pressing residue at 48h; this is WHY moving cali Mon-&gt;Wed is a net positive (shoulders get 4 days instead of 2). BW 75.85 = THIRD CONSECUTIVE FLAT READING (9/5, 9/6, 9/7) after +937 and +93 kcal days. TREND CALL MADE: the +0.85 over the 8/31 close of 75.0 is glycogen + water, NOT fat - fuel-drift flag CLOSED. Second explanation landed same day: the 96 km/wk bike commute was unlogged, so ~2400 'maintenance' was never maintenance. CORRECTED: uni days (Mon-Thu) 2650-2700, non-uni 2400, Sun long 2700, protein 155-165. Fuel today 2566 = ~100 under, noise. Protein 169. Creatine Y. Alcohol 0. Steps 9100. Bike 24 km.</t>
        </is>
      </c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2026-09-07T20:25:17Z</dcterms:modified>
</cp:coreProperties>
</file>