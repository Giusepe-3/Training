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38" t="n"/>
      <c r="H245" s="22" t="n"/>
      <c r="I245" s="25">
        <f>IF(OR(F245="",G245=""),"",F245*G245)</f>
        <v/>
      </c>
      <c r="J245" s="38">
        <f>IF(OR(F245="",G245=""),"",ROUND(G245*(1+F245/30),1))</f>
        <v/>
      </c>
      <c r="K245" s="26" t="n"/>
    </row>
    <row r="246" ht="18" customHeight="1">
      <c r="A246" s="3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36" t="n"/>
      <c r="H246" s="16" t="n"/>
      <c r="I246" s="19">
        <f>IF(OR(F246="",G246=""),"",F246*G246)</f>
        <v/>
      </c>
      <c r="J246" s="36">
        <f>IF(OR(F246="",G246=""),"",ROUND(G246*(1+F246/30),1))</f>
        <v/>
      </c>
      <c r="K246" s="20" t="n"/>
    </row>
    <row r="247" ht="18" customHeight="1">
      <c r="A247" s="37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38" t="n"/>
      <c r="H247" s="22" t="n"/>
      <c r="I247" s="25">
        <f>IF(OR(F247="",G247=""),"",F247*G247)</f>
        <v/>
      </c>
      <c r="J247" s="38">
        <f>IF(OR(F247="",G247=""),"",ROUND(G247*(1+F247/30),1))</f>
        <v/>
      </c>
      <c r="K247" s="26" t="n"/>
    </row>
    <row r="248" ht="18" customHeight="1">
      <c r="A248" s="3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36" t="n"/>
      <c r="H248" s="16" t="n"/>
      <c r="I248" s="19">
        <f>IF(OR(F248="",G248=""),"",F248*G248)</f>
        <v/>
      </c>
      <c r="J248" s="36">
        <f>IF(OR(F248="",G248=""),"",ROUND(G248*(1+F248/30),1))</f>
        <v/>
      </c>
      <c r="K248" s="20" t="n"/>
    </row>
    <row r="249" ht="18" customHeight="1">
      <c r="A249" s="37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38" t="n"/>
      <c r="H249" s="22" t="n"/>
      <c r="I249" s="25">
        <f>IF(OR(F249="",G249=""),"",F249*G249)</f>
        <v/>
      </c>
      <c r="J249" s="38">
        <f>IF(OR(F249="",G249=""),"",ROUND(G249*(1+F249/30),1))</f>
        <v/>
      </c>
      <c r="K249" s="26" t="n"/>
    </row>
    <row r="250" ht="18" customHeight="1">
      <c r="A250" s="3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36" t="n"/>
      <c r="H250" s="16" t="n"/>
      <c r="I250" s="19">
        <f>IF(OR(F250="",G250=""),"",F250*G250)</f>
        <v/>
      </c>
      <c r="J250" s="36">
        <f>IF(OR(F250="",G250=""),"",ROUND(G250*(1+F250/30),1))</f>
        <v/>
      </c>
      <c r="K250" s="20" t="n"/>
    </row>
    <row r="251" ht="18" customHeight="1">
      <c r="A251" s="37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38" t="n"/>
      <c r="H251" s="22" t="n"/>
      <c r="I251" s="25">
        <f>IF(OR(F251="",G251=""),"",F251*G251)</f>
        <v/>
      </c>
      <c r="J251" s="38">
        <f>IF(OR(F251="",G251=""),"",ROUND(G251*(1+F251/30),1))</f>
        <v/>
      </c>
      <c r="K251" s="26" t="n"/>
    </row>
    <row r="252" ht="18" customHeight="1">
      <c r="A252" s="3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36" t="n"/>
      <c r="H252" s="16" t="n"/>
      <c r="I252" s="19">
        <f>IF(OR(F252="",G252=""),"",F252*G252)</f>
        <v/>
      </c>
      <c r="J252" s="36">
        <f>IF(OR(F252="",G252=""),"",ROUND(G252*(1+F252/30),1))</f>
        <v/>
      </c>
      <c r="K252" s="20" t="n"/>
    </row>
    <row r="253" ht="18" customHeight="1">
      <c r="A253" s="37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38" t="n"/>
      <c r="H253" s="22" t="n"/>
      <c r="I253" s="25">
        <f>IF(OR(F253="",G253=""),"",F253*G253)</f>
        <v/>
      </c>
      <c r="J253" s="38">
        <f>IF(OR(F253="",G253=""),"",ROUND(G253*(1+F253/30),1))</f>
        <v/>
      </c>
      <c r="K253" s="26" t="n"/>
    </row>
    <row r="254" ht="18" customHeight="1">
      <c r="A254" s="3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36" t="n"/>
      <c r="H254" s="16" t="n"/>
      <c r="I254" s="19">
        <f>IF(OR(F254="",G254=""),"",F254*G254)</f>
        <v/>
      </c>
      <c r="J254" s="36">
        <f>IF(OR(F254="",G254=""),"",ROUND(G254*(1+F254/30),1))</f>
        <v/>
      </c>
      <c r="K254" s="20" t="n"/>
    </row>
    <row r="255" ht="18" customHeight="1">
      <c r="A255" s="37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38" t="n"/>
      <c r="H255" s="22" t="n"/>
      <c r="I255" s="25">
        <f>IF(OR(F255="",G255=""),"",F255*G255)</f>
        <v/>
      </c>
      <c r="J255" s="38">
        <f>IF(OR(F255="",G255=""),"",ROUND(G255*(1+F255/30),1))</f>
        <v/>
      </c>
      <c r="K255" s="26" t="n"/>
    </row>
    <row r="256" ht="18" customHeight="1">
      <c r="A256" s="3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36" t="n"/>
      <c r="H256" s="16" t="n"/>
      <c r="I256" s="19">
        <f>IF(OR(F256="",G256=""),"",F256*G256)</f>
        <v/>
      </c>
      <c r="J256" s="36">
        <f>IF(OR(F256="",G256=""),"",ROUND(G256*(1+F256/30),1))</f>
        <v/>
      </c>
      <c r="K256" s="20" t="n"/>
    </row>
    <row r="257" ht="18" customHeight="1">
      <c r="A257" s="37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38" t="n"/>
      <c r="H257" s="22" t="n"/>
      <c r="I257" s="25">
        <f>IF(OR(F257="",G257=""),"",F257*G257)</f>
        <v/>
      </c>
      <c r="J257" s="38">
        <f>IF(OR(F257="",G257=""),"",ROUND(G257*(1+F257/30),1))</f>
        <v/>
      </c>
      <c r="K257" s="26" t="n"/>
    </row>
    <row r="258" ht="18" customHeight="1">
      <c r="A258" s="3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36" t="n"/>
      <c r="H258" s="16" t="n"/>
      <c r="I258" s="19">
        <f>IF(OR(F258="",G258=""),"",F258*G258)</f>
        <v/>
      </c>
      <c r="J258" s="36">
        <f>IF(OR(F258="",G258=""),"",ROUND(G258*(1+F258/30),1))</f>
        <v/>
      </c>
      <c r="K258" s="20" t="n"/>
    </row>
    <row r="259" ht="18" customHeight="1">
      <c r="A259" s="37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38" t="n"/>
      <c r="H259" s="22" t="n"/>
      <c r="I259" s="25">
        <f>IF(OR(F259="",G259=""),"",F259*G259)</f>
        <v/>
      </c>
      <c r="J259" s="38">
        <f>IF(OR(F259="",G259=""),"",ROUND(G259*(1+F259/30),1))</f>
        <v/>
      </c>
      <c r="K259" s="26" t="n"/>
    </row>
    <row r="260" ht="18" customHeight="1">
      <c r="A260" s="3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36" t="n"/>
      <c r="H260" s="16" t="n"/>
      <c r="I260" s="19">
        <f>IF(OR(F260="",G260=""),"",F260*G260)</f>
        <v/>
      </c>
      <c r="J260" s="36">
        <f>IF(OR(F260="",G260=""),"",ROUND(G260*(1+F260/30),1))</f>
        <v/>
      </c>
      <c r="K260" s="20" t="n"/>
    </row>
    <row r="261" ht="18" customHeight="1">
      <c r="A261" s="37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38" t="n"/>
      <c r="H261" s="22" t="n"/>
      <c r="I261" s="25">
        <f>IF(OR(F261="",G261=""),"",F261*G261)</f>
        <v/>
      </c>
      <c r="J261" s="38">
        <f>IF(OR(F261="",G261=""),"",ROUND(G261*(1+F261/30),1))</f>
        <v/>
      </c>
      <c r="K261" s="26" t="n"/>
    </row>
    <row r="262" ht="18" customHeight="1">
      <c r="A262" s="3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36" t="n"/>
      <c r="H262" s="16" t="n"/>
      <c r="I262" s="19">
        <f>IF(OR(F262="",G262=""),"",F262*G262)</f>
        <v/>
      </c>
      <c r="J262" s="36">
        <f>IF(OR(F262="",G262=""),"",ROUND(G262*(1+F262/30),1))</f>
        <v/>
      </c>
      <c r="K262" s="20" t="n"/>
    </row>
    <row r="263" ht="18" customHeight="1">
      <c r="A263" s="37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38" t="n"/>
      <c r="H263" s="22" t="n"/>
      <c r="I263" s="25">
        <f>IF(OR(F263="",G263=""),"",F263*G263)</f>
        <v/>
      </c>
      <c r="J263" s="38">
        <f>IF(OR(F263="",G263=""),"",ROUND(G263*(1+F263/30),1))</f>
        <v/>
      </c>
      <c r="K263" s="26" t="n"/>
    </row>
    <row r="264" ht="18" customHeight="1">
      <c r="A264" s="3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36" t="n"/>
      <c r="H264" s="16" t="n"/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38" t="n"/>
      <c r="H265" s="22" t="n"/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36" t="n"/>
      <c r="H266" s="16" t="n"/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38" t="n"/>
      <c r="H267" s="22" t="n"/>
      <c r="I267" s="25">
        <f>IF(OR(F267="",G267=""),"",F267*G267)</f>
        <v/>
      </c>
      <c r="J267" s="38">
        <f>IF(OR(F267="",G267=""),"",ROUND(G267*(1+F267/30),1))</f>
        <v/>
      </c>
      <c r="K267" s="26" t="n"/>
    </row>
    <row r="268" ht="18" customHeight="1">
      <c r="A268" s="3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36" t="n"/>
      <c r="H268" s="16" t="n"/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38" t="n"/>
      <c r="H269" s="22" t="n"/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36" t="n"/>
      <c r="H270" s="16" t="n"/>
      <c r="I270" s="19">
        <f>IF(OR(F270="",G270=""),"",F270*G270)</f>
        <v/>
      </c>
      <c r="J270" s="36">
        <f>IF(OR(F270="",G270=""),"",ROUND(G270*(1+F270/30),1))</f>
        <v/>
      </c>
      <c r="K270" s="20" t="n"/>
    </row>
    <row r="271" ht="18" customHeight="1">
      <c r="A271" s="37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38" t="n"/>
      <c r="H271" s="22" t="n"/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36" t="n"/>
      <c r="H272" s="16" t="n"/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38" t="n"/>
      <c r="H273" s="22" t="n"/>
      <c r="I273" s="25">
        <f>IF(OR(F273="",G273=""),"",F273*G273)</f>
        <v/>
      </c>
      <c r="J273" s="38">
        <f>IF(OR(F273="",G273=""),"",ROUND(G273*(1+F273/30),1))</f>
        <v/>
      </c>
      <c r="K273" s="26" t="n"/>
    </row>
    <row r="274" ht="18" customHeight="1">
      <c r="A274" s="3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36" t="n"/>
      <c r="H274" s="16" t="n"/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38" t="n"/>
      <c r="H275" s="22" t="n"/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36" t="n"/>
      <c r="H276" s="16" t="n"/>
      <c r="I276" s="19">
        <f>IF(OR(F276="",G276=""),"",F276*G276)</f>
        <v/>
      </c>
      <c r="J276" s="36">
        <f>IF(OR(F276="",G276=""),"",ROUND(G276*(1+F276/30),1))</f>
        <v/>
      </c>
      <c r="K276" s="20" t="n"/>
    </row>
    <row r="277" ht="18" customHeight="1">
      <c r="A277" s="37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38" t="n"/>
      <c r="H277" s="22" t="n"/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36" t="n"/>
      <c r="H278" s="16" t="n"/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38" t="n"/>
      <c r="H279" s="22" t="n"/>
      <c r="I279" s="25">
        <f>IF(OR(F279="",G279=""),"",F279*G279)</f>
        <v/>
      </c>
      <c r="J279" s="38">
        <f>IF(OR(F279="",G279=""),"",ROUND(G279*(1+F279/30),1))</f>
        <v/>
      </c>
      <c r="K279" s="26" t="n"/>
    </row>
    <row r="280" ht="18" customHeight="1">
      <c r="A280" s="3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36" t="n"/>
      <c r="H280" s="16" t="n"/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38" t="n"/>
      <c r="H281" s="22" t="n"/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36" t="n"/>
      <c r="H282" s="16" t="n"/>
      <c r="I282" s="19">
        <f>IF(OR(F282="",G282=""),"",F282*G282)</f>
        <v/>
      </c>
      <c r="J282" s="36">
        <f>IF(OR(F282="",G282=""),"",ROUND(G282*(1+F282/30),1))</f>
        <v/>
      </c>
      <c r="K282" s="20" t="n"/>
    </row>
    <row r="283" ht="18" customHeight="1">
      <c r="A283" s="37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38" t="n"/>
      <c r="H283" s="22" t="n"/>
      <c r="I283" s="25">
        <f>IF(OR(F283="",G283=""),"",F283*G283)</f>
        <v/>
      </c>
      <c r="J283" s="38">
        <f>IF(OR(F283="",G283=""),"",ROUND(G283*(1+F283/30),1))</f>
        <v/>
      </c>
      <c r="K283" s="26" t="n"/>
    </row>
    <row r="284" ht="18" customHeight="1">
      <c r="A284" s="3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36" t="n"/>
      <c r="H284" s="16" t="n"/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38" t="n"/>
      <c r="H285" s="22" t="n"/>
      <c r="I285" s="25">
        <f>IF(OR(F285="",G285=""),"",F285*G285)</f>
        <v/>
      </c>
      <c r="J285" s="38">
        <f>IF(OR(F285="",G285=""),"",ROUND(G285*(1+F285/30),1))</f>
        <v/>
      </c>
      <c r="K285" s="26" t="n"/>
    </row>
    <row r="286" ht="18" customHeight="1">
      <c r="A286" s="3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36" t="n"/>
      <c r="H286" s="16" t="n"/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38" t="n"/>
      <c r="H287" s="22" t="n"/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36" t="n"/>
      <c r="H288" s="16" t="n"/>
      <c r="I288" s="19">
        <f>IF(OR(F288="",G288=""),"",F288*G288)</f>
        <v/>
      </c>
      <c r="J288" s="36">
        <f>IF(OR(F288="",G288=""),"",ROUND(G288*(1+F288/30),1))</f>
        <v/>
      </c>
      <c r="K288" s="20" t="n"/>
    </row>
    <row r="289" ht="18" customHeight="1">
      <c r="A289" s="37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38" t="n"/>
      <c r="H289" s="22" t="n"/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36" t="n"/>
      <c r="H290" s="16" t="n"/>
      <c r="I290" s="19">
        <f>IF(OR(F290="",G290=""),"",F290*G290)</f>
        <v/>
      </c>
      <c r="J290" s="36">
        <f>IF(OR(F290="",G290=""),"",ROUND(G290*(1+F290/30),1))</f>
        <v/>
      </c>
      <c r="K290" s="20" t="n"/>
    </row>
    <row r="291" ht="18" customHeight="1">
      <c r="A291" s="37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38" t="n"/>
      <c r="H291" s="22" t="n"/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36" t="n"/>
      <c r="H292" s="16" t="n"/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38" t="n"/>
      <c r="H293" s="22" t="n"/>
      <c r="I293" s="25">
        <f>IF(OR(F293="",G293=""),"",F293*G293)</f>
        <v/>
      </c>
      <c r="J293" s="38">
        <f>IF(OR(F293="",G293=""),"",ROUND(G293*(1+F293/30),1))</f>
        <v/>
      </c>
      <c r="K293" s="26" t="n"/>
    </row>
    <row r="294" ht="18" customHeight="1">
      <c r="A294" s="3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36" t="n"/>
      <c r="H294" s="16" t="n"/>
      <c r="I294" s="19">
        <f>IF(OR(F294="",G294=""),"",F294*G294)</f>
        <v/>
      </c>
      <c r="J294" s="36">
        <f>IF(OR(F294="",G294=""),"",ROUND(G294*(1+F294/30),1))</f>
        <v/>
      </c>
      <c r="K294" s="20" t="n"/>
    </row>
    <row r="295" ht="18" customHeight="1">
      <c r="A295" s="37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38" t="n"/>
      <c r="H295" s="22" t="n"/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36" t="n"/>
      <c r="H296" s="16" t="n"/>
      <c r="I296" s="19">
        <f>IF(OR(F296="",G296=""),"",F296*G296)</f>
        <v/>
      </c>
      <c r="J296" s="36">
        <f>IF(OR(F296="",G296=""),"",ROUND(G296*(1+F296/30),1))</f>
        <v/>
      </c>
      <c r="K296" s="20" t="n"/>
    </row>
    <row r="297" ht="18" customHeight="1">
      <c r="A297" s="37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38" t="n"/>
      <c r="H297" s="22" t="n"/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36" t="n"/>
      <c r="H298" s="16" t="n"/>
      <c r="I298" s="19">
        <f>IF(OR(F298="",G298=""),"",F298*G298)</f>
        <v/>
      </c>
      <c r="J298" s="36">
        <f>IF(OR(F298="",G298=""),"",ROUND(G298*(1+F298/30),1))</f>
        <v/>
      </c>
      <c r="K298" s="20" t="n"/>
    </row>
    <row r="299" ht="18" customHeight="1">
      <c r="A299" s="37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38" t="n"/>
      <c r="H299" s="22" t="n"/>
      <c r="I299" s="25">
        <f>IF(OR(F299="",G299=""),"",F299*G299)</f>
        <v/>
      </c>
      <c r="J299" s="38">
        <f>IF(OR(F299="",G299=""),"",ROUND(G299*(1+F299/30),1))</f>
        <v/>
      </c>
      <c r="K299" s="26" t="n"/>
    </row>
    <row r="300" ht="18" customHeight="1">
      <c r="A300" s="3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36" t="n"/>
      <c r="H300" s="16" t="n"/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38" t="n"/>
      <c r="H301" s="22" t="n"/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36" t="n"/>
      <c r="H302" s="16" t="n"/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38" t="n"/>
      <c r="H303" s="22" t="n"/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36" t="n"/>
      <c r="H304" s="16" t="n"/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38" t="n"/>
      <c r="H305" s="22" t="n"/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36" t="n"/>
      <c r="H306" s="16" t="n"/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38" t="n"/>
      <c r="H307" s="22" t="n"/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36" t="n"/>
      <c r="H308" s="16" t="n"/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38" t="n"/>
      <c r="H309" s="22" t="n"/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36" t="n"/>
      <c r="H310" s="16" t="n"/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38" t="n"/>
      <c r="H311" s="22" t="n"/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36" t="n"/>
      <c r="H312" s="16" t="n"/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38" t="n"/>
      <c r="H313" s="22" t="n"/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36" t="n"/>
      <c r="H314" s="16" t="n"/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38" t="n"/>
      <c r="H315" s="22" t="n"/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36" t="n"/>
      <c r="H316" s="16" t="n"/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38" t="n"/>
      <c r="H317" s="22" t="n"/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36" t="n"/>
      <c r="H318" s="16" t="n"/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38" t="n"/>
      <c r="H319" s="22" t="n"/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6k Z2 run#2 back; HR fix landed 149 avg/25%Z2; cadence 162;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LONG#1 off layoff; 91%Z2 (zone fix); walk breaks k5/k9/k12; 71g carbs ~39g/hr; cadence 161; shin PERFECT</t>
        </is>
      </c>
    </row>
    <row r="7" ht="18" customHeight="1">
      <c r="A7" s="37" t="n"/>
      <c r="B7" s="22">
        <f>IF(A7="","",IFERROR(INT((A7-DATE(2026,4,27))/7)+1,""))</f>
        <v/>
      </c>
      <c r="C7" s="28" t="n"/>
      <c r="D7" s="38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35" t="n"/>
      <c r="B8" s="16">
        <f>IF(A8="","",IFERROR(INT((A8-DATE(2026,4,27))/7)+1,""))</f>
        <v/>
      </c>
      <c r="C8" s="27" t="n"/>
      <c r="D8" s="36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37" t="n"/>
      <c r="B9" s="22">
        <f>IF(A9="","",IFERROR(INT((A9-DATE(2026,4,27))/7)+1,""))</f>
        <v/>
      </c>
      <c r="C9" s="28" t="n"/>
      <c r="D9" s="38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35" t="n"/>
      <c r="B10" s="16">
        <f>IF(A10="","",IFERROR(INT((A10-DATE(2026,4,27))/7)+1,""))</f>
        <v/>
      </c>
      <c r="C10" s="27" t="n"/>
      <c r="D10" s="36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37" t="n"/>
      <c r="B11" s="22">
        <f>IF(A11="","",IFERROR(INT((A11-DATE(2026,4,27))/7)+1,""))</f>
        <v/>
      </c>
      <c r="C11" s="28" t="n"/>
      <c r="D11" s="38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35" t="n"/>
      <c r="B12" s="16">
        <f>IF(A12="","",IFERROR(INT((A12-DATE(2026,4,27))/7)+1,""))</f>
        <v/>
      </c>
      <c r="C12" s="27" t="n"/>
      <c r="D12" s="36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37" t="n"/>
      <c r="B13" s="22">
        <f>IF(A13="","",IFERROR(INT((A13-DATE(2026,4,27))/7)+1,""))</f>
        <v/>
      </c>
      <c r="C13" s="28" t="n"/>
      <c r="D13" s="38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35" t="n"/>
      <c r="B14" s="16">
        <f>IF(A14="","",IFERROR(INT((A14-DATE(2026,4,27))/7)+1,""))</f>
        <v/>
      </c>
      <c r="C14" s="27" t="n"/>
      <c r="D14" s="36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46184</v>
      </c>
      <c r="B17" s="22">
        <f>IF(A17="","",IFERROR(INT((A17-DATE(2026,4,27))/7)+1,""))</f>
        <v/>
      </c>
      <c r="C17" s="38" t="n">
        <v>76.5</v>
      </c>
      <c r="D17" s="38" t="n">
        <v>9.5</v>
      </c>
      <c r="E17" s="38" t="n"/>
      <c r="F17" s="38" t="n"/>
      <c r="G17" s="38" t="n"/>
      <c r="H17" s="38" t="n"/>
      <c r="I17" s="26" t="n"/>
    </row>
    <row r="18" ht="18" customHeight="1">
      <c r="A18" s="35" t="n">
        <v>46187</v>
      </c>
      <c r="B18" s="16">
        <f>IF(A18="","",IFERROR(INT((A18-DATE(2026,4,27))/7)+1,""))</f>
        <v/>
      </c>
      <c r="C18" s="36" t="n">
        <v>77.2</v>
      </c>
      <c r="D18" s="36" t="n">
        <v>9</v>
      </c>
      <c r="E18" s="36" t="n"/>
      <c r="F18" s="36" t="n"/>
      <c r="G18" s="36" t="n"/>
      <c r="H18" s="36" t="n"/>
      <c r="I18" s="20" t="n"/>
    </row>
    <row r="19" ht="18" customHeight="1">
      <c r="A19" s="37" t="n"/>
      <c r="B19" s="22">
        <f>IF(A19="","",IFERROR(INT((A19-DATE(2026,4,27))/7)+1,""))</f>
        <v/>
      </c>
      <c r="C19" s="38" t="n"/>
      <c r="D19" s="38" t="n"/>
      <c r="E19" s="38" t="n"/>
      <c r="F19" s="38" t="n"/>
      <c r="G19" s="38" t="n"/>
      <c r="H19" s="38" t="n"/>
      <c r="I19" s="26" t="n"/>
    </row>
    <row r="20" ht="18" customHeight="1">
      <c r="A20" s="35" t="n"/>
      <c r="B20" s="16">
        <f>IF(A20="","",IFERROR(INT((A20-DATE(2026,4,27))/7)+1,""))</f>
        <v/>
      </c>
      <c r="C20" s="36" t="n"/>
      <c r="D20" s="36" t="n"/>
      <c r="E20" s="36" t="n"/>
      <c r="F20" s="36" t="n"/>
      <c r="G20" s="36" t="n"/>
      <c r="H20" s="36" t="n"/>
      <c r="I20" s="20" t="n"/>
    </row>
    <row r="21" ht="18" customHeight="1">
      <c r="A21" s="37" t="n"/>
      <c r="B21" s="22">
        <f>IF(A21="","",IFERROR(INT((A21-DATE(2026,4,27))/7)+1,""))</f>
        <v/>
      </c>
      <c r="C21" s="38" t="n"/>
      <c r="D21" s="38" t="n"/>
      <c r="E21" s="38" t="n"/>
      <c r="F21" s="38" t="n"/>
      <c r="G21" s="38" t="n"/>
      <c r="H21" s="38" t="n"/>
      <c r="I21" s="26" t="n"/>
    </row>
    <row r="22" ht="18" customHeight="1">
      <c r="A22" s="35" t="n"/>
      <c r="B22" s="16">
        <f>IF(A22="","",IFERROR(INT((A22-DATE(2026,4,27))/7)+1,""))</f>
        <v/>
      </c>
      <c r="C22" s="36" t="n"/>
      <c r="D22" s="36" t="n"/>
      <c r="E22" s="36" t="n"/>
      <c r="F22" s="36" t="n"/>
      <c r="G22" s="36" t="n"/>
      <c r="H22" s="36" t="n"/>
      <c r="I22" s="20" t="n"/>
    </row>
    <row r="23" ht="18" customHeight="1">
      <c r="A23" s="37" t="n"/>
      <c r="B23" s="22">
        <f>IF(A23="","",IFERROR(INT((A23-DATE(2026,4,27))/7)+1,""))</f>
        <v/>
      </c>
      <c r="C23" s="38" t="n"/>
      <c r="D23" s="38" t="n"/>
      <c r="E23" s="38" t="n"/>
      <c r="F23" s="38" t="n"/>
      <c r="G23" s="38" t="n"/>
      <c r="H23" s="38" t="n"/>
      <c r="I23" s="26" t="n"/>
    </row>
    <row r="24" ht="18" customHeight="1">
      <c r="A24" s="35" t="n"/>
      <c r="B24" s="16">
        <f>IF(A24="","",IFERROR(INT((A24-DATE(2026,4,27))/7)+1,""))</f>
        <v/>
      </c>
      <c r="C24" s="36" t="n"/>
      <c r="D24" s="36" t="n"/>
      <c r="E24" s="36" t="n"/>
      <c r="F24" s="36" t="n"/>
      <c r="G24" s="36" t="n"/>
      <c r="H24" s="36" t="n"/>
      <c r="I24" s="20" t="n"/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2026-06-11T22:12:52Z</dcterms:created>
  <dcterms:modified xmlns:dcterms="http://purl.org/dc/terms/" xmlns:xsi="http://www.w3.org/2001/XMLSchema-instance" xsi:type="dcterms:W3CDTF">2026-06-15T13:56:04Z</dcterms:modified>
</cp:coreProperties>
</file>