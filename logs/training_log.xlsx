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c r="B432" s="16">
        <f>IF(A432="","",IFERROR(INT((A432-DATE(2026,4,27))/7)+1,""))</f>
        <v/>
      </c>
      <c r="C432" s="16" t="n"/>
      <c r="D432" s="17" t="n"/>
      <c r="E432" s="16" t="n"/>
      <c r="F432" s="16" t="n"/>
      <c r="G432" s="36" t="n"/>
      <c r="H432" s="16" t="n"/>
      <c r="I432" s="19">
        <f>IF(OR(F432="",G432=""),"",F432*G432)</f>
        <v/>
      </c>
      <c r="J432" s="36">
        <f>IF(OR(F432="",G432=""),"",ROUND(G432*(1+F432/30),1))</f>
        <v/>
      </c>
      <c r="K432" s="20" t="n"/>
    </row>
    <row r="433" ht="18" customHeight="1">
      <c r="A433" s="37" t="n"/>
      <c r="B433" s="22">
        <f>IF(A433="","",IFERROR(INT((A433-DATE(2026,4,27))/7)+1,""))</f>
        <v/>
      </c>
      <c r="C433" s="22" t="n"/>
      <c r="D433" s="23" t="n"/>
      <c r="E433" s="22" t="n"/>
      <c r="F433" s="22" t="n"/>
      <c r="G433" s="38" t="n"/>
      <c r="H433" s="22" t="n"/>
      <c r="I433" s="25">
        <f>IF(OR(F433="",G433=""),"",F433*G433)</f>
        <v/>
      </c>
      <c r="J433" s="38">
        <f>IF(OR(F433="",G433=""),"",ROUND(G433*(1+F433/30),1))</f>
        <v/>
      </c>
      <c r="K433" s="26" t="n"/>
    </row>
    <row r="434" ht="18" customHeight="1">
      <c r="A434" s="35" t="n"/>
      <c r="B434" s="16">
        <f>IF(A434="","",IFERROR(INT((A434-DATE(2026,4,27))/7)+1,""))</f>
        <v/>
      </c>
      <c r="C434" s="16" t="n"/>
      <c r="D434" s="17" t="n"/>
      <c r="E434" s="16" t="n"/>
      <c r="F434" s="16" t="n"/>
      <c r="G434" s="36" t="n"/>
      <c r="H434" s="16" t="n"/>
      <c r="I434" s="19">
        <f>IF(OR(F434="",G434=""),"",F434*G434)</f>
        <v/>
      </c>
      <c r="J434" s="36">
        <f>IF(OR(F434="",G434=""),"",ROUND(G434*(1+F434/30),1))</f>
        <v/>
      </c>
      <c r="K434" s="20" t="n"/>
    </row>
    <row r="435" ht="18" customHeight="1">
      <c r="A435" s="37" t="n"/>
      <c r="B435" s="22">
        <f>IF(A435="","",IFERROR(INT((A435-DATE(2026,4,27))/7)+1,""))</f>
        <v/>
      </c>
      <c r="C435" s="22" t="n"/>
      <c r="D435" s="23" t="n"/>
      <c r="E435" s="22" t="n"/>
      <c r="F435" s="22" t="n"/>
      <c r="G435" s="38" t="n"/>
      <c r="H435" s="22" t="n"/>
      <c r="I435" s="25">
        <f>IF(OR(F435="",G435=""),"",F435*G435)</f>
        <v/>
      </c>
      <c r="J435" s="38">
        <f>IF(OR(F435="",G435=""),"",ROUND(G435*(1+F435/30),1))</f>
        <v/>
      </c>
      <c r="K435" s="26" t="n"/>
    </row>
    <row r="436" ht="18" customHeight="1">
      <c r="A436" s="35" t="n"/>
      <c r="B436" s="16">
        <f>IF(A436="","",IFERROR(INT((A436-DATE(2026,4,27))/7)+1,""))</f>
        <v/>
      </c>
      <c r="C436" s="16" t="n"/>
      <c r="D436" s="17" t="n"/>
      <c r="E436" s="16" t="n"/>
      <c r="F436" s="16" t="n"/>
      <c r="G436" s="36" t="n"/>
      <c r="H436" s="16" t="n"/>
      <c r="I436" s="19">
        <f>IF(OR(F436="",G436=""),"",F436*G436)</f>
        <v/>
      </c>
      <c r="J436" s="36">
        <f>IF(OR(F436="",G436=""),"",ROUND(G436*(1+F436/30),1))</f>
        <v/>
      </c>
      <c r="K436" s="20" t="n"/>
    </row>
    <row r="437" ht="18" customHeight="1">
      <c r="A437" s="37" t="n"/>
      <c r="B437" s="22">
        <f>IF(A437="","",IFERROR(INT((A437-DATE(2026,4,27))/7)+1,""))</f>
        <v/>
      </c>
      <c r="C437" s="22" t="n"/>
      <c r="D437" s="23" t="n"/>
      <c r="E437" s="22" t="n"/>
      <c r="F437" s="22" t="n"/>
      <c r="G437" s="38" t="n"/>
      <c r="H437" s="22" t="n"/>
      <c r="I437" s="25">
        <f>IF(OR(F437="",G437=""),"",F437*G437)</f>
        <v/>
      </c>
      <c r="J437" s="38">
        <f>IF(OR(F437="",G437=""),"",ROUND(G437*(1+F437/30),1))</f>
        <v/>
      </c>
      <c r="K437" s="26" t="n"/>
    </row>
    <row r="438" ht="18" customHeight="1">
      <c r="A438" s="35" t="n"/>
      <c r="B438" s="16">
        <f>IF(A438="","",IFERROR(INT((A438-DATE(2026,4,27))/7)+1,""))</f>
        <v/>
      </c>
      <c r="C438" s="16" t="n"/>
      <c r="D438" s="17" t="n"/>
      <c r="E438" s="16" t="n"/>
      <c r="F438" s="16" t="n"/>
      <c r="G438" s="36" t="n"/>
      <c r="H438" s="16" t="n"/>
      <c r="I438" s="19">
        <f>IF(OR(F438="",G438=""),"",F438*G438)</f>
        <v/>
      </c>
      <c r="J438" s="36">
        <f>IF(OR(F438="",G438=""),"",ROUND(G438*(1+F438/30),1))</f>
        <v/>
      </c>
      <c r="K438" s="20" t="n"/>
    </row>
    <row r="439" ht="18" customHeight="1">
      <c r="A439" s="37" t="n"/>
      <c r="B439" s="22">
        <f>IF(A439="","",IFERROR(INT((A439-DATE(2026,4,27))/7)+1,""))</f>
        <v/>
      </c>
      <c r="C439" s="22" t="n"/>
      <c r="D439" s="23" t="n"/>
      <c r="E439" s="22" t="n"/>
      <c r="F439" s="22" t="n"/>
      <c r="G439" s="38" t="n"/>
      <c r="H439" s="22" t="n"/>
      <c r="I439" s="25">
        <f>IF(OR(F439="",G439=""),"",F439*G439)</f>
        <v/>
      </c>
      <c r="J439" s="38">
        <f>IF(OR(F439="",G439=""),"",ROUND(G439*(1+F439/30),1))</f>
        <v/>
      </c>
      <c r="K439" s="26" t="n"/>
    </row>
    <row r="440" ht="18" customHeight="1">
      <c r="A440" s="35" t="n"/>
      <c r="B440" s="16">
        <f>IF(A440="","",IFERROR(INT((A440-DATE(2026,4,27))/7)+1,""))</f>
        <v/>
      </c>
      <c r="C440" s="16" t="n"/>
      <c r="D440" s="17" t="n"/>
      <c r="E440" s="16" t="n"/>
      <c r="F440" s="16" t="n"/>
      <c r="G440" s="36" t="n"/>
      <c r="H440" s="16" t="n"/>
      <c r="I440" s="19">
        <f>IF(OR(F440="",G440=""),"",F440*G440)</f>
        <v/>
      </c>
      <c r="J440" s="36">
        <f>IF(OR(F440="",G440=""),"",ROUND(G440*(1+F440/30),1))</f>
        <v/>
      </c>
      <c r="K440" s="20" t="n"/>
    </row>
    <row r="441" ht="18" customHeight="1">
      <c r="A441" s="37" t="n"/>
      <c r="B441" s="22">
        <f>IF(A441="","",IFERROR(INT((A441-DATE(2026,4,27))/7)+1,""))</f>
        <v/>
      </c>
      <c r="C441" s="22" t="n"/>
      <c r="D441" s="23" t="n"/>
      <c r="E441" s="22" t="n"/>
      <c r="F441" s="22" t="n"/>
      <c r="G441" s="38" t="n"/>
      <c r="H441" s="22" t="n"/>
      <c r="I441" s="25">
        <f>IF(OR(F441="",G441=""),"",F441*G441)</f>
        <v/>
      </c>
      <c r="J441" s="38">
        <f>IF(OR(F441="",G441=""),"",ROUND(G441*(1+F441/30),1))</f>
        <v/>
      </c>
      <c r="K441" s="26" t="n"/>
    </row>
    <row r="442" ht="18" customHeight="1">
      <c r="A442" s="35" t="n"/>
      <c r="B442" s="16">
        <f>IF(A442="","",IFERROR(INT((A442-DATE(2026,4,27))/7)+1,""))</f>
        <v/>
      </c>
      <c r="C442" s="16" t="n"/>
      <c r="D442" s="17" t="n"/>
      <c r="E442" s="16" t="n"/>
      <c r="F442" s="16" t="n"/>
      <c r="G442" s="36" t="n"/>
      <c r="H442" s="16" t="n"/>
      <c r="I442" s="19">
        <f>IF(OR(F442="",G442=""),"",F442*G442)</f>
        <v/>
      </c>
      <c r="J442" s="36">
        <f>IF(OR(F442="",G442=""),"",ROUND(G442*(1+F442/30),1))</f>
        <v/>
      </c>
      <c r="K442" s="20" t="n"/>
    </row>
    <row r="443" ht="18" customHeight="1">
      <c r="A443" s="37" t="n"/>
      <c r="B443" s="22">
        <f>IF(A443="","",IFERROR(INT((A443-DATE(2026,4,27))/7)+1,""))</f>
        <v/>
      </c>
      <c r="C443" s="22" t="n"/>
      <c r="D443" s="23" t="n"/>
      <c r="E443" s="22" t="n"/>
      <c r="F443" s="22" t="n"/>
      <c r="G443" s="38" t="n"/>
      <c r="H443" s="22" t="n"/>
      <c r="I443" s="25">
        <f>IF(OR(F443="",G443=""),"",F443*G443)</f>
        <v/>
      </c>
      <c r="J443" s="38">
        <f>IF(OR(F443="",G443=""),"",ROUND(G443*(1+F443/30),1))</f>
        <v/>
      </c>
      <c r="K443" s="26" t="n"/>
    </row>
    <row r="444" ht="18" customHeight="1">
      <c r="A444" s="35" t="n"/>
      <c r="B444" s="16">
        <f>IF(A444="","",IFERROR(INT((A444-DATE(2026,4,27))/7)+1,""))</f>
        <v/>
      </c>
      <c r="C444" s="16" t="n"/>
      <c r="D444" s="17" t="n"/>
      <c r="E444" s="16" t="n"/>
      <c r="F444" s="16" t="n"/>
      <c r="G444" s="36" t="n"/>
      <c r="H444" s="16" t="n"/>
      <c r="I444" s="19">
        <f>IF(OR(F444="",G444=""),"",F444*G444)</f>
        <v/>
      </c>
      <c r="J444" s="36">
        <f>IF(OR(F444="",G444=""),"",ROUND(G444*(1+F444/30),1))</f>
        <v/>
      </c>
      <c r="K444" s="20" t="n"/>
    </row>
    <row r="445" ht="18" customHeight="1">
      <c r="A445" s="37" t="n"/>
      <c r="B445" s="22">
        <f>IF(A445="","",IFERROR(INT((A445-DATE(2026,4,27))/7)+1,""))</f>
        <v/>
      </c>
      <c r="C445" s="22" t="n"/>
      <c r="D445" s="23" t="n"/>
      <c r="E445" s="22" t="n"/>
      <c r="F445" s="22" t="n"/>
      <c r="G445" s="38" t="n"/>
      <c r="H445" s="22" t="n"/>
      <c r="I445" s="25">
        <f>IF(OR(F445="",G445=""),"",F445*G445)</f>
        <v/>
      </c>
      <c r="J445" s="38">
        <f>IF(OR(F445="",G445=""),"",ROUND(G445*(1+F445/30),1))</f>
        <v/>
      </c>
      <c r="K445" s="26" t="n"/>
    </row>
    <row r="446" ht="18" customHeight="1">
      <c r="A446" s="35" t="n"/>
      <c r="B446" s="16">
        <f>IF(A446="","",IFERROR(INT((A446-DATE(2026,4,27))/7)+1,""))</f>
        <v/>
      </c>
      <c r="C446" s="16" t="n"/>
      <c r="D446" s="17" t="n"/>
      <c r="E446" s="16" t="n"/>
      <c r="F446" s="16" t="n"/>
      <c r="G446" s="36" t="n"/>
      <c r="H446" s="16" t="n"/>
      <c r="I446" s="19">
        <f>IF(OR(F446="",G446=""),"",F446*G446)</f>
        <v/>
      </c>
      <c r="J446" s="36">
        <f>IF(OR(F446="",G446=""),"",ROUND(G446*(1+F446/30),1))</f>
        <v/>
      </c>
      <c r="K446" s="20" t="n"/>
    </row>
    <row r="447" ht="18" customHeight="1">
      <c r="A447" s="37" t="n"/>
      <c r="B447" s="22">
        <f>IF(A447="","",IFERROR(INT((A447-DATE(2026,4,27))/7)+1,""))</f>
        <v/>
      </c>
      <c r="C447" s="22" t="n"/>
      <c r="D447" s="23" t="n"/>
      <c r="E447" s="22" t="n"/>
      <c r="F447" s="22" t="n"/>
      <c r="G447" s="38" t="n"/>
      <c r="H447" s="22" t="n"/>
      <c r="I447" s="25">
        <f>IF(OR(F447="",G447=""),"",F447*G447)</f>
        <v/>
      </c>
      <c r="J447" s="38">
        <f>IF(OR(F447="",G447=""),"",ROUND(G447*(1+F447/30),1))</f>
        <v/>
      </c>
      <c r="K447" s="26" t="n"/>
    </row>
    <row r="448" ht="18" customHeight="1">
      <c r="A448" s="35" t="n"/>
      <c r="B448" s="16">
        <f>IF(A448="","",IFERROR(INT((A448-DATE(2026,4,27))/7)+1,""))</f>
        <v/>
      </c>
      <c r="C448" s="16" t="n"/>
      <c r="D448" s="17" t="n"/>
      <c r="E448" s="16" t="n"/>
      <c r="F448" s="16" t="n"/>
      <c r="G448" s="36" t="n"/>
      <c r="H448" s="16" t="n"/>
      <c r="I448" s="19">
        <f>IF(OR(F448="",G448=""),"",F448*G448)</f>
        <v/>
      </c>
      <c r="J448" s="36">
        <f>IF(OR(F448="",G448=""),"",ROUND(G448*(1+F448/30),1))</f>
        <v/>
      </c>
      <c r="K448" s="20" t="n"/>
    </row>
    <row r="449" ht="18" customHeight="1">
      <c r="A449" s="37" t="n"/>
      <c r="B449" s="22">
        <f>IF(A449="","",IFERROR(INT((A449-DATE(2026,4,27))/7)+1,""))</f>
        <v/>
      </c>
      <c r="C449" s="22" t="n"/>
      <c r="D449" s="23" t="n"/>
      <c r="E449" s="22" t="n"/>
      <c r="F449" s="22" t="n"/>
      <c r="G449" s="38" t="n"/>
      <c r="H449" s="22" t="n"/>
      <c r="I449" s="25">
        <f>IF(OR(F449="",G449=""),"",F449*G449)</f>
        <v/>
      </c>
      <c r="J449" s="38">
        <f>IF(OR(F449="",G449=""),"",ROUND(G449*(1+F449/30),1))</f>
        <v/>
      </c>
      <c r="K449" s="26" t="n"/>
    </row>
    <row r="450" ht="18" customHeight="1">
      <c r="A450" s="35" t="n"/>
      <c r="B450" s="16">
        <f>IF(A450="","",IFERROR(INT((A450-DATE(2026,4,27))/7)+1,""))</f>
        <v/>
      </c>
      <c r="C450" s="16" t="n"/>
      <c r="D450" s="17" t="n"/>
      <c r="E450" s="16" t="n"/>
      <c r="F450" s="16" t="n"/>
      <c r="G450" s="36" t="n"/>
      <c r="H450" s="16" t="n"/>
      <c r="I450" s="19">
        <f>IF(OR(F450="",G450=""),"",F450*G450)</f>
        <v/>
      </c>
      <c r="J450" s="36">
        <f>IF(OR(F450="",G450=""),"",ROUND(G450*(1+F450/30),1))</f>
        <v/>
      </c>
      <c r="K450" s="20" t="n"/>
    </row>
    <row r="451" ht="18" customHeight="1">
      <c r="A451" s="37" t="n"/>
      <c r="B451" s="22">
        <f>IF(A451="","",IFERROR(INT((A451-DATE(2026,4,27))/7)+1,""))</f>
        <v/>
      </c>
      <c r="C451" s="22" t="n"/>
      <c r="D451" s="23" t="n"/>
      <c r="E451" s="22" t="n"/>
      <c r="F451" s="22" t="n"/>
      <c r="G451" s="38" t="n"/>
      <c r="H451" s="22" t="n"/>
      <c r="I451" s="25">
        <f>IF(OR(F451="",G451=""),"",F451*G451)</f>
        <v/>
      </c>
      <c r="J451" s="38">
        <f>IF(OR(F451="",G451=""),"",ROUND(G451*(1+F451/30),1))</f>
        <v/>
      </c>
      <c r="K451" s="26" t="n"/>
    </row>
    <row r="452" ht="18" customHeight="1">
      <c r="A452" s="35" t="n"/>
      <c r="B452" s="16">
        <f>IF(A452="","",IFERROR(INT((A452-DATE(2026,4,27))/7)+1,""))</f>
        <v/>
      </c>
      <c r="C452" s="16" t="n"/>
      <c r="D452" s="17" t="n"/>
      <c r="E452" s="16" t="n"/>
      <c r="F452" s="16" t="n"/>
      <c r="G452" s="36" t="n"/>
      <c r="H452" s="16" t="n"/>
      <c r="I452" s="19">
        <f>IF(OR(F452="",G452=""),"",F452*G452)</f>
        <v/>
      </c>
      <c r="J452" s="36">
        <f>IF(OR(F452="",G452=""),"",ROUND(G452*(1+F452/30),1))</f>
        <v/>
      </c>
      <c r="K452" s="20" t="n"/>
    </row>
    <row r="453" ht="18" customHeight="1">
      <c r="A453" s="37" t="n"/>
      <c r="B453" s="22">
        <f>IF(A453="","",IFERROR(INT((A453-DATE(2026,4,27))/7)+1,""))</f>
        <v/>
      </c>
      <c r="C453" s="22" t="n"/>
      <c r="D453" s="23" t="n"/>
      <c r="E453" s="22" t="n"/>
      <c r="F453" s="22" t="n"/>
      <c r="G453" s="38" t="n"/>
      <c r="H453" s="22" t="n"/>
      <c r="I453" s="25">
        <f>IF(OR(F453="",G453=""),"",F453*G453)</f>
        <v/>
      </c>
      <c r="J453" s="38">
        <f>IF(OR(F453="",G453=""),"",ROUND(G453*(1+F453/30),1))</f>
        <v/>
      </c>
      <c r="K453" s="26" t="n"/>
    </row>
    <row r="454" ht="18" customHeight="1">
      <c r="A454" s="35" t="n"/>
      <c r="B454" s="16">
        <f>IF(A454="","",IFERROR(INT((A454-DATE(2026,4,27))/7)+1,""))</f>
        <v/>
      </c>
      <c r="C454" s="16" t="n"/>
      <c r="D454" s="17" t="n"/>
      <c r="E454" s="16" t="n"/>
      <c r="F454" s="16" t="n"/>
      <c r="G454" s="36" t="n"/>
      <c r="H454" s="16" t="n"/>
      <c r="I454" s="19">
        <f>IF(OR(F454="",G454=""),"",F454*G454)</f>
        <v/>
      </c>
      <c r="J454" s="36">
        <f>IF(OR(F454="",G454=""),"",ROUND(G454*(1+F454/30),1))</f>
        <v/>
      </c>
      <c r="K454" s="20" t="n"/>
    </row>
    <row r="455" ht="18" customHeight="1">
      <c r="A455" s="37" t="n"/>
      <c r="B455" s="22">
        <f>IF(A455="","",IFERROR(INT((A455-DATE(2026,4,27))/7)+1,""))</f>
        <v/>
      </c>
      <c r="C455" s="22" t="n"/>
      <c r="D455" s="23" t="n"/>
      <c r="E455" s="22" t="n"/>
      <c r="F455" s="22" t="n"/>
      <c r="G455" s="38" t="n"/>
      <c r="H455" s="22" t="n"/>
      <c r="I455" s="25">
        <f>IF(OR(F455="",G455=""),"",F455*G455)</f>
        <v/>
      </c>
      <c r="J455" s="38">
        <f>IF(OR(F455="",G455=""),"",ROUND(G455*(1+F455/30),1))</f>
        <v/>
      </c>
      <c r="K455" s="26" t="n"/>
    </row>
    <row r="456" ht="18" customHeight="1">
      <c r="A456" s="35" t="n"/>
      <c r="B456" s="16">
        <f>IF(A456="","",IFERROR(INT((A456-DATE(2026,4,27))/7)+1,""))</f>
        <v/>
      </c>
      <c r="C456" s="16" t="n"/>
      <c r="D456" s="17" t="n"/>
      <c r="E456" s="16" t="n"/>
      <c r="F456" s="16" t="n"/>
      <c r="G456" s="36" t="n"/>
      <c r="H456" s="16" t="n"/>
      <c r="I456" s="19">
        <f>IF(OR(F456="",G456=""),"",F456*G456)</f>
        <v/>
      </c>
      <c r="J456" s="36">
        <f>IF(OR(F456="",G456=""),"",ROUND(G456*(1+F456/30),1))</f>
        <v/>
      </c>
      <c r="K456" s="20" t="n"/>
    </row>
    <row r="457" ht="18" customHeight="1">
      <c r="A457" s="37" t="n"/>
      <c r="B457" s="22">
        <f>IF(A457="","",IFERROR(INT((A457-DATE(2026,4,27))/7)+1,""))</f>
        <v/>
      </c>
      <c r="C457" s="22" t="n"/>
      <c r="D457" s="23" t="n"/>
      <c r="E457" s="22" t="n"/>
      <c r="F457" s="22" t="n"/>
      <c r="G457" s="38" t="n"/>
      <c r="H457" s="22" t="n"/>
      <c r="I457" s="25">
        <f>IF(OR(F457="",G457=""),"",F457*G457)</f>
        <v/>
      </c>
      <c r="J457" s="38">
        <f>IF(OR(F457="",G457=""),"",ROUND(G457*(1+F457/30),1))</f>
        <v/>
      </c>
      <c r="K457" s="26" t="n"/>
    </row>
    <row r="458" ht="18" customHeight="1">
      <c r="A458" s="35" t="n"/>
      <c r="B458" s="16">
        <f>IF(A458="","",IFERROR(INT((A458-DATE(2026,4,27))/7)+1,""))</f>
        <v/>
      </c>
      <c r="C458" s="16" t="n"/>
      <c r="D458" s="17" t="n"/>
      <c r="E458" s="16" t="n"/>
      <c r="F458" s="16" t="n"/>
      <c r="G458" s="36" t="n"/>
      <c r="H458" s="16" t="n"/>
      <c r="I458" s="19">
        <f>IF(OR(F458="",G458=""),"",F458*G458)</f>
        <v/>
      </c>
      <c r="J458" s="36">
        <f>IF(OR(F458="",G458=""),"",ROUND(G458*(1+F458/30),1))</f>
        <v/>
      </c>
      <c r="K458" s="20" t="n"/>
    </row>
    <row r="459" ht="18" customHeight="1">
      <c r="A459" s="37" t="n"/>
      <c r="B459" s="22">
        <f>IF(A459="","",IFERROR(INT((A459-DATE(2026,4,27))/7)+1,""))</f>
        <v/>
      </c>
      <c r="C459" s="22" t="n"/>
      <c r="D459" s="23" t="n"/>
      <c r="E459" s="22" t="n"/>
      <c r="F459" s="22" t="n"/>
      <c r="G459" s="38" t="n"/>
      <c r="H459" s="22" t="n"/>
      <c r="I459" s="25">
        <f>IF(OR(F459="",G459=""),"",F459*G459)</f>
        <v/>
      </c>
      <c r="J459" s="38">
        <f>IF(OR(F459="",G459=""),"",ROUND(G459*(1+F459/30),1))</f>
        <v/>
      </c>
      <c r="K459" s="26" t="n"/>
    </row>
    <row r="460" ht="18" customHeight="1">
      <c r="A460" s="35" t="n"/>
      <c r="B460" s="16">
        <f>IF(A460="","",IFERROR(INT((A460-DATE(2026,4,27))/7)+1,""))</f>
        <v/>
      </c>
      <c r="C460" s="16" t="n"/>
      <c r="D460" s="17" t="n"/>
      <c r="E460" s="16" t="n"/>
      <c r="F460" s="16" t="n"/>
      <c r="G460" s="36" t="n"/>
      <c r="H460" s="16" t="n"/>
      <c r="I460" s="19">
        <f>IF(OR(F460="",G460=""),"",F460*G460)</f>
        <v/>
      </c>
      <c r="J460" s="36">
        <f>IF(OR(F460="",G460=""),"",ROUND(G460*(1+F460/30),1))</f>
        <v/>
      </c>
      <c r="K460" s="20" t="n"/>
    </row>
    <row r="461" ht="18" customHeight="1">
      <c r="A461" s="37" t="n"/>
      <c r="B461" s="22">
        <f>IF(A461="","",IFERROR(INT((A461-DATE(2026,4,27))/7)+1,""))</f>
        <v/>
      </c>
      <c r="C461" s="22" t="n"/>
      <c r="D461" s="23" t="n"/>
      <c r="E461" s="22" t="n"/>
      <c r="F461" s="22" t="n"/>
      <c r="G461" s="38" t="n"/>
      <c r="H461" s="22" t="n"/>
      <c r="I461" s="25">
        <f>IF(OR(F461="",G461=""),"",F461*G461)</f>
        <v/>
      </c>
      <c r="J461" s="38">
        <f>IF(OR(F461="",G461=""),"",ROUND(G461*(1+F461/30),1))</f>
        <v/>
      </c>
      <c r="K461" s="26" t="n"/>
    </row>
    <row r="462" ht="18" customHeight="1">
      <c r="A462" s="35" t="n"/>
      <c r="B462" s="16">
        <f>IF(A462="","",IFERROR(INT((A462-DATE(2026,4,27))/7)+1,""))</f>
        <v/>
      </c>
      <c r="C462" s="16" t="n"/>
      <c r="D462" s="17" t="n"/>
      <c r="E462" s="16" t="n"/>
      <c r="F462" s="16" t="n"/>
      <c r="G462" s="36" t="n"/>
      <c r="H462" s="16" t="n"/>
      <c r="I462" s="19">
        <f>IF(OR(F462="",G462=""),"",F462*G462)</f>
        <v/>
      </c>
      <c r="J462" s="36">
        <f>IF(OR(F462="",G462=""),"",ROUND(G462*(1+F462/30),1))</f>
        <v/>
      </c>
      <c r="K462" s="20" t="n"/>
    </row>
    <row r="463" ht="18" customHeight="1">
      <c r="A463" s="37" t="n"/>
      <c r="B463" s="22">
        <f>IF(A463="","",IFERROR(INT((A463-DATE(2026,4,27))/7)+1,""))</f>
        <v/>
      </c>
      <c r="C463" s="22" t="n"/>
      <c r="D463" s="23" t="n"/>
      <c r="E463" s="22" t="n"/>
      <c r="F463" s="22" t="n"/>
      <c r="G463" s="38" t="n"/>
      <c r="H463" s="22" t="n"/>
      <c r="I463" s="25">
        <f>IF(OR(F463="",G463=""),"",F463*G463)</f>
        <v/>
      </c>
      <c r="J463" s="38">
        <f>IF(OR(F463="",G463=""),"",ROUND(G463*(1+F463/30),1))</f>
        <v/>
      </c>
      <c r="K463" s="26" t="n"/>
    </row>
    <row r="464" ht="18" customHeight="1">
      <c r="A464" s="35" t="n"/>
      <c r="B464" s="16">
        <f>IF(A464="","",IFERROR(INT((A464-DATE(2026,4,27))/7)+1,""))</f>
        <v/>
      </c>
      <c r="C464" s="16" t="n"/>
      <c r="D464" s="17" t="n"/>
      <c r="E464" s="16" t="n"/>
      <c r="F464" s="16" t="n"/>
      <c r="G464" s="36" t="n"/>
      <c r="H464" s="16" t="n"/>
      <c r="I464" s="19">
        <f>IF(OR(F464="",G464=""),"",F464*G464)</f>
        <v/>
      </c>
      <c r="J464" s="36">
        <f>IF(OR(F464="",G464=""),"",ROUND(G464*(1+F464/30),1))</f>
        <v/>
      </c>
      <c r="K464" s="20" t="n"/>
    </row>
    <row r="465" ht="18" customHeight="1">
      <c r="A465" s="37" t="n"/>
      <c r="B465" s="22">
        <f>IF(A465="","",IFERROR(INT((A465-DATE(2026,4,27))/7)+1,""))</f>
        <v/>
      </c>
      <c r="C465" s="22" t="n"/>
      <c r="D465" s="23" t="n"/>
      <c r="E465" s="22" t="n"/>
      <c r="F465" s="22" t="n"/>
      <c r="G465" s="38" t="n"/>
      <c r="H465" s="22" t="n"/>
      <c r="I465" s="25">
        <f>IF(OR(F465="",G465=""),"",F465*G465)</f>
        <v/>
      </c>
      <c r="J465" s="38">
        <f>IF(OR(F465="",G465=""),"",ROUND(G465*(1+F465/30),1))</f>
        <v/>
      </c>
      <c r="K465" s="26" t="n"/>
    </row>
    <row r="466" ht="18" customHeight="1">
      <c r="A466" s="35" t="n"/>
      <c r="B466" s="16">
        <f>IF(A466="","",IFERROR(INT((A466-DATE(2026,4,27))/7)+1,""))</f>
        <v/>
      </c>
      <c r="C466" s="16" t="n"/>
      <c r="D466" s="17" t="n"/>
      <c r="E466" s="16" t="n"/>
      <c r="F466" s="16" t="n"/>
      <c r="G466" s="36" t="n"/>
      <c r="H466" s="16" t="n"/>
      <c r="I466" s="19">
        <f>IF(OR(F466="",G466=""),"",F466*G466)</f>
        <v/>
      </c>
      <c r="J466" s="36">
        <f>IF(OR(F466="",G466=""),"",ROUND(G466*(1+F466/30),1))</f>
        <v/>
      </c>
      <c r="K466" s="20" t="n"/>
    </row>
    <row r="467" ht="18" customHeight="1">
      <c r="A467" s="37" t="n"/>
      <c r="B467" s="22">
        <f>IF(A467="","",IFERROR(INT((A467-DATE(2026,4,27))/7)+1,""))</f>
        <v/>
      </c>
      <c r="C467" s="22" t="n"/>
      <c r="D467" s="23" t="n"/>
      <c r="E467" s="22" t="n"/>
      <c r="F467" s="22" t="n"/>
      <c r="G467" s="38" t="n"/>
      <c r="H467" s="22" t="n"/>
      <c r="I467" s="25">
        <f>IF(OR(F467="",G467=""),"",F467*G467)</f>
        <v/>
      </c>
      <c r="J467" s="38">
        <f>IF(OR(F467="",G467=""),"",ROUND(G467*(1+F467/30),1))</f>
        <v/>
      </c>
      <c r="K467" s="26" t="n"/>
    </row>
    <row r="468" ht="18" customHeight="1">
      <c r="A468" s="35" t="n"/>
      <c r="B468" s="16">
        <f>IF(A468="","",IFERROR(INT((A468-DATE(2026,4,27))/7)+1,""))</f>
        <v/>
      </c>
      <c r="C468" s="16" t="n"/>
      <c r="D468" s="17" t="n"/>
      <c r="E468" s="16" t="n"/>
      <c r="F468" s="16" t="n"/>
      <c r="G468" s="36" t="n"/>
      <c r="H468" s="16" t="n"/>
      <c r="I468" s="19">
        <f>IF(OR(F468="",G468=""),"",F468*G468)</f>
        <v/>
      </c>
      <c r="J468" s="36">
        <f>IF(OR(F468="",G468=""),"",ROUND(G468*(1+F468/30),1))</f>
        <v/>
      </c>
      <c r="K468" s="20" t="n"/>
    </row>
    <row r="469" ht="18" customHeight="1">
      <c r="A469" s="37" t="n"/>
      <c r="B469" s="22">
        <f>IF(A469="","",IFERROR(INT((A469-DATE(2026,4,27))/7)+1,""))</f>
        <v/>
      </c>
      <c r="C469" s="22" t="n"/>
      <c r="D469" s="23" t="n"/>
      <c r="E469" s="22" t="n"/>
      <c r="F469" s="22" t="n"/>
      <c r="G469" s="38" t="n"/>
      <c r="H469" s="22" t="n"/>
      <c r="I469" s="25">
        <f>IF(OR(F469="",G469=""),"",F469*G469)</f>
        <v/>
      </c>
      <c r="J469" s="38">
        <f>IF(OR(F469="",G469=""),"",ROUND(G469*(1+F469/30),1))</f>
        <v/>
      </c>
      <c r="K469" s="26" t="n"/>
    </row>
    <row r="470" ht="18" customHeight="1">
      <c r="A470" s="35" t="n"/>
      <c r="B470" s="16">
        <f>IF(A470="","",IFERROR(INT((A470-DATE(2026,4,27))/7)+1,""))</f>
        <v/>
      </c>
      <c r="C470" s="16" t="n"/>
      <c r="D470" s="17" t="n"/>
      <c r="E470" s="16" t="n"/>
      <c r="F470" s="16" t="n"/>
      <c r="G470" s="36" t="n"/>
      <c r="H470" s="16" t="n"/>
      <c r="I470" s="19">
        <f>IF(OR(F470="",G470=""),"",F470*G470)</f>
        <v/>
      </c>
      <c r="J470" s="36">
        <f>IF(OR(F470="",G470=""),"",ROUND(G470*(1+F470/30),1))</f>
        <v/>
      </c>
      <c r="K470" s="20" t="n"/>
    </row>
    <row r="471" ht="18" customHeight="1">
      <c r="A471" s="37" t="n"/>
      <c r="B471" s="22">
        <f>IF(A471="","",IFERROR(INT((A471-DATE(2026,4,27))/7)+1,""))</f>
        <v/>
      </c>
      <c r="C471" s="22" t="n"/>
      <c r="D471" s="23" t="n"/>
      <c r="E471" s="22" t="n"/>
      <c r="F471" s="22" t="n"/>
      <c r="G471" s="38" t="n"/>
      <c r="H471" s="22" t="n"/>
      <c r="I471" s="25">
        <f>IF(OR(F471="",G471=""),"",F471*G471)</f>
        <v/>
      </c>
      <c r="J471" s="38">
        <f>IF(OR(F471="",G471=""),"",ROUND(G471*(1+F471/30),1))</f>
        <v/>
      </c>
      <c r="K471" s="26" t="n"/>
    </row>
    <row r="472" ht="18" customHeight="1">
      <c r="A472" s="35" t="n"/>
      <c r="B472" s="16">
        <f>IF(A472="","",IFERROR(INT((A472-DATE(2026,4,27))/7)+1,""))</f>
        <v/>
      </c>
      <c r="C472" s="16" t="n"/>
      <c r="D472" s="17" t="n"/>
      <c r="E472" s="16" t="n"/>
      <c r="F472" s="16" t="n"/>
      <c r="G472" s="36" t="n"/>
      <c r="H472" s="16" t="n"/>
      <c r="I472" s="19">
        <f>IF(OR(F472="",G472=""),"",F472*G472)</f>
        <v/>
      </c>
      <c r="J472" s="36">
        <f>IF(OR(F472="",G472=""),"",ROUND(G472*(1+F472/30),1))</f>
        <v/>
      </c>
      <c r="K472" s="20" t="n"/>
    </row>
    <row r="473" ht="18" customHeight="1">
      <c r="A473" s="37" t="n"/>
      <c r="B473" s="22">
        <f>IF(A473="","",IFERROR(INT((A473-DATE(2026,4,27))/7)+1,""))</f>
        <v/>
      </c>
      <c r="C473" s="22" t="n"/>
      <c r="D473" s="23" t="n"/>
      <c r="E473" s="22" t="n"/>
      <c r="F473" s="22" t="n"/>
      <c r="G473" s="38" t="n"/>
      <c r="H473" s="22" t="n"/>
      <c r="I473" s="25">
        <f>IF(OR(F473="",G473=""),"",F473*G473)</f>
        <v/>
      </c>
      <c r="J473" s="38">
        <f>IF(OR(F473="",G473=""),"",ROUND(G473*(1+F473/30),1))</f>
        <v/>
      </c>
      <c r="K473" s="26" t="n"/>
    </row>
    <row r="474" ht="18" customHeight="1">
      <c r="A474" s="35" t="n"/>
      <c r="B474" s="16">
        <f>IF(A474="","",IFERROR(INT((A474-DATE(2026,4,27))/7)+1,""))</f>
        <v/>
      </c>
      <c r="C474" s="16" t="n"/>
      <c r="D474" s="17" t="n"/>
      <c r="E474" s="16" t="n"/>
      <c r="F474" s="16" t="n"/>
      <c r="G474" s="36" t="n"/>
      <c r="H474" s="16" t="n"/>
      <c r="I474" s="19">
        <f>IF(OR(F474="",G474=""),"",F474*G474)</f>
        <v/>
      </c>
      <c r="J474" s="36">
        <f>IF(OR(F474="",G474=""),"",ROUND(G474*(1+F474/30),1))</f>
        <v/>
      </c>
      <c r="K474" s="20" t="n"/>
    </row>
    <row r="475" ht="18" customHeight="1">
      <c r="A475" s="37" t="n"/>
      <c r="B475" s="22">
        <f>IF(A475="","",IFERROR(INT((A475-DATE(2026,4,27))/7)+1,""))</f>
        <v/>
      </c>
      <c r="C475" s="22" t="n"/>
      <c r="D475" s="23" t="n"/>
      <c r="E475" s="22" t="n"/>
      <c r="F475" s="22" t="n"/>
      <c r="G475" s="38" t="n"/>
      <c r="H475" s="22" t="n"/>
      <c r="I475" s="25">
        <f>IF(OR(F475="",G475=""),"",F475*G475)</f>
        <v/>
      </c>
      <c r="J475" s="38">
        <f>IF(OR(F475="",G475=""),"",ROUND(G475*(1+F475/30),1))</f>
        <v/>
      </c>
      <c r="K475" s="26" t="n"/>
    </row>
    <row r="476" ht="18" customHeight="1">
      <c r="A476" s="35" t="n"/>
      <c r="B476" s="16">
        <f>IF(A476="","",IFERROR(INT((A476-DATE(2026,4,27))/7)+1,""))</f>
        <v/>
      </c>
      <c r="C476" s="16" t="n"/>
      <c r="D476" s="17" t="n"/>
      <c r="E476" s="16" t="n"/>
      <c r="F476" s="16" t="n"/>
      <c r="G476" s="36" t="n"/>
      <c r="H476" s="16" t="n"/>
      <c r="I476" s="19">
        <f>IF(OR(F476="",G476=""),"",F476*G476)</f>
        <v/>
      </c>
      <c r="J476" s="36">
        <f>IF(OR(F476="",G476=""),"",ROUND(G476*(1+F476/30),1))</f>
        <v/>
      </c>
      <c r="K476" s="20" t="n"/>
    </row>
    <row r="477" ht="18" customHeight="1">
      <c r="A477" s="37" t="n"/>
      <c r="B477" s="22">
        <f>IF(A477="","",IFERROR(INT((A477-DATE(2026,4,27))/7)+1,""))</f>
        <v/>
      </c>
      <c r="C477" s="22" t="n"/>
      <c r="D477" s="23" t="n"/>
      <c r="E477" s="22" t="n"/>
      <c r="F477" s="22" t="n"/>
      <c r="G477" s="38" t="n"/>
      <c r="H477" s="22" t="n"/>
      <c r="I477" s="25">
        <f>IF(OR(F477="",G477=""),"",F477*G477)</f>
        <v/>
      </c>
      <c r="J477" s="38">
        <f>IF(OR(F477="",G477=""),"",ROUND(G477*(1+F477/30),1))</f>
        <v/>
      </c>
      <c r="K477" s="26" t="n"/>
    </row>
    <row r="478" ht="18" customHeight="1">
      <c r="A478" s="35" t="n"/>
      <c r="B478" s="16">
        <f>IF(A478="","",IFERROR(INT((A478-DATE(2026,4,27))/7)+1,""))</f>
        <v/>
      </c>
      <c r="C478" s="16" t="n"/>
      <c r="D478" s="17" t="n"/>
      <c r="E478" s="16" t="n"/>
      <c r="F478" s="16" t="n"/>
      <c r="G478" s="36" t="n"/>
      <c r="H478" s="16" t="n"/>
      <c r="I478" s="19">
        <f>IF(OR(F478="",G478=""),"",F478*G478)</f>
        <v/>
      </c>
      <c r="J478" s="36">
        <f>IF(OR(F478="",G478=""),"",ROUND(G478*(1+F478/30),1))</f>
        <v/>
      </c>
      <c r="K478" s="20" t="n"/>
    </row>
    <row r="479" ht="18" customHeight="1">
      <c r="A479" s="37" t="n"/>
      <c r="B479" s="22">
        <f>IF(A479="","",IFERROR(INT((A479-DATE(2026,4,27))/7)+1,""))</f>
        <v/>
      </c>
      <c r="C479" s="22" t="n"/>
      <c r="D479" s="23" t="n"/>
      <c r="E479" s="22" t="n"/>
      <c r="F479" s="22" t="n"/>
      <c r="G479" s="38" t="n"/>
      <c r="H479" s="22" t="n"/>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c r="B26" s="16">
        <f>IF(A26="","",IFERROR(INT((A26-DATE(2026,4,27))/7)+1,""))</f>
        <v/>
      </c>
      <c r="C26" s="27" t="n"/>
      <c r="D26" s="36" t="n"/>
      <c r="E26" s="16">
        <f>IF(OR(C26="",D26=""),"",TEXT(D26/C26/1440,"m:ss"))</f>
        <v/>
      </c>
      <c r="F26" s="16" t="n"/>
      <c r="G26" s="16" t="n"/>
      <c r="H26" s="16" t="n"/>
      <c r="I26" s="16" t="n"/>
      <c r="J26" s="20" t="n"/>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c r="B52" s="16">
        <f>IF(A52="","",IFERROR(INT((A52-DATE(2026,4,27))/7)+1,""))</f>
        <v/>
      </c>
      <c r="C52" s="36" t="n"/>
      <c r="D52" s="36" t="n"/>
      <c r="E52" s="36" t="n"/>
      <c r="F52" s="36" t="n"/>
      <c r="G52" s="36" t="n"/>
      <c r="H52" s="36" t="n"/>
      <c r="I52" s="20" t="n"/>
    </row>
    <row r="53" ht="18" customHeight="1">
      <c r="A53" s="37" t="n"/>
      <c r="B53" s="22">
        <f>IF(A53="","",IFERROR(INT((A53-DATE(2026,4,27))/7)+1,""))</f>
        <v/>
      </c>
      <c r="C53" s="38" t="n"/>
      <c r="D53" s="38" t="n"/>
      <c r="E53" s="38" t="n"/>
      <c r="F53" s="38" t="n"/>
      <c r="G53" s="38" t="n"/>
      <c r="H53" s="38" t="n"/>
      <c r="I53" s="26" t="n"/>
    </row>
    <row r="54" ht="18" customHeight="1">
      <c r="A54" s="35" t="n"/>
      <c r="B54" s="16">
        <f>IF(A54="","",IFERROR(INT((A54-DATE(2026,4,27))/7)+1,""))</f>
        <v/>
      </c>
      <c r="C54" s="36" t="n"/>
      <c r="D54" s="36" t="n"/>
      <c r="E54" s="36" t="n"/>
      <c r="F54" s="36" t="n"/>
      <c r="G54" s="36" t="n"/>
      <c r="H54" s="36" t="n"/>
      <c r="I54" s="20" t="n"/>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2026-09-25T19:01:46Z</dcterms:modified>
</cp:coreProperties>
</file>