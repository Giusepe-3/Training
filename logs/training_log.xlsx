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>
        <v>46265</v>
      </c>
      <c r="B320" s="16">
        <f>IF(A320="","",IFERROR(INT((A320-DATE(2026,4,27))/7)+1,""))</f>
        <v/>
      </c>
      <c r="C320" s="16" t="inlineStr">
        <is>
          <t>Cali Full Body</t>
        </is>
      </c>
      <c r="D320" s="17" t="inlineStr">
        <is>
          <t>Push-up (incline 3)</t>
        </is>
      </c>
      <c r="E320" s="16" t="n">
        <v>1</v>
      </c>
      <c r="F320" s="16" t="n">
        <v>12</v>
      </c>
      <c r="G320" s="36" t="n"/>
      <c r="H320" s="16" t="n">
        <v>6</v>
      </c>
      <c r="I320" s="19">
        <f>IF(OR(F320="",G320=""),"",F320*G320)</f>
        <v/>
      </c>
      <c r="J320" s="36">
        <f>IF(OR(F320="",G320=""),"",ROUND(G320*(1+F320/30),1))</f>
        <v/>
      </c>
      <c r="K320" s="20" t="inlineStr">
        <is>
          <t>BW leverage. Gate CLEARED 4x12 @RPE6 -&gt; next rung incline 2, then strict floor. NOT feet-elevated.</t>
        </is>
      </c>
    </row>
    <row r="321" ht="18" customHeight="1">
      <c r="A321" s="37" t="n">
        <v>46265</v>
      </c>
      <c r="B321" s="22">
        <f>IF(A321="","",IFERROR(INT((A321-DATE(2026,4,27))/7)+1,""))</f>
        <v/>
      </c>
      <c r="C321" s="22" t="inlineStr">
        <is>
          <t>Cali Full Body</t>
        </is>
      </c>
      <c r="D321" s="23" t="inlineStr">
        <is>
          <t>Push-up (incline 3)</t>
        </is>
      </c>
      <c r="E321" s="22" t="n">
        <v>2</v>
      </c>
      <c r="F321" s="22" t="n">
        <v>12</v>
      </c>
      <c r="G321" s="38" t="n"/>
      <c r="H321" s="22" t="n">
        <v>6</v>
      </c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>
        <v>46265</v>
      </c>
      <c r="B322" s="16">
        <f>IF(A322="","",IFERROR(INT((A322-DATE(2026,4,27))/7)+1,""))</f>
        <v/>
      </c>
      <c r="C322" s="16" t="inlineStr">
        <is>
          <t>Cali Full Body</t>
        </is>
      </c>
      <c r="D322" s="17" t="inlineStr">
        <is>
          <t>Push-up (incline 3)</t>
        </is>
      </c>
      <c r="E322" s="16" t="n">
        <v>3</v>
      </c>
      <c r="F322" s="16" t="n">
        <v>12</v>
      </c>
      <c r="G322" s="36" t="n"/>
      <c r="H322" s="16" t="n">
        <v>6</v>
      </c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>
        <v>46265</v>
      </c>
      <c r="B323" s="22">
        <f>IF(A323="","",IFERROR(INT((A323-DATE(2026,4,27))/7)+1,""))</f>
        <v/>
      </c>
      <c r="C323" s="22" t="inlineStr">
        <is>
          <t>Cali Full Body</t>
        </is>
      </c>
      <c r="D323" s="23" t="inlineStr">
        <is>
          <t>Push-up (incline 3)</t>
        </is>
      </c>
      <c r="E323" s="22" t="n">
        <v>4</v>
      </c>
      <c r="F323" s="22" t="n">
        <v>12</v>
      </c>
      <c r="G323" s="38" t="n"/>
      <c r="H323" s="22" t="n">
        <v>6</v>
      </c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>
        <v>46265</v>
      </c>
      <c r="B324" s="16">
        <f>IF(A324="","",IFERROR(INT((A324-DATE(2026,4,27))/7)+1,""))</f>
        <v/>
      </c>
      <c r="C324" s="16" t="inlineStr">
        <is>
          <t>Cali Full Body</t>
        </is>
      </c>
      <c r="D324" s="17" t="inlineStr">
        <is>
          <t>Inverted Row (bar 3)</t>
        </is>
      </c>
      <c r="E324" s="16" t="n">
        <v>1</v>
      </c>
      <c r="F324" s="16" t="n">
        <v>11</v>
      </c>
      <c r="G324" s="36" t="n"/>
      <c r="H324" s="16" t="n">
        <v>9</v>
      </c>
      <c r="I324" s="19">
        <f>IF(OR(F324="",G324=""),"",F324*G324)</f>
        <v/>
      </c>
      <c r="J324" s="36">
        <f>IF(OR(F324="",G324=""),"",ROUND(G324*(1+F324/30),1))</f>
        <v/>
      </c>
      <c r="K324" s="20" t="inlineStr">
        <is>
          <t>OVER-LOADED. Rep decay 11-&gt;7 w/ RPE pinned 9 = bar too low. Next: raise bar to setting 4, target RPE 7-8.</t>
        </is>
      </c>
    </row>
    <row r="325" ht="18" customHeight="1">
      <c r="A325" s="37" t="n">
        <v>46265</v>
      </c>
      <c r="B325" s="22">
        <f>IF(A325="","",IFERROR(INT((A325-DATE(2026,4,27))/7)+1,""))</f>
        <v/>
      </c>
      <c r="C325" s="22" t="inlineStr">
        <is>
          <t>Cali Full Body</t>
        </is>
      </c>
      <c r="D325" s="23" t="inlineStr">
        <is>
          <t>Inverted Row (bar 3)</t>
        </is>
      </c>
      <c r="E325" s="22" t="n">
        <v>2</v>
      </c>
      <c r="F325" s="22" t="n">
        <v>10</v>
      </c>
      <c r="G325" s="38" t="n"/>
      <c r="H325" s="22" t="n">
        <v>9</v>
      </c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>
        <v>46265</v>
      </c>
      <c r="B326" s="16">
        <f>IF(A326="","",IFERROR(INT((A326-DATE(2026,4,27))/7)+1,""))</f>
        <v/>
      </c>
      <c r="C326" s="16" t="inlineStr">
        <is>
          <t>Cali Full Body</t>
        </is>
      </c>
      <c r="D326" s="17" t="inlineStr">
        <is>
          <t>Inverted Row (bar 3)</t>
        </is>
      </c>
      <c r="E326" s="16" t="n">
        <v>3</v>
      </c>
      <c r="F326" s="16" t="n">
        <v>8</v>
      </c>
      <c r="G326" s="36" t="n"/>
      <c r="H326" s="16" t="n">
        <v>9</v>
      </c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>
        <v>46265</v>
      </c>
      <c r="B327" s="22">
        <f>IF(A327="","",IFERROR(INT((A327-DATE(2026,4,27))/7)+1,""))</f>
        <v/>
      </c>
      <c r="C327" s="22" t="inlineStr">
        <is>
          <t>Cali Full Body</t>
        </is>
      </c>
      <c r="D327" s="23" t="inlineStr">
        <is>
          <t>Inverted Row (bar 3)</t>
        </is>
      </c>
      <c r="E327" s="22" t="n">
        <v>4</v>
      </c>
      <c r="F327" s="22" t="n">
        <v>7</v>
      </c>
      <c r="G327" s="38" t="n"/>
      <c r="H327" s="22" t="n">
        <v>9</v>
      </c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>
        <v>46265</v>
      </c>
      <c r="B328" s="16">
        <f>IF(A328="","",IFERROR(INT((A328-DATE(2026,4,27))/7)+1,""))</f>
        <v/>
      </c>
      <c r="C328" s="16" t="inlineStr">
        <is>
          <t>Cali Full Body</t>
        </is>
      </c>
      <c r="D328" s="17" t="inlineStr">
        <is>
          <t>Pull-up (low bar, feet-assisted)</t>
        </is>
      </c>
      <c r="E328" s="16" t="n">
        <v>1</v>
      </c>
      <c r="F328" s="16" t="n">
        <v>5</v>
      </c>
      <c r="G328" s="36" t="n"/>
      <c r="H328" s="16" t="n">
        <v>10</v>
      </c>
      <c r="I328" s="19">
        <f>IF(OR(F328="",G328=""),"",F328*G328)</f>
        <v/>
      </c>
      <c r="J328" s="36">
        <f>IF(OR(F328="",G328=""),"",ROUND(G328*(1+F328/30),1))</f>
        <v/>
      </c>
      <c r="K328" s="20" t="inlineStr">
        <is>
          <t>BASELINE ANCHOR: 5 clean reps at low-bar feet-assist. RPE 10 RIR 0 = over-cap, inflated by 4 prior row sets @RPE9. Next: more foot assist -&gt; RPE 8.</t>
        </is>
      </c>
    </row>
    <row r="329" ht="18" customHeight="1">
      <c r="A329" s="37" t="n">
        <v>46265</v>
      </c>
      <c r="B329" s="22">
        <f>IF(A329="","",IFERROR(INT((A329-DATE(2026,4,27))/7)+1,""))</f>
        <v/>
      </c>
      <c r="C329" s="22" t="inlineStr">
        <is>
          <t>Cali Full Body</t>
        </is>
      </c>
      <c r="D329" s="23" t="inlineStr">
        <is>
          <t>Pull-up (low bar, feet-assisted)</t>
        </is>
      </c>
      <c r="E329" s="22" t="n">
        <v>2</v>
      </c>
      <c r="F329" s="22" t="n">
        <v>5</v>
      </c>
      <c r="G329" s="38" t="n"/>
      <c r="H329" s="22" t="n">
        <v>10</v>
      </c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>
        <v>46265</v>
      </c>
      <c r="B330" s="16">
        <f>IF(A330="","",IFERROR(INT((A330-DATE(2026,4,27))/7)+1,""))</f>
        <v/>
      </c>
      <c r="C330" s="16" t="inlineStr">
        <is>
          <t>Cali Full Body</t>
        </is>
      </c>
      <c r="D330" s="17" t="inlineStr">
        <is>
          <t>Pull-up (low bar, feet-assisted)</t>
        </is>
      </c>
      <c r="E330" s="16" t="n">
        <v>3</v>
      </c>
      <c r="F330" s="16" t="n">
        <v>5</v>
      </c>
      <c r="G330" s="36" t="n"/>
      <c r="H330" s="16" t="n">
        <v>10</v>
      </c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>
        <v>46265</v>
      </c>
      <c r="B331" s="22">
        <f>IF(A331="","",IFERROR(INT((A331-DATE(2026,4,27))/7)+1,""))</f>
        <v/>
      </c>
      <c r="C331" s="22" t="inlineStr">
        <is>
          <t>Cali Full Body</t>
        </is>
      </c>
      <c r="D331" s="23" t="inlineStr">
        <is>
          <t>Pike Push-up (high box)</t>
        </is>
      </c>
      <c r="E331" s="22" t="n">
        <v>1</v>
      </c>
      <c r="F331" s="22" t="n">
        <v>7</v>
      </c>
      <c r="G331" s="38" t="n"/>
      <c r="H331" s="22" t="n">
        <v>7</v>
      </c>
      <c r="I331" s="25">
        <f>IF(OR(F331="",G331=""),"",F331*G331)</f>
        <v/>
      </c>
      <c r="J331" s="38">
        <f>IF(OR(F331="",G331=""),"",ROUND(G331*(1+F331/30),1))</f>
        <v/>
      </c>
      <c r="K331" s="26" t="inlineStr">
        <is>
          <t>On target. Hold high box, build 7-&gt;10 reps before lowering.</t>
        </is>
      </c>
    </row>
    <row r="332" ht="18" customHeight="1">
      <c r="A332" s="35" t="n">
        <v>46265</v>
      </c>
      <c r="B332" s="16">
        <f>IF(A332="","",IFERROR(INT((A332-DATE(2026,4,27))/7)+1,""))</f>
        <v/>
      </c>
      <c r="C332" s="16" t="inlineStr">
        <is>
          <t>Cali Full Body</t>
        </is>
      </c>
      <c r="D332" s="17" t="inlineStr">
        <is>
          <t>Pike Push-up (high box)</t>
        </is>
      </c>
      <c r="E332" s="16" t="n">
        <v>2</v>
      </c>
      <c r="F332" s="16" t="n">
        <v>7</v>
      </c>
      <c r="G332" s="36" t="n"/>
      <c r="H332" s="16" t="n">
        <v>7</v>
      </c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>
        <v>46265</v>
      </c>
      <c r="B333" s="22">
        <f>IF(A333="","",IFERROR(INT((A333-DATE(2026,4,27))/7)+1,""))</f>
        <v/>
      </c>
      <c r="C333" s="22" t="inlineStr">
        <is>
          <t>Cali Full Body</t>
        </is>
      </c>
      <c r="D333" s="23" t="inlineStr">
        <is>
          <t>Pike Push-up (high box)</t>
        </is>
      </c>
      <c r="E333" s="22" t="n">
        <v>3</v>
      </c>
      <c r="F333" s="22" t="n">
        <v>7</v>
      </c>
      <c r="G333" s="38" t="n"/>
      <c r="H333" s="22" t="n">
        <v>7</v>
      </c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>
        <v>46265</v>
      </c>
      <c r="B334" s="16">
        <f>IF(A334="","",IFERROR(INT((A334-DATE(2026,4,27))/7)+1,""))</f>
        <v/>
      </c>
      <c r="C334" s="16" t="inlineStr">
        <is>
          <t>Cali Full Body</t>
        </is>
      </c>
      <c r="D334" s="17" t="inlineStr">
        <is>
          <t>Bulgarian Split Squat (BW)</t>
        </is>
      </c>
      <c r="E334" s="16" t="n">
        <v>1</v>
      </c>
      <c r="F334" s="16" t="n">
        <v>6</v>
      </c>
      <c r="G334" s="36" t="n"/>
      <c r="H334" s="16" t="n">
        <v>5</v>
      </c>
      <c r="I334" s="19">
        <f>IF(OR(F334="",G334=""),"",F334*G334)</f>
        <v/>
      </c>
      <c r="J334" s="36">
        <f>IF(OR(F334="",G334=""),"",ROUND(G334*(1+F334/30),1))</f>
        <v/>
      </c>
      <c r="K334" s="20" t="inlineStr">
        <is>
          <t>reps per leg. LEGS RPE 6 HARD CAP respected — stopped short of 10/leg deliberately. Correct execution, not a miss.</t>
        </is>
      </c>
    </row>
    <row r="335" ht="18" customHeight="1">
      <c r="A335" s="37" t="n">
        <v>46265</v>
      </c>
      <c r="B335" s="22">
        <f>IF(A335="","",IFERROR(INT((A335-DATE(2026,4,27))/7)+1,""))</f>
        <v/>
      </c>
      <c r="C335" s="22" t="inlineStr">
        <is>
          <t>Cali Full Body</t>
        </is>
      </c>
      <c r="D335" s="23" t="inlineStr">
        <is>
          <t>Bulgarian Split Squat (BW)</t>
        </is>
      </c>
      <c r="E335" s="22" t="n">
        <v>2</v>
      </c>
      <c r="F335" s="22" t="n">
        <v>7</v>
      </c>
      <c r="G335" s="38" t="n"/>
      <c r="H335" s="22" t="n">
        <v>6</v>
      </c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>
        <v>46265</v>
      </c>
      <c r="B336" s="16">
        <f>IF(A336="","",IFERROR(INT((A336-DATE(2026,4,27))/7)+1,""))</f>
        <v/>
      </c>
      <c r="C336" s="16" t="inlineStr">
        <is>
          <t>Cali Full Body</t>
        </is>
      </c>
      <c r="D336" s="17" t="inlineStr">
        <is>
          <t>Bulgarian Split Squat (BW)</t>
        </is>
      </c>
      <c r="E336" s="16" t="n">
        <v>3</v>
      </c>
      <c r="F336" s="16" t="n">
        <v>7</v>
      </c>
      <c r="G336" s="36" t="n"/>
      <c r="H336" s="16" t="n">
        <v>6</v>
      </c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>
        <v>46265</v>
      </c>
      <c r="B337" s="22">
        <f>IF(A337="","",IFERROR(INT((A337-DATE(2026,4,27))/7)+1,""))</f>
        <v/>
      </c>
      <c r="C337" s="22" t="inlineStr">
        <is>
          <t>Cali Full Body</t>
        </is>
      </c>
      <c r="D337" s="23" t="inlineStr">
        <is>
          <t>Single-Leg RDL (BW)</t>
        </is>
      </c>
      <c r="E337" s="22" t="n">
        <v>1</v>
      </c>
      <c r="F337" s="22" t="n">
        <v>8</v>
      </c>
      <c r="G337" s="38" t="n"/>
      <c r="H337" s="22" t="n">
        <v>6</v>
      </c>
      <c r="I337" s="25">
        <f>IF(OR(F337="",G337=""),"",F337*G337)</f>
        <v/>
      </c>
      <c r="J337" s="38">
        <f>IF(OR(F337="",G337=""),"",ROUND(G337*(1+F337/30),1))</f>
        <v/>
      </c>
      <c r="K337" s="26" t="inlineStr">
        <is>
          <t>reps per leg. RPE 6 cap respected. Hold BW.</t>
        </is>
      </c>
    </row>
    <row r="338" ht="18" customHeight="1">
      <c r="A338" s="35" t="n">
        <v>46265</v>
      </c>
      <c r="B338" s="16">
        <f>IF(A338="","",IFERROR(INT((A338-DATE(2026,4,27))/7)+1,""))</f>
        <v/>
      </c>
      <c r="C338" s="16" t="inlineStr">
        <is>
          <t>Cali Full Body</t>
        </is>
      </c>
      <c r="D338" s="17" t="inlineStr">
        <is>
          <t>Single-Leg RDL (BW)</t>
        </is>
      </c>
      <c r="E338" s="16" t="n">
        <v>2</v>
      </c>
      <c r="F338" s="16" t="n">
        <v>7</v>
      </c>
      <c r="G338" s="36" t="n"/>
      <c r="H338" s="16" t="n">
        <v>6</v>
      </c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>
        <v>46265</v>
      </c>
      <c r="B339" s="22">
        <f>IF(A339="","",IFERROR(INT((A339-DATE(2026,4,27))/7)+1,""))</f>
        <v/>
      </c>
      <c r="C339" s="22" t="inlineStr">
        <is>
          <t>Cali Full Body</t>
        </is>
      </c>
      <c r="D339" s="23" t="inlineStr">
        <is>
          <t>Single-Leg RDL (BW)</t>
        </is>
      </c>
      <c r="E339" s="22" t="n">
        <v>3</v>
      </c>
      <c r="F339" s="22" t="n">
        <v>7</v>
      </c>
      <c r="G339" s="38" t="n"/>
      <c r="H339" s="22" t="n">
        <v>6</v>
      </c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>
        <v>46265</v>
      </c>
      <c r="B340" s="16">
        <f>IF(A340="","",IFERROR(INT((A340-DATE(2026,4,27))/7)+1,""))</f>
        <v/>
      </c>
      <c r="C340" s="16" t="inlineStr">
        <is>
          <t>Cali Full Body</t>
        </is>
      </c>
      <c r="D340" s="17" t="inlineStr">
        <is>
          <t>Tibialis Raise (BW)</t>
        </is>
      </c>
      <c r="E340" s="16" t="n">
        <v>1</v>
      </c>
      <c r="F340" s="16" t="n">
        <v>20</v>
      </c>
      <c r="G340" s="36" t="n"/>
      <c r="H340" s="16" t="n">
        <v>8</v>
      </c>
      <c r="I340" s="19">
        <f>IF(OR(F340="",G340=""),"",F340*G340)</f>
        <v/>
      </c>
      <c r="J340" s="36">
        <f>IF(OR(F340="",G340=""),"",ROUND(G340*(1+F340/30),1))</f>
        <v/>
      </c>
      <c r="K340" s="20" t="inlineStr">
        <is>
          <t>MANDATORY. Anterior tib untrained: RPE 8 set 1 + decay 20-&gt;15. Hold BW 3x20 no load until all sets 20 @RPE&lt;=7.</t>
        </is>
      </c>
    </row>
    <row r="341" ht="18" customHeight="1">
      <c r="A341" s="37" t="n">
        <v>46265</v>
      </c>
      <c r="B341" s="22">
        <f>IF(A341="","",IFERROR(INT((A341-DATE(2026,4,27))/7)+1,""))</f>
        <v/>
      </c>
      <c r="C341" s="22" t="inlineStr">
        <is>
          <t>Cali Full Body</t>
        </is>
      </c>
      <c r="D341" s="23" t="inlineStr">
        <is>
          <t>Tibialis Raise (BW)</t>
        </is>
      </c>
      <c r="E341" s="22" t="n">
        <v>2</v>
      </c>
      <c r="F341" s="22" t="n">
        <v>15</v>
      </c>
      <c r="G341" s="38" t="n"/>
      <c r="H341" s="22" t="n">
        <v>7</v>
      </c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>
        <v>46265</v>
      </c>
      <c r="B342" s="16">
        <f>IF(A342="","",IFERROR(INT((A342-DATE(2026,4,27))/7)+1,""))</f>
        <v/>
      </c>
      <c r="C342" s="16" t="inlineStr">
        <is>
          <t>Cali Full Body</t>
        </is>
      </c>
      <c r="D342" s="17" t="inlineStr">
        <is>
          <t>Tibialis Raise (BW)</t>
        </is>
      </c>
      <c r="E342" s="16" t="n">
        <v>3</v>
      </c>
      <c r="F342" s="16" t="n">
        <v>15</v>
      </c>
      <c r="G342" s="36" t="n"/>
      <c r="H342" s="16" t="n">
        <v>7</v>
      </c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>
        <v>46265</v>
      </c>
      <c r="B343" s="22">
        <f>IF(A343="","",IFERROR(INT((A343-DATE(2026,4,27))/7)+1,""))</f>
        <v/>
      </c>
      <c r="C343" s="22" t="inlineStr">
        <is>
          <t>Cali Full Body</t>
        </is>
      </c>
      <c r="D343" s="23" t="inlineStr">
        <is>
          <t>Hanging Knee Raise (BW)</t>
        </is>
      </c>
      <c r="E343" s="22" t="n">
        <v>1</v>
      </c>
      <c r="F343" s="22" t="n">
        <v>8</v>
      </c>
      <c r="G343" s="38" t="n"/>
      <c r="H343" s="22" t="n">
        <v>7</v>
      </c>
      <c r="I343" s="25">
        <f>IF(OR(F343="",G343=""),"",F343*G343)</f>
        <v/>
      </c>
      <c r="J343" s="38">
        <f>IF(OR(F343="",G343=""),"",ROUND(G343*(1+F343/30),1))</f>
        <v/>
      </c>
      <c r="K343" s="26" t="inlineStr">
        <is>
          <t>Bottom of range. Hold, build 8-&gt;12.</t>
        </is>
      </c>
    </row>
    <row r="344" ht="18" customHeight="1">
      <c r="A344" s="35" t="n">
        <v>46265</v>
      </c>
      <c r="B344" s="16">
        <f>IF(A344="","",IFERROR(INT((A344-DATE(2026,4,27))/7)+1,""))</f>
        <v/>
      </c>
      <c r="C344" s="16" t="inlineStr">
        <is>
          <t>Cali Full Body</t>
        </is>
      </c>
      <c r="D344" s="17" t="inlineStr">
        <is>
          <t>Hanging Knee Raise (BW)</t>
        </is>
      </c>
      <c r="E344" s="16" t="n">
        <v>2</v>
      </c>
      <c r="F344" s="16" t="n">
        <v>8</v>
      </c>
      <c r="G344" s="36" t="n"/>
      <c r="H344" s="16" t="n">
        <v>7</v>
      </c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>
        <v>46265</v>
      </c>
      <c r="B345" s="22">
        <f>IF(A345="","",IFERROR(INT((A345-DATE(2026,4,27))/7)+1,""))</f>
        <v/>
      </c>
      <c r="C345" s="22" t="inlineStr">
        <is>
          <t>Cali Full Body</t>
        </is>
      </c>
      <c r="D345" s="23" t="inlineStr">
        <is>
          <t>Hanging Knee Raise (BW)</t>
        </is>
      </c>
      <c r="E345" s="22" t="n">
        <v>3</v>
      </c>
      <c r="F345" s="22" t="n">
        <v>8</v>
      </c>
      <c r="G345" s="38" t="n"/>
      <c r="H345" s="22" t="n">
        <v>7</v>
      </c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>
        <v>46265</v>
      </c>
      <c r="B346" s="16">
        <f>IF(A346="","",IFERROR(INT((A346-DATE(2026,4,27))/7)+1,""))</f>
        <v/>
      </c>
      <c r="C346" s="16" t="inlineStr">
        <is>
          <t>Cali Full Body</t>
        </is>
      </c>
      <c r="D346" s="17" t="inlineStr">
        <is>
          <t>Side Plank (BW)</t>
        </is>
      </c>
      <c r="E346" s="16" t="n">
        <v>1</v>
      </c>
      <c r="F346" s="16" t="n">
        <v>30</v>
      </c>
      <c r="G346" s="36" t="n"/>
      <c r="H346" s="16" t="n">
        <v>8</v>
      </c>
      <c r="I346" s="19">
        <f>IF(OR(F346="",G346=""),"",F346*G346)</f>
        <v/>
      </c>
      <c r="J346" s="36">
        <f>IF(OR(F346="",G346=""),"",ROUND(G346*(1+F346/30),1))</f>
        <v/>
      </c>
      <c r="K346" s="20" t="inlineStr">
        <is>
          <t>reps col = seconds PER SIDE. RPE 8 @30s = weak lateral hip. Hold 2x30s until RPE&lt;=7 then 2x45s.</t>
        </is>
      </c>
    </row>
    <row r="347" ht="18" customHeight="1">
      <c r="A347" s="37" t="n">
        <v>46265</v>
      </c>
      <c r="B347" s="22">
        <f>IF(A347="","",IFERROR(INT((A347-DATE(2026,4,27))/7)+1,""))</f>
        <v/>
      </c>
      <c r="C347" s="22" t="inlineStr">
        <is>
          <t>Cali Full Body</t>
        </is>
      </c>
      <c r="D347" s="23" t="inlineStr">
        <is>
          <t>Side Plank (BW)</t>
        </is>
      </c>
      <c r="E347" s="22" t="n">
        <v>2</v>
      </c>
      <c r="F347" s="22" t="n">
        <v>30</v>
      </c>
      <c r="G347" s="38" t="n"/>
      <c r="H347" s="22" t="n">
        <v>8</v>
      </c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>
        <v>46270</v>
      </c>
      <c r="B348" s="16">
        <f>IF(A348="","",IFERROR(INT((A348-DATE(2026,4,27))/7)+1,""))</f>
        <v/>
      </c>
      <c r="C348" s="16" t="inlineStr">
        <is>
          <t>Cali Full Body</t>
        </is>
      </c>
      <c r="D348" s="17" t="inlineStr">
        <is>
          <t>Push-up (incline)</t>
        </is>
      </c>
      <c r="E348" s="16" t="n">
        <v>1</v>
      </c>
      <c r="F348" s="16" t="n">
        <v>8</v>
      </c>
      <c r="G348" s="36" t="n"/>
      <c r="H348" s="16" t="n">
        <v>8</v>
      </c>
      <c r="I348" s="19">
        <f>IF(OR(F348="",G348=""),"",F348*G348)</f>
        <v/>
      </c>
      <c r="J348" s="36">
        <f>IF(OR(F348="",G348=""),"",ROUND(G348*(1+F348/30),1))</f>
        <v/>
      </c>
      <c r="K348" s="20" t="inlineStr">
        <is>
          <t>SESSION 2 — the push/pull fix. Setting 3-&gt;2 (one rung, earned by 4x12 @RPE6). Setting 2 proved ONE RUNG TOO FAR: 8@8 then 6@9 = rep decay + over-cap. Self-regressed to setting 3 for S3/S4 = CORRECT autoregulation, not a miss. Next: 2 sets @setting 2 + 2 sets @setting 3.</t>
        </is>
      </c>
    </row>
    <row r="349" ht="18" customHeight="1">
      <c r="A349" s="37" t="n">
        <v>46270</v>
      </c>
      <c r="B349" s="22">
        <f>IF(A349="","",IFERROR(INT((A349-DATE(2026,4,27))/7)+1,""))</f>
        <v/>
      </c>
      <c r="C349" s="22" t="inlineStr">
        <is>
          <t>Cali Full Body</t>
        </is>
      </c>
      <c r="D349" s="23" t="inlineStr">
        <is>
          <t>Push-up (incline)</t>
        </is>
      </c>
      <c r="E349" s="22" t="n">
        <v>2</v>
      </c>
      <c r="F349" s="22" t="n">
        <v>6</v>
      </c>
      <c r="G349" s="38" t="n"/>
      <c r="H349" s="22" t="n">
        <v>9</v>
      </c>
      <c r="I349" s="25">
        <f>IF(OR(F349="",G349=""),"",F349*G349)</f>
        <v/>
      </c>
      <c r="J349" s="38">
        <f>IF(OR(F349="",G349=""),"",ROUND(G349*(1+F349/30),1))</f>
        <v/>
      </c>
      <c r="K349" s="26" t="inlineStr">
        <is>
          <t>setting 2 — over-cap, bail point</t>
        </is>
      </c>
    </row>
    <row r="350" ht="18" customHeight="1">
      <c r="A350" s="35" t="n">
        <v>46270</v>
      </c>
      <c r="B350" s="16">
        <f>IF(A350="","",IFERROR(INT((A350-DATE(2026,4,27))/7)+1,""))</f>
        <v/>
      </c>
      <c r="C350" s="16" t="inlineStr">
        <is>
          <t>Cali Full Body</t>
        </is>
      </c>
      <c r="D350" s="17" t="inlineStr">
        <is>
          <t>Push-up (incline)</t>
        </is>
      </c>
      <c r="E350" s="16" t="n">
        <v>3</v>
      </c>
      <c r="F350" s="16" t="n">
        <v>12</v>
      </c>
      <c r="G350" s="36" t="n"/>
      <c r="H350" s="16" t="n">
        <v>7</v>
      </c>
      <c r="I350" s="19">
        <f>IF(OR(F350="",G350=""),"",F350*G350)</f>
        <v/>
      </c>
      <c r="J350" s="36">
        <f>IF(OR(F350="",G350=""),"",ROUND(G350*(1+F350/30),1))</f>
        <v/>
      </c>
      <c r="K350" s="20" t="inlineStr">
        <is>
          <t>setting 3 (regressed back)</t>
        </is>
      </c>
    </row>
    <row r="351" ht="18" customHeight="1">
      <c r="A351" s="37" t="n">
        <v>46270</v>
      </c>
      <c r="B351" s="22">
        <f>IF(A351="","",IFERROR(INT((A351-DATE(2026,4,27))/7)+1,""))</f>
        <v/>
      </c>
      <c r="C351" s="22" t="inlineStr">
        <is>
          <t>Cali Full Body</t>
        </is>
      </c>
      <c r="D351" s="23" t="inlineStr">
        <is>
          <t>Push-up (incline)</t>
        </is>
      </c>
      <c r="E351" s="22" t="n">
        <v>4</v>
      </c>
      <c r="F351" s="22" t="n">
        <v>12</v>
      </c>
      <c r="G351" s="38" t="n"/>
      <c r="H351" s="22" t="n">
        <v>8</v>
      </c>
      <c r="I351" s="25">
        <f>IF(OR(F351="",G351=""),"",F351*G351)</f>
        <v/>
      </c>
      <c r="J351" s="38">
        <f>IF(OR(F351="",G351=""),"",ROUND(G351*(1+F351/30),1))</f>
        <v/>
      </c>
      <c r="K351" s="26" t="inlineStr">
        <is>
          <t>setting 3</t>
        </is>
      </c>
    </row>
    <row r="352" ht="18" customHeight="1">
      <c r="A352" s="35" t="n">
        <v>46270</v>
      </c>
      <c r="B352" s="16">
        <f>IF(A352="","",IFERROR(INT((A352-DATE(2026,4,27))/7)+1,""))</f>
        <v/>
      </c>
      <c r="C352" s="16" t="inlineStr">
        <is>
          <t>Cali Full Body</t>
        </is>
      </c>
      <c r="D352" s="17" t="inlineStr">
        <is>
          <t>Inverted Row</t>
        </is>
      </c>
      <c r="E352" s="16" t="n">
        <v>1</v>
      </c>
      <c r="F352" s="16" t="n">
        <v>8</v>
      </c>
      <c r="G352" s="36" t="n"/>
      <c r="H352" s="16" t="n">
        <v>7</v>
      </c>
      <c r="I352" s="19">
        <f>IF(OR(F352="",G352=""),"",F352*G352)</f>
        <v/>
      </c>
      <c r="J352" s="36">
        <f>IF(OR(F352="",G352=""),"",ROUND(G352*(1+F352/30),1))</f>
        <v/>
      </c>
      <c r="K352" s="20" t="inlineStr">
        <is>
          <t>HELD setting 3 (prescription said setting 4/higher). Outcome still good: 8/8/8/8 ZERO rep decay vs 11-10-8-7 @flat RPE9 on 8/31. LESSON: capping reps at 8 fixed the decay, not bar height. S4 @RPE9 still one over. Hold setting 3 4x8 until all four &lt;=8, then reps 8-&gt;12.</t>
        </is>
      </c>
    </row>
    <row r="353" ht="18" customHeight="1">
      <c r="A353" s="37" t="n">
        <v>46270</v>
      </c>
      <c r="B353" s="22">
        <f>IF(A353="","",IFERROR(INT((A353-DATE(2026,4,27))/7)+1,""))</f>
        <v/>
      </c>
      <c r="C353" s="22" t="inlineStr">
        <is>
          <t>Cali Full Body</t>
        </is>
      </c>
      <c r="D353" s="23" t="inlineStr">
        <is>
          <t>Inverted Row</t>
        </is>
      </c>
      <c r="E353" s="22" t="n">
        <v>2</v>
      </c>
      <c r="F353" s="22" t="n">
        <v>8</v>
      </c>
      <c r="G353" s="38" t="n"/>
      <c r="H353" s="22" t="n">
        <v>8</v>
      </c>
      <c r="I353" s="25">
        <f>IF(OR(F353="",G353=""),"",F353*G353)</f>
        <v/>
      </c>
      <c r="J353" s="38">
        <f>IF(OR(F353="",G353=""),"",ROUND(G353*(1+F353/30),1))</f>
        <v/>
      </c>
      <c r="K353" s="26" t="inlineStr">
        <is>
          <t>setting 3</t>
        </is>
      </c>
    </row>
    <row r="354" ht="18" customHeight="1">
      <c r="A354" s="35" t="n">
        <v>46270</v>
      </c>
      <c r="B354" s="16">
        <f>IF(A354="","",IFERROR(INT((A354-DATE(2026,4,27))/7)+1,""))</f>
        <v/>
      </c>
      <c r="C354" s="16" t="inlineStr">
        <is>
          <t>Cali Full Body</t>
        </is>
      </c>
      <c r="D354" s="17" t="inlineStr">
        <is>
          <t>Inverted Row</t>
        </is>
      </c>
      <c r="E354" s="16" t="n">
        <v>3</v>
      </c>
      <c r="F354" s="16" t="n">
        <v>8</v>
      </c>
      <c r="G354" s="36" t="n"/>
      <c r="H354" s="16" t="n">
        <v>8</v>
      </c>
      <c r="I354" s="19">
        <f>IF(OR(F354="",G354=""),"",F354*G354)</f>
        <v/>
      </c>
      <c r="J354" s="36">
        <f>IF(OR(F354="",G354=""),"",ROUND(G354*(1+F354/30),1))</f>
        <v/>
      </c>
      <c r="K354" s="20" t="inlineStr">
        <is>
          <t>setting 3</t>
        </is>
      </c>
    </row>
    <row r="355" ht="18" customHeight="1">
      <c r="A355" s="37" t="n">
        <v>46270</v>
      </c>
      <c r="B355" s="22">
        <f>IF(A355="","",IFERROR(INT((A355-DATE(2026,4,27))/7)+1,""))</f>
        <v/>
      </c>
      <c r="C355" s="22" t="inlineStr">
        <is>
          <t>Cali Full Body</t>
        </is>
      </c>
      <c r="D355" s="23" t="inlineStr">
        <is>
          <t>Inverted Row</t>
        </is>
      </c>
      <c r="E355" s="22" t="n">
        <v>4</v>
      </c>
      <c r="F355" s="22" t="n">
        <v>8</v>
      </c>
      <c r="G355" s="38" t="n"/>
      <c r="H355" s="22" t="n">
        <v>9</v>
      </c>
      <c r="I355" s="25">
        <f>IF(OR(F355="",G355=""),"",F355*G355)</f>
        <v/>
      </c>
      <c r="J355" s="38">
        <f>IF(OR(F355="",G355=""),"",ROUND(G355*(1+F355/30),1))</f>
        <v/>
      </c>
      <c r="K355" s="26" t="inlineStr">
        <is>
          <t>setting 3 — one over target</t>
        </is>
      </c>
    </row>
    <row r="356" ht="18" customHeight="1">
      <c r="A356" s="35" t="n">
        <v>46270</v>
      </c>
      <c r="B356" s="16">
        <f>IF(A356="","",IFERROR(INT((A356-DATE(2026,4,27))/7)+1,""))</f>
        <v/>
      </c>
      <c r="C356" s="16" t="inlineStr">
        <is>
          <t>Cali Full Body</t>
        </is>
      </c>
      <c r="D356" s="17" t="inlineStr">
        <is>
          <t>Pull-up (low bar, feet-assisted)</t>
        </is>
      </c>
      <c r="E356" s="16" t="n">
        <v>1</v>
      </c>
      <c r="F356" s="16" t="n">
        <v>5</v>
      </c>
      <c r="G356" s="36" t="n"/>
      <c r="H356" s="16" t="n">
        <v>8</v>
      </c>
      <c r="I356" s="19">
        <f>IF(OR(F356="",G356=""),"",F356*G356)</f>
        <v/>
      </c>
      <c r="J356" s="36">
        <f>IF(OR(F356="",G356=""),"",ROUND(G356*(1+F356/30),1))</f>
        <v/>
      </c>
      <c r="K356" s="20" t="inlineStr">
        <is>
          <t>FOOT ASSIST WORKED: RPE 10/10/10 on 8/31 -&gt; 8/9/9 at same 5 reps. One more notch of assist to land all three at 8. Anchor stays 3x5. NO leverage progression until 3x5 @RPE&lt;=7.</t>
        </is>
      </c>
    </row>
    <row r="357" ht="18" customHeight="1">
      <c r="A357" s="37" t="n">
        <v>46270</v>
      </c>
      <c r="B357" s="22">
        <f>IF(A357="","",IFERROR(INT((A357-DATE(2026,4,27))/7)+1,""))</f>
        <v/>
      </c>
      <c r="C357" s="22" t="inlineStr">
        <is>
          <t>Cali Full Body</t>
        </is>
      </c>
      <c r="D357" s="23" t="inlineStr">
        <is>
          <t>Pull-up (low bar, feet-assisted)</t>
        </is>
      </c>
      <c r="E357" s="22" t="n">
        <v>2</v>
      </c>
      <c r="F357" s="22" t="n">
        <v>5</v>
      </c>
      <c r="G357" s="38" t="n"/>
      <c r="H357" s="22" t="n">
        <v>9</v>
      </c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>
        <v>46270</v>
      </c>
      <c r="B358" s="16">
        <f>IF(A358="","",IFERROR(INT((A358-DATE(2026,4,27))/7)+1,""))</f>
        <v/>
      </c>
      <c r="C358" s="16" t="inlineStr">
        <is>
          <t>Cali Full Body</t>
        </is>
      </c>
      <c r="D358" s="17" t="inlineStr">
        <is>
          <t>Pull-up (low bar, feet-assisted)</t>
        </is>
      </c>
      <c r="E358" s="16" t="n">
        <v>3</v>
      </c>
      <c r="F358" s="16" t="n">
        <v>5</v>
      </c>
      <c r="G358" s="36" t="n"/>
      <c r="H358" s="16" t="n">
        <v>9</v>
      </c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>
        <v>46270</v>
      </c>
      <c r="B359" s="22">
        <f>IF(A359="","",IFERROR(INT((A359-DATE(2026,4,27))/7)+1,""))</f>
        <v/>
      </c>
      <c r="C359" s="22" t="inlineStr">
        <is>
          <t>Cali Full Body</t>
        </is>
      </c>
      <c r="D359" s="23" t="inlineStr">
        <is>
          <t>Pike Push-up</t>
        </is>
      </c>
      <c r="E359" s="22" t="n">
        <v>1</v>
      </c>
      <c r="F359" s="22" t="n">
        <v>6</v>
      </c>
      <c r="G359" s="38" t="n"/>
      <c r="H359" s="22" t="n">
        <v>8</v>
      </c>
      <c r="I359" s="25">
        <f>IF(OR(F359="",G359=""),"",F359*G359)</f>
        <v/>
      </c>
      <c r="J359" s="38">
        <f>IF(OR(F359="",G359=""),"",ROUND(G359*(1+F359/30),1))</f>
        <v/>
      </c>
      <c r="K359" s="26" t="inlineStr">
        <is>
          <t>High box held. 7@RPE7 -&gt; 6@RPE8 = REGRESSED from upstream fatigue (harder push-up + pull work came first), not detraining. Hold high box, rebuild 6-&gt;10.</t>
        </is>
      </c>
    </row>
    <row r="360" ht="18" customHeight="1">
      <c r="A360" s="35" t="n">
        <v>46270</v>
      </c>
      <c r="B360" s="16">
        <f>IF(A360="","",IFERROR(INT((A360-DATE(2026,4,27))/7)+1,""))</f>
        <v/>
      </c>
      <c r="C360" s="16" t="inlineStr">
        <is>
          <t>Cali Full Body</t>
        </is>
      </c>
      <c r="D360" s="17" t="inlineStr">
        <is>
          <t>Pike Push-up</t>
        </is>
      </c>
      <c r="E360" s="16" t="n">
        <v>2</v>
      </c>
      <c r="F360" s="16" t="n">
        <v>6</v>
      </c>
      <c r="G360" s="36" t="n"/>
      <c r="H360" s="16" t="n">
        <v>8</v>
      </c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>
        <v>46270</v>
      </c>
      <c r="B361" s="22">
        <f>IF(A361="","",IFERROR(INT((A361-DATE(2026,4,27))/7)+1,""))</f>
        <v/>
      </c>
      <c r="C361" s="22" t="inlineStr">
        <is>
          <t>Cali Full Body</t>
        </is>
      </c>
      <c r="D361" s="23" t="inlineStr">
        <is>
          <t>Pike Push-up</t>
        </is>
      </c>
      <c r="E361" s="22" t="n">
        <v>3</v>
      </c>
      <c r="F361" s="22" t="n">
        <v>6</v>
      </c>
      <c r="G361" s="38" t="n"/>
      <c r="H361" s="22" t="n">
        <v>8</v>
      </c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>
        <v>46270</v>
      </c>
      <c r="B362" s="16">
        <f>IF(A362="","",IFERROR(INT((A362-DATE(2026,4,27))/7)+1,""))</f>
        <v/>
      </c>
      <c r="C362" s="16" t="inlineStr">
        <is>
          <t>Cali Full Body</t>
        </is>
      </c>
      <c r="D362" s="17" t="inlineStr">
        <is>
          <t>Bulgarian Split Squat (BW)</t>
        </is>
      </c>
      <c r="E362" s="16" t="n">
        <v>1</v>
      </c>
      <c r="F362" s="16" t="n">
        <v>10</v>
      </c>
      <c r="G362" s="36" t="n"/>
      <c r="H362" s="16" t="n">
        <v>6</v>
      </c>
      <c r="I362" s="19">
        <f>IF(OR(F362="",G362=""),"",F362*G362)</f>
        <v/>
      </c>
      <c r="J362" s="36">
        <f>IF(OR(F362="",G362=""),"",ROUND(G362*(1+F362/30),1))</f>
        <v/>
      </c>
      <c r="K362" s="20" t="inlineStr">
        <is>
          <t>reps col = per leg. LEGS RPE 6 HARD-HARD CAP RESPECTED (24h before Sun 10k long, not 48h). Reps ROSE at identical cap: 6-7/leg on 8/31 -&gt; 10/10/7 = leg endurance improving, cap is not costing adaptation. Minor: Sat rule said stop 2 SHORT of 6, sat on 6; BW-only at RPE6 is low absolute load, not a threat to Sunday.</t>
        </is>
      </c>
    </row>
    <row r="363" ht="18" customHeight="1">
      <c r="A363" s="37" t="n">
        <v>46270</v>
      </c>
      <c r="B363" s="22">
        <f>IF(A363="","",IFERROR(INT((A363-DATE(2026,4,27))/7)+1,""))</f>
        <v/>
      </c>
      <c r="C363" s="22" t="inlineStr">
        <is>
          <t>Cali Full Body</t>
        </is>
      </c>
      <c r="D363" s="23" t="inlineStr">
        <is>
          <t>Bulgarian Split Squat (BW)</t>
        </is>
      </c>
      <c r="E363" s="22" t="n">
        <v>2</v>
      </c>
      <c r="F363" s="22" t="n">
        <v>10</v>
      </c>
      <c r="G363" s="38" t="n"/>
      <c r="H363" s="22" t="n">
        <v>6</v>
      </c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>
        <v>46270</v>
      </c>
      <c r="B364" s="16">
        <f>IF(A364="","",IFERROR(INT((A364-DATE(2026,4,27))/7)+1,""))</f>
        <v/>
      </c>
      <c r="C364" s="16" t="inlineStr">
        <is>
          <t>Cali Full Body</t>
        </is>
      </c>
      <c r="D364" s="17" t="inlineStr">
        <is>
          <t>Bulgarian Split Squat (BW)</t>
        </is>
      </c>
      <c r="E364" s="16" t="n">
        <v>3</v>
      </c>
      <c r="F364" s="16" t="n">
        <v>7</v>
      </c>
      <c r="G364" s="36" t="n"/>
      <c r="H364" s="16" t="n">
        <v>6</v>
      </c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>
        <v>46270</v>
      </c>
      <c r="B365" s="22">
        <f>IF(A365="","",IFERROR(INT((A365-DATE(2026,4,27))/7)+1,""))</f>
        <v/>
      </c>
      <c r="C365" s="22" t="inlineStr">
        <is>
          <t>Cali Full Body</t>
        </is>
      </c>
      <c r="D365" s="23" t="inlineStr">
        <is>
          <t>Single-Leg RDL (BW)</t>
        </is>
      </c>
      <c r="E365" s="22" t="n">
        <v>1</v>
      </c>
      <c r="F365" s="22" t="n">
        <v>10</v>
      </c>
      <c r="G365" s="38" t="n"/>
      <c r="H365" s="22" t="n">
        <v>6</v>
      </c>
      <c r="I365" s="25">
        <f>IF(OR(F365="",G365=""),"",F365*G365)</f>
        <v/>
      </c>
      <c r="J365" s="38">
        <f>IF(OR(F365="",G365=""),"",ROUND(G365*(1+F365/30),1))</f>
        <v/>
      </c>
      <c r="K365" s="26" t="inlineStr">
        <is>
          <t>reps col = per leg. RPE 6 cap. 7-8/leg on 8/31 -&gt; 10/7/7.</t>
        </is>
      </c>
    </row>
    <row r="366" ht="18" customHeight="1">
      <c r="A366" s="35" t="n">
        <v>46270</v>
      </c>
      <c r="B366" s="16">
        <f>IF(A366="","",IFERROR(INT((A366-DATE(2026,4,27))/7)+1,""))</f>
        <v/>
      </c>
      <c r="C366" s="16" t="inlineStr">
        <is>
          <t>Cali Full Body</t>
        </is>
      </c>
      <c r="D366" s="17" t="inlineStr">
        <is>
          <t>Single-Leg RDL (BW)</t>
        </is>
      </c>
      <c r="E366" s="16" t="n">
        <v>2</v>
      </c>
      <c r="F366" s="16" t="n">
        <v>7</v>
      </c>
      <c r="G366" s="36" t="n"/>
      <c r="H366" s="16" t="n">
        <v>6</v>
      </c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>
        <v>46270</v>
      </c>
      <c r="B367" s="22">
        <f>IF(A367="","",IFERROR(INT((A367-DATE(2026,4,27))/7)+1,""))</f>
        <v/>
      </c>
      <c r="C367" s="22" t="inlineStr">
        <is>
          <t>Cali Full Body</t>
        </is>
      </c>
      <c r="D367" s="23" t="inlineStr">
        <is>
          <t>Single-Leg RDL (BW)</t>
        </is>
      </c>
      <c r="E367" s="22" t="n">
        <v>3</v>
      </c>
      <c r="F367" s="22" t="n">
        <v>7</v>
      </c>
      <c r="G367" s="38" t="n"/>
      <c r="H367" s="22" t="n">
        <v>6</v>
      </c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>
        <v>46270</v>
      </c>
      <c r="B368" s="16">
        <f>IF(A368="","",IFERROR(INT((A368-DATE(2026,4,27))/7)+1,""))</f>
        <v/>
      </c>
      <c r="C368" s="16" t="inlineStr">
        <is>
          <t>Cali Full Body</t>
        </is>
      </c>
      <c r="D368" s="17" t="inlineStr">
        <is>
          <t>Tibialis Raise (BW)</t>
        </is>
      </c>
      <c r="E368" s="16" t="n">
        <v>1</v>
      </c>
      <c r="F368" s="16" t="n">
        <v>20</v>
      </c>
      <c r="G368" s="36" t="n"/>
      <c r="H368" s="16" t="n">
        <v>6</v>
      </c>
      <c r="I368" s="19">
        <f>IF(OR(F368="",G368=""),"",F368*G368)</f>
        <v/>
      </c>
      <c r="J368" s="36">
        <f>IF(OR(F368="",G368=""),"",ROUND(G368*(1+F368/30),1))</f>
        <v/>
      </c>
      <c r="K368" s="20" t="inlineStr">
        <is>
          <t>BEST SINGLE RESULT OF THE DAY. 20/15/15 @RPE 8-&gt;7 on 8/31 -&gt; 20/20/15 @RPE 6 five days later = more reps, TWO RPE points cheaper. ONE SET SHORT of the 3x20 @RPE&lt;=7 gate. Hold BW, NO load. Anterior tib is arming up = the bone lever working; the tibia gates the block.</t>
        </is>
      </c>
    </row>
    <row r="369" ht="18" customHeight="1">
      <c r="A369" s="37" t="n">
        <v>46270</v>
      </c>
      <c r="B369" s="22">
        <f>IF(A369="","",IFERROR(INT((A369-DATE(2026,4,27))/7)+1,""))</f>
        <v/>
      </c>
      <c r="C369" s="22" t="inlineStr">
        <is>
          <t>Cali Full Body</t>
        </is>
      </c>
      <c r="D369" s="23" t="inlineStr">
        <is>
          <t>Tibialis Raise (BW)</t>
        </is>
      </c>
      <c r="E369" s="22" t="n">
        <v>2</v>
      </c>
      <c r="F369" s="22" t="n">
        <v>20</v>
      </c>
      <c r="G369" s="38" t="n"/>
      <c r="H369" s="22" t="n">
        <v>6</v>
      </c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>
        <v>46270</v>
      </c>
      <c r="B370" s="16">
        <f>IF(A370="","",IFERROR(INT((A370-DATE(2026,4,27))/7)+1,""))</f>
        <v/>
      </c>
      <c r="C370" s="16" t="inlineStr">
        <is>
          <t>Cali Full Body</t>
        </is>
      </c>
      <c r="D370" s="17" t="inlineStr">
        <is>
          <t>Tibialis Raise (BW)</t>
        </is>
      </c>
      <c r="E370" s="16" t="n">
        <v>3</v>
      </c>
      <c r="F370" s="16" t="n">
        <v>15</v>
      </c>
      <c r="G370" s="36" t="n"/>
      <c r="H370" s="16" t="n">
        <v>6</v>
      </c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>
        <v>46270</v>
      </c>
      <c r="B371" s="22">
        <f>IF(A371="","",IFERROR(INT((A371-DATE(2026,4,27))/7)+1,""))</f>
        <v/>
      </c>
      <c r="C371" s="22" t="inlineStr">
        <is>
          <t>Cali Full Body</t>
        </is>
      </c>
      <c r="D371" s="23" t="inlineStr">
        <is>
          <t>Hanging Knee Raise (BW)</t>
        </is>
      </c>
      <c r="E371" s="22" t="n">
        <v>1</v>
      </c>
      <c r="F371" s="22" t="n">
        <v>10</v>
      </c>
      <c r="G371" s="38" t="n"/>
      <c r="H371" s="22" t="n">
        <v>8</v>
      </c>
      <c r="I371" s="25">
        <f>IF(OR(F371="",G371=""),"",F371*G371)</f>
        <v/>
      </c>
      <c r="J371" s="38">
        <f>IF(OR(F371="",G371=""),"",ROUND(G371*(1+F371/30),1))</f>
        <v/>
      </c>
      <c r="K371" s="26" t="inlineStr">
        <is>
          <t>8 -&gt; 10 reps. RPE 8 is one over target 7. Hold BW, build 10-&gt;12; reps come when RPE drops.</t>
        </is>
      </c>
    </row>
    <row r="372" ht="18" customHeight="1">
      <c r="A372" s="35" t="n">
        <v>46270</v>
      </c>
      <c r="B372" s="16">
        <f>IF(A372="","",IFERROR(INT((A372-DATE(2026,4,27))/7)+1,""))</f>
        <v/>
      </c>
      <c r="C372" s="16" t="inlineStr">
        <is>
          <t>Cali Full Body</t>
        </is>
      </c>
      <c r="D372" s="17" t="inlineStr">
        <is>
          <t>Hanging Knee Raise (BW)</t>
        </is>
      </c>
      <c r="E372" s="16" t="n">
        <v>2</v>
      </c>
      <c r="F372" s="16" t="n">
        <v>10</v>
      </c>
      <c r="G372" s="36" t="n"/>
      <c r="H372" s="16" t="n">
        <v>8</v>
      </c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>
        <v>46270</v>
      </c>
      <c r="B373" s="22">
        <f>IF(A373="","",IFERROR(INT((A373-DATE(2026,4,27))/7)+1,""))</f>
        <v/>
      </c>
      <c r="C373" s="22" t="inlineStr">
        <is>
          <t>Cali Full Body</t>
        </is>
      </c>
      <c r="D373" s="23" t="inlineStr">
        <is>
          <t>Hanging Knee Raise (BW)</t>
        </is>
      </c>
      <c r="E373" s="22" t="n">
        <v>3</v>
      </c>
      <c r="F373" s="22" t="n">
        <v>10</v>
      </c>
      <c r="G373" s="38" t="n"/>
      <c r="H373" s="22" t="n">
        <v>8</v>
      </c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>
        <v>46270</v>
      </c>
      <c r="B374" s="16">
        <f>IF(A374="","",IFERROR(INT((A374-DATE(2026,4,27))/7)+1,""))</f>
        <v/>
      </c>
      <c r="C374" s="16" t="inlineStr">
        <is>
          <t>Cali Full Body</t>
        </is>
      </c>
      <c r="D374" s="17" t="inlineStr">
        <is>
          <t>Side Plank (BW)</t>
        </is>
      </c>
      <c r="E374" s="16" t="n">
        <v>1</v>
      </c>
      <c r="F374" s="16" t="n">
        <v>30</v>
      </c>
      <c r="G374" s="36" t="n"/>
      <c r="H374" s="16" t="n">
        <v>8</v>
      </c>
      <c r="I374" s="19">
        <f>IF(OR(F374="",G374=""),"",F374*G374)</f>
        <v/>
      </c>
      <c r="J374" s="36">
        <f>IF(OR(F374="",G374=""),"",ROUND(G374*(1+F374/30),1))</f>
        <v/>
      </c>
      <c r="K374" s="20" t="inlineStr">
        <is>
          <t>reps col = seconds PER SIDE. 2x30s @RPE8 -&gt; 30s@8 / 20s@9 = REGRESSED from end-of-session fatigue, not detraining. Hold 2x30s until both sets RPE&lt;=7, then 2x45s.</t>
        </is>
      </c>
    </row>
    <row r="375" ht="18" customHeight="1">
      <c r="A375" s="37" t="n">
        <v>46270</v>
      </c>
      <c r="B375" s="22">
        <f>IF(A375="","",IFERROR(INT((A375-DATE(2026,4,27))/7)+1,""))</f>
        <v/>
      </c>
      <c r="C375" s="22" t="inlineStr">
        <is>
          <t>Cali Full Body</t>
        </is>
      </c>
      <c r="D375" s="23" t="inlineStr">
        <is>
          <t>Side Plank (BW)</t>
        </is>
      </c>
      <c r="E375" s="22" t="n">
        <v>2</v>
      </c>
      <c r="F375" s="22" t="n">
        <v>20</v>
      </c>
      <c r="G375" s="38" t="n"/>
      <c r="H375" s="22" t="n">
        <v>9</v>
      </c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>
        <v>46274</v>
      </c>
      <c r="B376" s="16">
        <f>IF(A376="","",IFERROR(INT((A376-DATE(2026,4,27))/7)+1,""))</f>
        <v/>
      </c>
      <c r="C376" s="16" t="inlineStr">
        <is>
          <t>Cali Full Body</t>
        </is>
      </c>
      <c r="D376" s="17" t="inlineStr">
        <is>
          <t>Push-up (incline)</t>
        </is>
      </c>
      <c r="E376" s="16" t="n">
        <v>1</v>
      </c>
      <c r="F376" s="16" t="n">
        <v>8</v>
      </c>
      <c r="G376" s="36" t="n"/>
      <c r="H376" s="16" t="n">
        <v>7</v>
      </c>
      <c r="I376" s="19">
        <f>IF(OR(F376="",G376=""),"",F376*G376)</f>
        <v/>
      </c>
      <c r="J376" s="36">
        <f>IF(OR(F376="",G376=""),"",ROUND(G376*(1+F376/30),1))</f>
        <v/>
      </c>
      <c r="K376" s="20" t="inlineStr">
        <is>
          <t>Cali #3. DEVIATION: prescribed S1-S2 @ setting 2, S3-S4 @ setting 3 -&gt; ALL FOUR ran at setting 3, setting 2 not attempted. Decay 7-8-9-9. NOT detraining: the new B2 second push-up block took weekly push sets 4 -&gt; 7 in one session and A1 now sits upstream of 3 more push sets, so the body pre-emptively down-regulated. Correct call by the athlete. SPLIT LADDER WITHDRAWN - hold all four sets at setting 3; gate to reopen setting 2 = 4x8 @ RPE &lt;=8.</t>
        </is>
      </c>
    </row>
    <row r="377" ht="18" customHeight="1">
      <c r="A377" s="37" t="n">
        <v>46274</v>
      </c>
      <c r="B377" s="22">
        <f>IF(A377="","",IFERROR(INT((A377-DATE(2026,4,27))/7)+1,""))</f>
        <v/>
      </c>
      <c r="C377" s="22" t="inlineStr">
        <is>
          <t>Cali Full Body</t>
        </is>
      </c>
      <c r="D377" s="23" t="inlineStr">
        <is>
          <t>Push-up (incline)</t>
        </is>
      </c>
      <c r="E377" s="22" t="n">
        <v>2</v>
      </c>
      <c r="F377" s="22" t="n">
        <v>8</v>
      </c>
      <c r="G377" s="38" t="n"/>
      <c r="H377" s="22" t="n">
        <v>8</v>
      </c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>
        <v>46274</v>
      </c>
      <c r="B378" s="16">
        <f>IF(A378="","",IFERROR(INT((A378-DATE(2026,4,27))/7)+1,""))</f>
        <v/>
      </c>
      <c r="C378" s="16" t="inlineStr">
        <is>
          <t>Cali Full Body</t>
        </is>
      </c>
      <c r="D378" s="17" t="inlineStr">
        <is>
          <t>Push-up (incline)</t>
        </is>
      </c>
      <c r="E378" s="16" t="n">
        <v>3</v>
      </c>
      <c r="F378" s="16" t="n">
        <v>8</v>
      </c>
      <c r="G378" s="36" t="n"/>
      <c r="H378" s="16" t="n">
        <v>9</v>
      </c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>
        <v>46274</v>
      </c>
      <c r="B379" s="22">
        <f>IF(A379="","",IFERROR(INT((A379-DATE(2026,4,27))/7)+1,""))</f>
        <v/>
      </c>
      <c r="C379" s="22" t="inlineStr">
        <is>
          <t>Cali Full Body</t>
        </is>
      </c>
      <c r="D379" s="23" t="inlineStr">
        <is>
          <t>Push-up (incline)</t>
        </is>
      </c>
      <c r="E379" s="22" t="n">
        <v>4</v>
      </c>
      <c r="F379" s="22" t="n">
        <v>8</v>
      </c>
      <c r="G379" s="38" t="n"/>
      <c r="H379" s="22" t="n">
        <v>9</v>
      </c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>
        <v>46274</v>
      </c>
      <c r="B380" s="16">
        <f>IF(A380="","",IFERROR(INT((A380-DATE(2026,4,27))/7)+1,""))</f>
        <v/>
      </c>
      <c r="C380" s="16" t="inlineStr">
        <is>
          <t>Cali Full Body</t>
        </is>
      </c>
      <c r="D380" s="17" t="inlineStr">
        <is>
          <t>Inverted Row</t>
        </is>
      </c>
      <c r="E380" s="16" t="n">
        <v>1</v>
      </c>
      <c r="F380" s="16" t="n">
        <v>8</v>
      </c>
      <c r="G380" s="36" t="n"/>
      <c r="H380" s="16" t="n">
        <v>7</v>
      </c>
      <c r="I380" s="19">
        <f>IF(OR(F380="",G380=""),"",F380*G380)</f>
        <v/>
      </c>
      <c r="J380" s="36">
        <f>IF(OR(F380="",G380=""),"",ROUND(G380*(1+F380/30),1))</f>
        <v/>
      </c>
      <c r="K380" s="20" t="inlineStr">
        <is>
          <t>Setting 3, 8-rep cap held: 8/8/8/8, zero rep decay (was 11-10-8-7 before the cap). Gate NOT cleared - S4 at RPE 9 for the 2nd session running. Hold setting 3 and the cap; reps build 8 -&gt; 12 only once all four sets land &lt;=8.</t>
        </is>
      </c>
    </row>
    <row r="381" ht="18" customHeight="1">
      <c r="A381" s="37" t="n">
        <v>46274</v>
      </c>
      <c r="B381" s="22">
        <f>IF(A381="","",IFERROR(INT((A381-DATE(2026,4,27))/7)+1,""))</f>
        <v/>
      </c>
      <c r="C381" s="22" t="inlineStr">
        <is>
          <t>Cali Full Body</t>
        </is>
      </c>
      <c r="D381" s="23" t="inlineStr">
        <is>
          <t>Inverted Row</t>
        </is>
      </c>
      <c r="E381" s="22" t="n">
        <v>2</v>
      </c>
      <c r="F381" s="22" t="n">
        <v>8</v>
      </c>
      <c r="G381" s="38" t="n"/>
      <c r="H381" s="22" t="n">
        <v>7</v>
      </c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>
        <v>46274</v>
      </c>
      <c r="B382" s="16">
        <f>IF(A382="","",IFERROR(INT((A382-DATE(2026,4,27))/7)+1,""))</f>
        <v/>
      </c>
      <c r="C382" s="16" t="inlineStr">
        <is>
          <t>Cali Full Body</t>
        </is>
      </c>
      <c r="D382" s="17" t="inlineStr">
        <is>
          <t>Inverted Row</t>
        </is>
      </c>
      <c r="E382" s="16" t="n">
        <v>3</v>
      </c>
      <c r="F382" s="16" t="n">
        <v>8</v>
      </c>
      <c r="G382" s="36" t="n"/>
      <c r="H382" s="16" t="n">
        <v>8</v>
      </c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>
        <v>46274</v>
      </c>
      <c r="B383" s="22">
        <f>IF(A383="","",IFERROR(INT((A383-DATE(2026,4,27))/7)+1,""))</f>
        <v/>
      </c>
      <c r="C383" s="22" t="inlineStr">
        <is>
          <t>Cali Full Body</t>
        </is>
      </c>
      <c r="D383" s="23" t="inlineStr">
        <is>
          <t>Inverted Row</t>
        </is>
      </c>
      <c r="E383" s="22" t="n">
        <v>4</v>
      </c>
      <c r="F383" s="22" t="n">
        <v>8</v>
      </c>
      <c r="G383" s="38" t="n"/>
      <c r="H383" s="22" t="n">
        <v>9</v>
      </c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>
        <v>46274</v>
      </c>
      <c r="B384" s="16">
        <f>IF(A384="","",IFERROR(INT((A384-DATE(2026,4,27))/7)+1,""))</f>
        <v/>
      </c>
      <c r="C384" s="16" t="inlineStr">
        <is>
          <t>Cali Full Body</t>
        </is>
      </c>
      <c r="D384" s="17" t="inlineStr">
        <is>
          <t>Pull-up (low bar, feet-assisted)</t>
        </is>
      </c>
      <c r="E384" s="16" t="n">
        <v>1</v>
      </c>
      <c r="F384" s="16" t="n">
        <v>5</v>
      </c>
      <c r="G384" s="36" t="n"/>
      <c r="H384" s="16" t="n">
        <v>8</v>
      </c>
      <c r="I384" s="19">
        <f>IF(OR(F384="",G384=""),"",F384*G384)</f>
        <v/>
      </c>
      <c r="J384" s="36">
        <f>IF(OR(F384="",G384=""),"",ROUND(G384*(1+F384/30),1))</f>
        <v/>
      </c>
      <c r="K384" s="20" t="inlineStr">
        <is>
          <t>Assist 4/3/3. The extra notch of foot assist WORKED: 8/9/9 -&gt; 8/8/8. Still above the 3x5 @ RPE &lt;=7 gate. Hold - open at assist 4, settle to 3. No leverage progression.</t>
        </is>
      </c>
    </row>
    <row r="385" ht="18" customHeight="1">
      <c r="A385" s="37" t="n">
        <v>46274</v>
      </c>
      <c r="B385" s="22">
        <f>IF(A385="","",IFERROR(INT((A385-DATE(2026,4,27))/7)+1,""))</f>
        <v/>
      </c>
      <c r="C385" s="22" t="inlineStr">
        <is>
          <t>Cali Full Body</t>
        </is>
      </c>
      <c r="D385" s="23" t="inlineStr">
        <is>
          <t>Pull-up (low bar, feet-assisted)</t>
        </is>
      </c>
      <c r="E385" s="22" t="n">
        <v>2</v>
      </c>
      <c r="F385" s="22" t="n">
        <v>5</v>
      </c>
      <c r="G385" s="38" t="n"/>
      <c r="H385" s="22" t="n">
        <v>8</v>
      </c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>
        <v>46274</v>
      </c>
      <c r="B386" s="16">
        <f>IF(A386="","",IFERROR(INT((A386-DATE(2026,4,27))/7)+1,""))</f>
        <v/>
      </c>
      <c r="C386" s="16" t="inlineStr">
        <is>
          <t>Cali Full Body</t>
        </is>
      </c>
      <c r="D386" s="17" t="inlineStr">
        <is>
          <t>Pull-up (low bar, feet-assisted)</t>
        </is>
      </c>
      <c r="E386" s="16" t="n">
        <v>3</v>
      </c>
      <c r="F386" s="16" t="n">
        <v>5</v>
      </c>
      <c r="G386" s="36" t="n"/>
      <c r="H386" s="16" t="n">
        <v>8</v>
      </c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>
        <v>46274</v>
      </c>
      <c r="B387" s="22">
        <f>IF(A387="","",IFERROR(INT((A387-DATE(2026,4,27))/7)+1,""))</f>
        <v/>
      </c>
      <c r="C387" s="22" t="inlineStr">
        <is>
          <t>Cali Full Body</t>
        </is>
      </c>
      <c r="D387" s="23" t="inlineStr">
        <is>
          <t>Push-up (2nd block, incline)</t>
        </is>
      </c>
      <c r="E387" s="22" t="n">
        <v>1</v>
      </c>
      <c r="F387" s="22" t="n">
        <v>6</v>
      </c>
      <c r="G387" s="38" t="n"/>
      <c r="H387" s="22" t="n">
        <v>7</v>
      </c>
      <c r="I387" s="25">
        <f>IF(OR(F387="",G387=""),"",F387*G387)</f>
        <v/>
      </c>
      <c r="J387" s="38">
        <f>IF(OR(F387="",G387=""),"",ROUND(G387*(1+F387/30),1))</f>
        <v/>
      </c>
      <c r="K387" s="26" t="inlineStr">
        <is>
          <t>NEW SLOT, seed session - replaces Pike Push-up (rejected and closed 9/7 along with dips and close-grip). 3x6 @ setting 3, RPE 7/7/8 on pre-fatigued triceps at the SAME setting as A1 = better than modeled. SEED PASSED. Next: hold setting 3, build reps 6 -&gt; 8. Tracks one setting behind A1 in principle; both sit at 3 until A1 clears its gate.</t>
        </is>
      </c>
    </row>
    <row r="388" ht="18" customHeight="1">
      <c r="A388" s="35" t="n">
        <v>46274</v>
      </c>
      <c r="B388" s="16">
        <f>IF(A388="","",IFERROR(INT((A388-DATE(2026,4,27))/7)+1,""))</f>
        <v/>
      </c>
      <c r="C388" s="16" t="inlineStr">
        <is>
          <t>Cali Full Body</t>
        </is>
      </c>
      <c r="D388" s="17" t="inlineStr">
        <is>
          <t>Push-up (2nd block, incline)</t>
        </is>
      </c>
      <c r="E388" s="16" t="n">
        <v>2</v>
      </c>
      <c r="F388" s="16" t="n">
        <v>6</v>
      </c>
      <c r="G388" s="36" t="n"/>
      <c r="H388" s="16" t="n">
        <v>7</v>
      </c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>
        <v>46274</v>
      </c>
      <c r="B389" s="22">
        <f>IF(A389="","",IFERROR(INT((A389-DATE(2026,4,27))/7)+1,""))</f>
        <v/>
      </c>
      <c r="C389" s="22" t="inlineStr">
        <is>
          <t>Cali Full Body</t>
        </is>
      </c>
      <c r="D389" s="23" t="inlineStr">
        <is>
          <t>Push-up (2nd block, incline)</t>
        </is>
      </c>
      <c r="E389" s="22" t="n">
        <v>3</v>
      </c>
      <c r="F389" s="22" t="n">
        <v>6</v>
      </c>
      <c r="G389" s="38" t="n"/>
      <c r="H389" s="22" t="n">
        <v>8</v>
      </c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>
        <v>46274</v>
      </c>
      <c r="B390" s="16">
        <f>IF(A390="","",IFERROR(INT((A390-DATE(2026,4,27))/7)+1,""))</f>
        <v/>
      </c>
      <c r="C390" s="16" t="inlineStr">
        <is>
          <t>Cali Full Body</t>
        </is>
      </c>
      <c r="D390" s="17" t="inlineStr">
        <is>
          <t>Bulgarian Split Squat (BW)</t>
        </is>
      </c>
      <c r="E390" s="16" t="n">
        <v>1</v>
      </c>
      <c r="F390" s="16" t="n">
        <v>10</v>
      </c>
      <c r="G390" s="36" t="n"/>
      <c r="H390" s="16" t="n">
        <v>6</v>
      </c>
      <c r="I390" s="19">
        <f>IF(OR(F390="",G390=""),"",F390*G390)</f>
        <v/>
      </c>
      <c r="J390" s="36">
        <f>IF(OR(F390="",G390=""),"",ROUND(G390*(1+F390/30),1))</f>
        <v/>
      </c>
      <c r="K390" s="20" t="inlineStr">
        <is>
          <t>reps col = per leg. 10/8/8 vs 3x10 prescribed. Reps cut to hold the RPE 6 CEILING = COMPLIANCE, not a shortfall - Fri 6k run and Sun 12k long both sit downstream. HOLD BW, do not chase the reps back.</t>
        </is>
      </c>
    </row>
    <row r="391" ht="18" customHeight="1">
      <c r="A391" s="37" t="n">
        <v>46274</v>
      </c>
      <c r="B391" s="22">
        <f>IF(A391="","",IFERROR(INT((A391-DATE(2026,4,27))/7)+1,""))</f>
        <v/>
      </c>
      <c r="C391" s="22" t="inlineStr">
        <is>
          <t>Cali Full Body</t>
        </is>
      </c>
      <c r="D391" s="23" t="inlineStr">
        <is>
          <t>Bulgarian Split Squat (BW)</t>
        </is>
      </c>
      <c r="E391" s="22" t="n">
        <v>2</v>
      </c>
      <c r="F391" s="22" t="n">
        <v>8</v>
      </c>
      <c r="G391" s="38" t="n"/>
      <c r="H391" s="22" t="n">
        <v>6</v>
      </c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>
        <v>46274</v>
      </c>
      <c r="B392" s="16">
        <f>IF(A392="","",IFERROR(INT((A392-DATE(2026,4,27))/7)+1,""))</f>
        <v/>
      </c>
      <c r="C392" s="16" t="inlineStr">
        <is>
          <t>Cali Full Body</t>
        </is>
      </c>
      <c r="D392" s="17" t="inlineStr">
        <is>
          <t>Bulgarian Split Squat (BW)</t>
        </is>
      </c>
      <c r="E392" s="16" t="n">
        <v>3</v>
      </c>
      <c r="F392" s="16" t="n">
        <v>8</v>
      </c>
      <c r="G392" s="36" t="n"/>
      <c r="H392" s="16" t="n">
        <v>6</v>
      </c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>
        <v>46274</v>
      </c>
      <c r="B393" s="22">
        <f>IF(A393="","",IFERROR(INT((A393-DATE(2026,4,27))/7)+1,""))</f>
        <v/>
      </c>
      <c r="C393" s="22" t="inlineStr">
        <is>
          <t>Cali Full Body</t>
        </is>
      </c>
      <c r="D393" s="23" t="inlineStr">
        <is>
          <t>Single-Leg RDL (BW)</t>
        </is>
      </c>
      <c r="E393" s="22" t="n">
        <v>1</v>
      </c>
      <c r="F393" s="22" t="n">
        <v>10</v>
      </c>
      <c r="G393" s="38" t="n"/>
      <c r="H393" s="22" t="n">
        <v>6</v>
      </c>
      <c r="I393" s="25">
        <f>IF(OR(F393="",G393=""),"",F393*G393)</f>
        <v/>
      </c>
      <c r="J393" s="38">
        <f>IF(OR(F393="",G393=""),"",ROUND(G393*(1+F393/30),1))</f>
        <v/>
      </c>
      <c r="K393" s="26" t="inlineStr">
        <is>
          <t>reps col = per leg. 10/10/10 (was 10/7/7 on 9/5) - reps returned on their own at the same RPE 6 cap, exactly as predicted. HOLD BW.</t>
        </is>
      </c>
    </row>
    <row r="394" ht="18" customHeight="1">
      <c r="A394" s="35" t="n">
        <v>46274</v>
      </c>
      <c r="B394" s="16">
        <f>IF(A394="","",IFERROR(INT((A394-DATE(2026,4,27))/7)+1,""))</f>
        <v/>
      </c>
      <c r="C394" s="16" t="inlineStr">
        <is>
          <t>Cali Full Body</t>
        </is>
      </c>
      <c r="D394" s="17" t="inlineStr">
        <is>
          <t>Single-Leg RDL (BW)</t>
        </is>
      </c>
      <c r="E394" s="16" t="n">
        <v>2</v>
      </c>
      <c r="F394" s="16" t="n">
        <v>10</v>
      </c>
      <c r="G394" s="36" t="n"/>
      <c r="H394" s="16" t="n">
        <v>6</v>
      </c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>
        <v>46274</v>
      </c>
      <c r="B395" s="22">
        <f>IF(A395="","",IFERROR(INT((A395-DATE(2026,4,27))/7)+1,""))</f>
        <v/>
      </c>
      <c r="C395" s="22" t="inlineStr">
        <is>
          <t>Cali Full Body</t>
        </is>
      </c>
      <c r="D395" s="23" t="inlineStr">
        <is>
          <t>Single-Leg RDL (BW)</t>
        </is>
      </c>
      <c r="E395" s="22" t="n">
        <v>3</v>
      </c>
      <c r="F395" s="22" t="n">
        <v>10</v>
      </c>
      <c r="G395" s="38" t="n"/>
      <c r="H395" s="22" t="n">
        <v>6</v>
      </c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>
        <v>46274</v>
      </c>
      <c r="B396" s="16">
        <f>IF(A396="","",IFERROR(INT((A396-DATE(2026,4,27))/7)+1,""))</f>
        <v/>
      </c>
      <c r="C396" s="16" t="inlineStr">
        <is>
          <t>Cali Full Body</t>
        </is>
      </c>
      <c r="D396" s="17" t="inlineStr">
        <is>
          <t>Tibialis Raise (BW)</t>
        </is>
      </c>
      <c r="E396" s="16" t="n">
        <v>1</v>
      </c>
      <c r="F396" s="16" t="n">
        <v>20</v>
      </c>
      <c r="G396" s="36" t="n"/>
      <c r="H396" s="16" t="n">
        <v>6</v>
      </c>
      <c r="I396" s="19">
        <f>IF(OR(F396="",G396=""),"",F396*G396)</f>
        <v/>
      </c>
      <c r="J396" s="36">
        <f>IF(OR(F396="",G396=""),"",ROUND(G396*(1+F396/30),1))</f>
        <v/>
      </c>
      <c r="K396" s="20" t="inlineStr">
        <is>
          <t>GATE CLEARED, FIRST TIME: 20/20/20 @ RPE 6 (was 20/20/15 @ 6, and 20/15/15 @ 8 before that). ADVANCE to SLOW-ECCENTRIC 3x20, 3 s lower, next session; expect RPE back to 7-8, that is the point. Anterior tib is the shin armour and the tibia gates the block - highest-value bump available in this session. Survives every cut, always.</t>
        </is>
      </c>
    </row>
    <row r="397" ht="18" customHeight="1">
      <c r="A397" s="37" t="n">
        <v>46274</v>
      </c>
      <c r="B397" s="22">
        <f>IF(A397="","",IFERROR(INT((A397-DATE(2026,4,27))/7)+1,""))</f>
        <v/>
      </c>
      <c r="C397" s="22" t="inlineStr">
        <is>
          <t>Cali Full Body</t>
        </is>
      </c>
      <c r="D397" s="23" t="inlineStr">
        <is>
          <t>Tibialis Raise (BW)</t>
        </is>
      </c>
      <c r="E397" s="22" t="n">
        <v>2</v>
      </c>
      <c r="F397" s="22" t="n">
        <v>20</v>
      </c>
      <c r="G397" s="38" t="n"/>
      <c r="H397" s="22" t="n">
        <v>6</v>
      </c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>
        <v>46274</v>
      </c>
      <c r="B398" s="16">
        <f>IF(A398="","",IFERROR(INT((A398-DATE(2026,4,27))/7)+1,""))</f>
        <v/>
      </c>
      <c r="C398" s="16" t="inlineStr">
        <is>
          <t>Cali Full Body</t>
        </is>
      </c>
      <c r="D398" s="17" t="inlineStr">
        <is>
          <t>Tibialis Raise (BW)</t>
        </is>
      </c>
      <c r="E398" s="16" t="n">
        <v>3</v>
      </c>
      <c r="F398" s="16" t="n">
        <v>20</v>
      </c>
      <c r="G398" s="36" t="n"/>
      <c r="H398" s="16" t="n">
        <v>6</v>
      </c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>
        <v>46274</v>
      </c>
      <c r="B399" s="22">
        <f>IF(A399="","",IFERROR(INT((A399-DATE(2026,4,27))/7)+1,""))</f>
        <v/>
      </c>
      <c r="C399" s="22" t="inlineStr">
        <is>
          <t>Cali Full Body</t>
        </is>
      </c>
      <c r="D399" s="23" t="inlineStr">
        <is>
          <t>Hanging Knee Raise (BW)</t>
        </is>
      </c>
      <c r="E399" s="22" t="n">
        <v>1</v>
      </c>
      <c r="F399" s="22" t="n">
        <v>8</v>
      </c>
      <c r="G399" s="38" t="n"/>
      <c r="H399" s="22" t="n">
        <v>8</v>
      </c>
      <c r="I399" s="25">
        <f>IF(OR(F399="",G399=""),"",F399*G399)</f>
        <v/>
      </c>
      <c r="J399" s="38">
        <f>IF(OR(F399="",G399=""),"",ROUND(G399*(1+F399/30),1))</f>
        <v/>
      </c>
      <c r="K399" s="26" t="inlineStr">
        <is>
          <t>8 reps at RPE 8 (was 10 @ 8). Hold 3x8; build to 10 when RPE drops off 8.</t>
        </is>
      </c>
    </row>
    <row r="400" ht="18" customHeight="1">
      <c r="A400" s="35" t="n">
        <v>46274</v>
      </c>
      <c r="B400" s="16">
        <f>IF(A400="","",IFERROR(INT((A400-DATE(2026,4,27))/7)+1,""))</f>
        <v/>
      </c>
      <c r="C400" s="16" t="inlineStr">
        <is>
          <t>Cali Full Body</t>
        </is>
      </c>
      <c r="D400" s="17" t="inlineStr">
        <is>
          <t>Hanging Knee Raise (BW)</t>
        </is>
      </c>
      <c r="E400" s="16" t="n">
        <v>2</v>
      </c>
      <c r="F400" s="16" t="n">
        <v>8</v>
      </c>
      <c r="G400" s="36" t="n"/>
      <c r="H400" s="16" t="n">
        <v>8</v>
      </c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>
        <v>46274</v>
      </c>
      <c r="B401" s="22">
        <f>IF(A401="","",IFERROR(INT((A401-DATE(2026,4,27))/7)+1,""))</f>
        <v/>
      </c>
      <c r="C401" s="22" t="inlineStr">
        <is>
          <t>Cali Full Body</t>
        </is>
      </c>
      <c r="D401" s="23" t="inlineStr">
        <is>
          <t>Hanging Knee Raise (BW)</t>
        </is>
      </c>
      <c r="E401" s="22" t="n">
        <v>3</v>
      </c>
      <c r="F401" s="22" t="n">
        <v>8</v>
      </c>
      <c r="G401" s="38" t="n"/>
      <c r="H401" s="22" t="n">
        <v>8</v>
      </c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>
        <v>46274</v>
      </c>
      <c r="B402" s="16">
        <f>IF(A402="","",IFERROR(INT((A402-DATE(2026,4,27))/7)+1,""))</f>
        <v/>
      </c>
      <c r="C402" s="16" t="inlineStr">
        <is>
          <t>Cali Full Body</t>
        </is>
      </c>
      <c r="D402" s="17" t="inlineStr">
        <is>
          <t>Side Plank (BW)</t>
        </is>
      </c>
      <c r="E402" s="16" t="n">
        <v>1</v>
      </c>
      <c r="F402" s="16" t="n">
        <v>30</v>
      </c>
      <c r="G402" s="36" t="n"/>
      <c r="H402" s="16" t="n">
        <v>4</v>
      </c>
      <c r="I402" s="19">
        <f>IF(OR(F402="",G402=""),"",F402*G402)</f>
        <v/>
      </c>
      <c r="J402" s="36">
        <f>IF(OR(F402="",G402=""),"",ROUND(G402*(1+F402/30),1))</f>
        <v/>
      </c>
      <c r="K402" s="20" t="inlineStr">
        <is>
          <t>reps col = seconds PER SIDE. GATE CLEARED: 2x30 s @ RPE 4 both sets (was 30@8 / 20@9). ADVANCE to 2x45 s/side.</t>
        </is>
      </c>
    </row>
    <row r="403" ht="18" customHeight="1">
      <c r="A403" s="37" t="n">
        <v>46274</v>
      </c>
      <c r="B403" s="22">
        <f>IF(A403="","",IFERROR(INT((A403-DATE(2026,4,27))/7)+1,""))</f>
        <v/>
      </c>
      <c r="C403" s="22" t="inlineStr">
        <is>
          <t>Cali Full Body</t>
        </is>
      </c>
      <c r="D403" s="23" t="inlineStr">
        <is>
          <t>Side Plank (BW)</t>
        </is>
      </c>
      <c r="E403" s="22" t="n">
        <v>2</v>
      </c>
      <c r="F403" s="22" t="n">
        <v>30</v>
      </c>
      <c r="G403" s="38" t="n"/>
      <c r="H403" s="22" t="n">
        <v>4</v>
      </c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  <c r="K1" s="14" t="inlineStr">
        <is>
          <t>Bike km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>
        <v>46267</v>
      </c>
      <c r="B16" s="16">
        <f>IF(A16="","",IFERROR(INT((A16-DATE(2026,4,27))/7)+1,""))</f>
        <v/>
      </c>
      <c r="C16" s="27" t="n">
        <v>5</v>
      </c>
      <c r="D16" s="36" t="n">
        <v>37.57</v>
      </c>
      <c r="E16" s="16">
        <f>IF(OR(C16="",D16=""),"",TEXT(D16/C16/1440,"m:ss"))</f>
        <v/>
      </c>
      <c r="F16" s="16" t="n">
        <v>145</v>
      </c>
      <c r="G16" s="16" t="n">
        <v>176</v>
      </c>
      <c r="H16" s="16" t="n">
        <v>4</v>
      </c>
      <c r="I16" s="16" t="inlineStr">
        <is>
          <t>Easy</t>
        </is>
      </c>
      <c r="J16" s="20" t="inlineStr">
        <is>
          <t>Blk2 Wk A Wed (swapped in for skipped Tue). FIRST RUN AFTER THE 34-DAY DARK GAP (Jul 29-Aug 30). 7:30/km raw but 4 walk breaks inside 37:34 -&gt; running pace ~6:43/km at avg HR 145 vs 6:44/km at HR 144 on 7/22 = ENGINE INTACT, gap cost nothing aerobically. 94%Z2, RPE 4 = easiest run in the log. Shin CLEAN check #10. CADENCE 160 = REGRESSION, streak was 166/166/168PR/167 (7/19-7/25) -&gt; fell back to pre-metronome band; habit was never habitual, metronome 166 now mandatory every run incl. long (bone lever: shorter ground contact = less tibial impact). 4 walk breaks also a regression (0 on 7/22 and 7/25). Max HR 176 = brief restart surge off a walk break.</t>
        </is>
      </c>
    </row>
    <row r="17" ht="18" customHeight="1">
      <c r="A17" s="37" t="n">
        <v>46269</v>
      </c>
      <c r="B17" s="22">
        <f>IF(A17="","",IFERROR(INT((A17-DATE(2026,4,27))/7)+1,""))</f>
        <v/>
      </c>
      <c r="C17" s="28" t="n">
        <v>6</v>
      </c>
      <c r="D17" s="38" t="n">
        <v>42.82</v>
      </c>
      <c r="E17" s="22">
        <f>IF(OR(C17="",D17=""),"",TEXT(D17/C17/1440,"m:ss"))</f>
        <v/>
      </c>
      <c r="F17" s="22" t="n">
        <v>145</v>
      </c>
      <c r="G17" s="22" t="n">
        <v>166</v>
      </c>
      <c r="H17" s="22" t="n">
        <v>3</v>
      </c>
      <c r="I17" s="22" t="inlineStr">
        <is>
          <t>Easy</t>
        </is>
      </c>
      <c r="J17" s="26" t="inlineStr">
        <is>
          <t>Blk2 Wk A Fri, run-only (cali MOVED to Sat 9/5 at user request). 7:08/km, 80%Z2, RPE 3 = lowest in log, 13C raining. CADENCE 166 = target hit, re-closed in ONE run after 160 on 9/2 -&gt; cadence is CUE-DEPENDENT, not lost; metronome mandatory every run to race incl. long (bone lever). 0 WALK BREAKS (4 on 9/2) over a longer run = continuous-run item green again, matches 7/22 and 7/25. Both 9/2 regressions closed in one session. TRUE POST-GAP EASY BENCHMARK = 7:08/km @ HR 145 (use this, NOT 9/2 7:30 which was walk-break distorted): vs 7/22 6k 6:44/km @ HR 144 = 24 s/km slower at same HR = expected chassis cost of 34 dark days, not an engine problem. Do not chase it back. %Z2 94-&gt;80 at same avg HR, max only 166 = late drift into low Z3, not a spike; watch Sun 10k, &lt;75%Z2 = too fast. Shin CLEAN check #12. Legs fresh. Fuel 2946 kcal = +546 over ~2400 maintenance, after +977 on 9/2 = ~+1500 over two logged days = drift not noise; protein 151 in band but at floor; creatine Y. BW not logged since 75.0 on 8/31.</t>
        </is>
      </c>
    </row>
    <row r="18" ht="18" customHeight="1">
      <c r="A18" s="35" t="n">
        <v>46271</v>
      </c>
      <c r="B18" s="16">
        <f>IF(A18="","",IFERROR(INT((A18-DATE(2026,4,27))/7)+1,""))</f>
        <v/>
      </c>
      <c r="C18" s="27" t="n">
        <v>10</v>
      </c>
      <c r="D18" s="36" t="n">
        <v>75.15000000000001</v>
      </c>
      <c r="E18" s="16">
        <f>IF(OR(C18="",D18=""),"",TEXT(D18/C18/1440,"m:ss"))</f>
        <v/>
      </c>
      <c r="F18" s="16" t="n">
        <v>150</v>
      </c>
      <c r="G18" s="16" t="n">
        <v>161</v>
      </c>
      <c r="H18" s="16" t="n">
        <v>4</v>
      </c>
      <c r="I18" s="16" t="inlineStr">
        <is>
          <t>Long</t>
        </is>
      </c>
      <c r="J18" s="20" t="inlineStr">
        <is>
          <t>Blk2 Wk A Sun - LONG 10k, WEEK A CLOSER. 7:31/km, 97%Z2 = HIGHEST IN LOG (94 on 5k -&gt; 80 on 6k -&gt; 97 on 10k; easy-day discipline scaled UP with distance). Longest run since 2026-06-22 (18k); +36% step over Fri's 6k; taken 20h post-lifting instead of 48h (cali moved Fri-&gt;Sat). CADENCE 167 = BLOCK'S OLDEST OPEN ITEM CLOSED: 3rd cued run, 3rd hit (166/166/167), 1 spm off the 168 PR, held through 75 min where fatigue had every chance to drag turnover down. Never lost, only uncued - metronome every run to the race, bone lever (shorter ground contact = less tibial impact). 0 WALK BREAKS over 10k = continuous running green at 6k AND at 10k under fatigue; the 4 breaks on 9/2 were first-run-back rust, not a pattern. SHIN CLEAN check #15, 15 straight, through the biggest distance jump of the block. HONEST PACE READ: 7:31/km @ HR 150 today vs 7:08/km @ HR 145 on 9/4 = slower pace at HIGHER HR. Over 67% more distance, sunny vs 13C rain = ordinary decoupling on a re-entry long run, NOT a flag; max 161 = steady drift, no spikes. But the run sat AT the ceiling, not under it -&gt; Wk B's 12k must OPEN SLOWER (~7:35-7:50/km early); the extra 2km comes out of the first half's pace budget, not the second half's HR. RPE 4 + user: 'a bit tired but could have done 15km chill' = engine ahead of chassis and ahead of plan. Extraction audit verdict: the un-cashed lever is COMPLIANCE (3 of 4 runs run, 21 of 26 km), NOT more km - long-run ramp is already stacked at its ceiling and bone, not lungs, sets the ceiling. Wk B long stays 12k; set distance by bone, not by breath. Fuel during run: half banana + 80% Powerade ~30-40g carbs / 75 min = on the 30 g/h prescription, unprompted. Kcal 2693 vs ~2600 long-day cap = +93 = FUEL DRIFT ARRESTED (was +977/+546/+937). Protein 170 (down from 227). Creatine Y.</t>
        </is>
      </c>
    </row>
    <row r="19" ht="18" customHeight="1">
      <c r="A19" s="37" t="n">
        <v>46272</v>
      </c>
      <c r="B19" s="22">
        <f>IF(A19="","",IFERROR(INT((A19-DATE(2026,4,27))/7)+1,""))</f>
        <v/>
      </c>
      <c r="C19" s="28" t="n">
        <v>5</v>
      </c>
      <c r="D19" s="38" t="n">
        <v>36.5</v>
      </c>
      <c r="E19" s="22">
        <f>IF(OR(C19="",D19=""),"",TEXT(D19/C19/1440,"m:ss"))</f>
        <v/>
      </c>
      <c r="F19" s="22" t="n">
        <v>147</v>
      </c>
      <c r="G19" s="22" t="n">
        <v>162</v>
      </c>
      <c r="H19" s="22" t="n">
        <v>3</v>
      </c>
      <c r="I19" s="22" t="inlineStr">
        <is>
          <t>Easy</t>
        </is>
      </c>
      <c r="J19" s="26" t="inlineStr">
        <is>
          <t>Blk2 Wk B Mon - 5k easy shakeout, 24h after Sun's 10k long. Monday was a REST day until two same-day schedule swaps (cali #3 Mon-&gt;Wed, cali #4 Fri-&gt;Sat) would have left 6 consecutive loaded days on one rest day; rebalanced by spending Monday's rest on the week's shortest run and making Thursday the rest day. 7:18/km @ HR 147, 97%Z2, RPE 3 = LOWEST RUN RPE IN THE LOG. Prescription was 7:35-7:50/km -&gt; ran ~20 s/km HOT. Allowed to stand because HR 147 held under the 150 ceiling, but it is the block's recurring pattern: feeling good becomes FASTER, not EASIER. On Sunday's 12k that costs the back half - open at 7:50 and mean it. EFFICIENCY: 7:18 @ 147 vs the clean rested comparable 7:08 @ 145 on 9/4 = 10 s/km slower at +2 bpm on a day-after-long shakeout = chassis recovering FASTER than the ramp assumed. CADENCE 167 = 4th straight cued run on target (166/166/167/167); metronome stays mandatory. 0 walk breaks, 3rd run running. SHIN CLEAN check #17. Fuel 2566 vs corrected uni-day ~2650-2700 = ~100 under, noise. Protein 169 (band 155-165). Creatine Y. Steps 9100. BIKE 24 km - uni-day commute, DISCLOSED TODAY as Tier 1 load (12 km each way, Mon-Thu = 96 km/wk, ~4-5 h, MORE clock time than the running). Zero bone cost (non-impact, does not spend the tibia budget) and it partly explains why the audits keep finding the engine ahead of the chassis. Makes the ~2400 kcal maintenance figure STALE: uni days 2650-2700, non-uni 2400, Sun long 2700. Sat+Sun are bike-free - that is what protects the long run. Wk B compliance: run 1 of 4.</t>
        </is>
      </c>
      <c r="K19" t="n">
        <v>24</v>
      </c>
    </row>
    <row r="20" ht="18" customHeight="1">
      <c r="A20" s="35" t="n">
        <v>46273</v>
      </c>
      <c r="B20" s="16">
        <f>IF(A20="","",IFERROR(INT((A20-DATE(2026,4,27))/7)+1,""))</f>
        <v/>
      </c>
      <c r="C20" s="27" t="n">
        <v>6</v>
      </c>
      <c r="D20" s="36" t="n">
        <v>48.22</v>
      </c>
      <c r="E20" s="16">
        <f>IF(OR(C20="",D20=""),"",TEXT(D20/C20/1440,"m:ss"))</f>
        <v/>
      </c>
      <c r="F20" s="16" t="n">
        <v>140</v>
      </c>
      <c r="G20" s="16" t="n">
        <v>153</v>
      </c>
      <c r="H20" s="16" t="n">
        <v>1</v>
      </c>
      <c r="I20" s="16" t="inlineStr">
        <is>
          <t>Easy Z2</t>
        </is>
      </c>
      <c r="J20" s="20" t="inlineStr">
        <is>
          <t>97% Z2, cadence 163 (first cued miss), 0 walk breaks, light rain, shin clean #19. Pace obeyed prescription 8:01 vs 7:45-8:00.</t>
        </is>
      </c>
      <c r="K20" t="n">
        <v>24</v>
      </c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>
        <v>46265</v>
      </c>
      <c r="B29" s="22">
        <f>IF(A29="","",IFERROR(INT((A29-DATE(2026,4,27))/7)+1,""))</f>
        <v/>
      </c>
      <c r="C29" s="38" t="n">
        <v>75</v>
      </c>
      <c r="D29" s="38" t="n"/>
      <c r="E29" s="38" t="n"/>
      <c r="F29" s="38" t="n"/>
      <c r="G29" s="38" t="n"/>
      <c r="H29" s="38" t="n"/>
      <c r="I29" s="26" t="inlineStr">
        <is>
          <t>Block 2 Wk A Mon. BW 75.0 = CUT CLOSED target hit (77.05 on 7/27, 77.6 block start). Maintenance ~2400 kcal to race. First entry after the 34-day dark gap Jul 29 - Aug 30 (~2 runs, no logging). Cali Full Body done 16:20-17:30, 28 sets, shin CLEAN.</t>
        </is>
      </c>
    </row>
    <row r="30" ht="18" customHeight="1">
      <c r="A30" s="35" t="n">
        <v>46266</v>
      </c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inlineStr">
        <is>
          <t>Wk A Tue — planned 5k easy Z2 SKIPPED, rest day taken. No AM/PM data captured (blanks genuine). Not a bone flag; rest after first lifting session in 39 days.</t>
        </is>
      </c>
    </row>
    <row r="31" ht="18" customHeight="1">
      <c r="A31" s="37" t="n">
        <v>46267</v>
      </c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inlineStr">
        <is>
          <t>Wk A Wed run day. No AM block captured (blanks genuine) - session reported PM. Shin clean #10, legs good "ready to build back". Kcal 3377 vs ~2400 maintenance = +977 SURPLUS day; protein 157 in band, creatine Y. Cut is closed at 75.0 - hold it, the economy gain is banked. Watch 7d BW.</t>
        </is>
      </c>
    </row>
    <row r="32" ht="18" customHeight="1">
      <c r="A32" s="35" t="n">
        <v>46268</v>
      </c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inlineStr">
        <is>
          <t>Wk A Thu — full REST (swapped with Wed run). No AM/PM data captured (blanks genuine). BW still not logged since 75.0 on 8/31.</t>
        </is>
      </c>
    </row>
    <row r="33" ht="18" customHeight="1">
      <c r="A33" s="37" t="n">
        <v>46269</v>
      </c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inlineStr">
        <is>
          <t>Wk A Fri run day (6k easy, cali moved to Sat 9/5). No AM block captured (blanks genuine). Shin CLEAN #12, legs fresh. Kcal 2946 vs ~2400 maintenance = +546 SURPLUS, 2nd of 2 logged days (9/2 was +977) = ~+1500 drift over the week; protein 151 (in band, at floor - sit 155-165 on a ramping week); creatine Y. BW AM MISSING 3 STRAIGHT DAYS while running +500 to +1000/day - the week's one blind spot. Cut closed at 75.0 TO HOLD IT; the ~5-6 s/km economy gain is banked. Log BW 9/5 AM.</t>
        </is>
      </c>
    </row>
    <row r="34" ht="18" customHeight="1">
      <c r="A34" s="35" t="n">
        <v>46270</v>
      </c>
      <c r="B34" s="16">
        <f>IF(A34="","",IFERROR(INT((A34-DATE(2026,4,27))/7)+1,""))</f>
        <v/>
      </c>
      <c r="C34" s="36" t="n">
        <v>75.84999999999999</v>
      </c>
      <c r="D34" s="36" t="n">
        <v>9.35</v>
      </c>
      <c r="E34" s="36" t="n"/>
      <c r="F34" s="36" t="n"/>
      <c r="G34" s="36" t="n"/>
      <c r="H34" s="36" t="n"/>
      <c r="I34" s="20" t="inlineStr">
        <is>
          <t>Wk A Sat — cali session 2 (moved from Fri). AM FULL GREEN: sleep 9:21 q8 = best in log, RHR 44 delta 0, motivation/energy 10, stress 1, joints all clear. SHIN CLEAN check #13 (13 straight), holds post-session. DOMS quad/ham/glute 1 (8/31 RPE6 leg cap did its job), upper all 0, calf 2 + tib 2 = residue from 9/2+9/4 runs and the tibialis raises, NOT bone. BW 75.85 = FIRST WEIGH-IN IN 5 DAYS, +0.85 over 75.0 on 8/31; mostly glycogen+water from two runs back on, ~0.2 kg real. FUEL RED FLAG: 3337 kcal = +937, THIRD consecutive surplus day (9/2 +977, 9/4 +546, 9/5 +937 = ~+2460 over 3 days ~= +0.3 kg fat). One day was noise, three of three is a pattern. Cut closed at 75.0 TO HOLD 75.0 - the ~5-6 s/km economy gain is the cheapest time available for Oct 11 and is being handed back. Protein 227 g = 3.0 g/kg, ~60 g over the 155-165 band for zero benefit; trimming to 165 alone is ~-250 kcal. Creatine Y. Sunday cap ~2600 - a long-run day earns carbs, not a third +900.</t>
        </is>
      </c>
    </row>
    <row r="35" ht="18" customHeight="1">
      <c r="A35" s="37" t="n">
        <v>46271</v>
      </c>
      <c r="B35" s="22">
        <f>IF(A35="","",IFERROR(INT((A35-DATE(2026,4,27))/7)+1,""))</f>
        <v/>
      </c>
      <c r="C35" s="38" t="n">
        <v>75.84999999999999</v>
      </c>
      <c r="D35" s="38" t="n">
        <v>9.5</v>
      </c>
      <c r="E35" s="38" t="n"/>
      <c r="F35" s="38" t="n"/>
      <c r="G35" s="38" t="n"/>
      <c r="H35" s="38" t="n"/>
      <c r="I35" s="26" t="inlineStr">
        <is>
          <t>Wk A Sun - LONG 10k, week closer. AM GREEN: sleep 9:30 q9, RHR 46 (delta +2 vs baseline 44 = noise off a 65-min lifting session), motivation 9, energy 10, stress 1, joints all clear. SHIN CLEAN check #14 (pre-run) and #15 (post-run). DOMS legs ALL 1 (quad/ham/glute/calf/tib) at 20h post-cali - Sat's calf 2 / tib 2 cleared overnight. SECOND consecutive time the RPE 6 leg cap delivered fresh legs into a run day, this time off 24h not 48h: the Fri-&gt;Sat cali move cost nothing. Cap VALIDATED, not merely tolerated. Upper DOMS chest 3 / delt 3 / back 2 / arm 2 = the 9/5 push/pull fix landing on schedule (push went 5.9 -&gt; 8.0 RPE); irrelevant to running. BW 75.85 = FLAT vs 9/5, first non-rising point in the fuel drift. 9/5 ran +937 kcal and the scale did not move -&gt; confirms the +0.85 over the 75.0 close (8/31) is mostly glycogen + water, not fat. Flag NOT closed - weigh in Mon 9/7 AM, that reading makes the 7-day trend call. FUEL DRIFT ARRESTED: 2693 kcal vs the ~2600 long-day cap = +93, after +977 (9/2), +546 (9/4), +937 (9/5). Protein 170 g, down from 227, 5 over band on a long day = the correction landed. Creatine Y. Non-long days ~2400, protein 155-165.</t>
        </is>
      </c>
    </row>
    <row r="36" ht="18" customHeight="1">
      <c r="A36" s="35" t="n">
        <v>46272</v>
      </c>
      <c r="B36" s="16">
        <f>IF(A36="","",IFERROR(INT((A36-DATE(2026,4,27))/7)+1,""))</f>
        <v/>
      </c>
      <c r="C36" s="36" t="n">
        <v>75.84999999999999</v>
      </c>
      <c r="D36" s="36" t="n">
        <v>9</v>
      </c>
      <c r="E36" s="36" t="n"/>
      <c r="F36" s="36" t="n"/>
      <c r="G36" s="36" t="n"/>
      <c r="H36" s="36" t="n"/>
      <c r="I36" s="20" t="inlineStr">
        <is>
          <t>Wk B Mon - 5k easy shakeout (was a rest day; converted after two cali swaps). AM FULL GREEN: sleep 9:00 q10, RHR 46 delta -2, motivation 10, energy 10, stress 2, joints all clear. SHIN PERFECT check #16 (pre) and #17 (post-run). DOMS legs ALL 1 (quad/ham/glute/calf) at 2 days post-cali = RPE 6 leg cap validated a 3rd time. Upper: shoulder 3, chest 2, back 1, arm 1 = 9/5 pressing residue at 48h; this is WHY moving cali Mon-&gt;Wed is a net positive (shoulders get 4 days instead of 2). BW 75.85 = THIRD CONSECUTIVE FLAT READING (9/5, 9/6, 9/7) after +937 and +93 kcal days. TREND CALL MADE: the +0.85 over the 8/31 close of 75.0 is glycogen + water, NOT fat - fuel-drift flag CLOSED. Second explanation landed same day: the 96 km/wk bike commute was unlogged, so ~2400 'maintenance' was never maintenance. CORRECTED: uni days (Mon-Thu) 2650-2700, non-uni 2400, Sun long 2700, protein 155-165. Fuel today 2566 = ~100 under, noise. Protein 169. Creatine Y. Alcohol 0. Steps 9100. Bike 24 km.</t>
        </is>
      </c>
    </row>
    <row r="37" ht="18" customHeight="1">
      <c r="A37" s="37" t="n">
        <v>46273</v>
      </c>
      <c r="B37" s="22">
        <f>IF(A37="","",IFERROR(INT((A37-DATE(2026,4,27))/7)+1,""))</f>
        <v/>
      </c>
      <c r="C37" s="38" t="n">
        <v>75.2</v>
      </c>
      <c r="D37" s="38" t="n">
        <v>7</v>
      </c>
      <c r="E37" s="38" t="n"/>
      <c r="F37" s="38" t="n"/>
      <c r="G37" s="38" t="n"/>
      <c r="H37" s="38" t="n"/>
      <c r="I37" s="26" t="inlineStr">
        <is>
          <t>RHR 46 (-1). Mot 10/En 8/Str 2. DOMS quad2 ham2 glute2 calf2 - first 4-way, bike flag tripped. Shin clean #18.</t>
        </is>
      </c>
    </row>
    <row r="38" ht="18" customHeight="1">
      <c r="A38" s="35" t="n">
        <v>46274</v>
      </c>
      <c r="B38" s="16">
        <f>IF(A38="","",IFERROR(INT((A38-DATE(2026,4,27))/7)+1,""))</f>
        <v/>
      </c>
      <c r="C38" s="36" t="n">
        <v>75.2</v>
      </c>
      <c r="D38" s="36" t="n">
        <v>7.5</v>
      </c>
      <c r="E38" s="36" t="n"/>
      <c r="F38" s="36" t="n"/>
      <c r="G38" s="36" t="n"/>
      <c r="H38" s="36" t="n"/>
      <c r="I38" s="20" t="inlineStr">
        <is>
          <t>Wk B Wed - Cali Full Body #3 (14:10-15:00, 50 min, 28/28 sets, 293 reps, avg set RPE 7.0). AM CLEANEST OF THE BLOCK: sleep 7:30 q8 (bed 22:30 wake 06:35), RHR 46 delta -1, motivation 10, energy 10, stress 3, joints clear, ZERO DOMS above 1 anywhere (chest/back/shldr/arm all 0; quad/ham/glute/calf all 1). SHIN CLEAN check #20 (AM) and #21 (post-session). BIKE TRIGGER DID NOT FIRE, AND IT WAS ANSWERED UNMITIGATED: Tuesday's first-of-block 4-way leg DOMS 2 cleared to 1 across all four groups in 24 h while the full 24 km commute was ridden AND a 6 k run was run. The 9/8 read was right - local fatigue, not accumulation. Bike stays 24 km on uni days; Wed cali ran in full, BSS + SL-RDL NOT cut. Trigger disarmed for Wk B, re-arms on any future two consecutive mornings at &gt;=2. Shoulders 3 -&gt; 1 -&gt; 0 in three days off cali = the 9/7 Mon-&gt;Wed swap fully vindicated, pressing landed on recovered delts. BW 75.20 second flat day off the -0.65 drop = noise, not a plateau; no kcal change (uni day 2650-2700). Protein: pull to ~160 after three straight high days (227 -&gt; 169 -&gt; 178). PM DATA NOT RECOVERABLE (confirmed 9/11): kcal, protein, Bike km and steps for 9/9 do not exist. Uni day so the bike was 24 km by routine, but it is NOT logged as measured. Not chased, not reconstructed - an invented number is worse than a gap. Wk B fuel/bike compliance is therefore a 5-day week, not 7.</t>
        </is>
      </c>
    </row>
    <row r="39" ht="18" customHeight="1">
      <c r="A39" s="37" t="n">
        <v>46275</v>
      </c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inlineStr">
        <is>
          <t>Wk B Thu - REST (full), as prescribed. The rest day created by the 9/7 double-swap (cali #3 Mon-&gt;Wed, cali #4 Fri-&gt;Sat, Monday's rest spent on the week's shortest run). ZERO runs missed - the revised week never had a Thursday run. Uni day, bike 24 km by routine but unmeasured. AM + PM BLOCKS NOT RECOVERABLE (confirmed by user 9/11): no sleep, BW, RHR, DOMS, shin check, kcal, protein, bike km or steps exist for this day. A full dark day of data on a rest day. NOT reconstructed. Two consequences: (1) the BW series has a hole between 75.20 (9/9) and 76.20 (9/11), so the +1.00 kg jump is measured across 48 h, not 24 - which makes the water/glycogen read MORE likely, not less; (2) the shin-check count loses a day - Thu took none, so Fri 9/11 AM is check #22, not #23. Numbering corrected downstream; the clean streak itself is unbroken, the count is simply one lower than previously stated. Countermeasure is the one this block already named: two-touch logging ON the day.</t>
        </is>
      </c>
    </row>
    <row r="40" ht="18" customHeight="1">
      <c r="A40" s="35" t="n">
        <v>46276</v>
      </c>
      <c r="B40" s="16">
        <f>IF(A40="","",IFERROR(INT((A40-DATE(2026,4,27))/7)+1,""))</f>
        <v/>
      </c>
      <c r="C40" s="36" t="n">
        <v>76.2</v>
      </c>
      <c r="D40" s="36" t="n">
        <v>10</v>
      </c>
      <c r="E40" s="36" t="n"/>
      <c r="F40" s="36" t="n"/>
      <c r="G40" s="36" t="n"/>
      <c r="H40" s="36" t="n"/>
      <c r="I40" s="20" t="inlineStr">
        <is>
          <t>Wk B Fri - run easy 6 k PM (cali #4 sits Sat after the 9/7 swap). AM: sleep 10:00 q10 = longest sleep in the log, RHR 45 (delta +1 vs 7 d, baseline 44, trending down off 46), motivation 10, energy 10, stress 3, tendons clean. SHIN CLEAN check #22 (renumbered: Thu 9/10 took no check). DOMS chest 2 / back 2 / shldr 2 / arm 1 = 48 h off cali #3, the first session carrying the B2 second push-up block, so a mild press+pull bump is the seed working. Zero impact on a run; Sat cali #4 lands at 72 h, clear, no cuts owed. LEGS 1/1/1/1 for the SECOND consecutive morning -&gt; bike trigger stays DISARMED (needs two consecutive mornings at &gt;=2). Bike holds 24 km on uni days; Friday is bike-free regardless. BW 76.20 = +1.00 kg off two flat days at 75.20, and measured across 48 h because 9/10 was not logged. NOT FAT: +1 kg of fat needs +7700 kcal against days that ran ~2400-2700. Water/glycogen/sodium. The block already ran this exact experiment - 75.85 held flat three days under a +937 kcal day, then dropped 0.65 overnight. Same noise band, same answer. NO KCAL CHANGE. 7-day picture 75.85/75.85/75.85/75.20/75.20/(hole)/76.20 = avg 75.69, still inside the 8/31 close +1. MON 9/14 AM MAKES THE TREND CALL, not today. Non-uni day -&gt; ~2400 kcal, protein pull to ~160 (227 -&gt; 169 -&gt; 178 run must stop). Cleanest readiness of the week; nothing to autoregulate, run goes full 6 k. Rules: open ~7:50/km, avg HR 140-145, HARD ceiling 150, metronome 166 matched by SHORTENING STRIDE. This run is Sunday's rehearsal - Tue's 8:01/km produced cadence 163 and the 12 k opens at exactly this pace.</t>
        </is>
      </c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2026-09-11T11:23:01Z</dcterms:modified>
</cp:coreProperties>
</file>