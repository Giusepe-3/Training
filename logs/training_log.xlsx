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>
        <v>46226</v>
      </c>
      <c r="B299" s="22">
        <f>IF(A299="","",IFERROR(INT((A299-DATE(2026,4,27))/7)+1,""))</f>
        <v/>
      </c>
      <c r="C299" s="22" t="inlineStr">
        <is>
          <t>Push</t>
        </is>
      </c>
      <c r="D299" s="23" t="inlineStr">
        <is>
          <t>Standing Chest Press</t>
        </is>
      </c>
      <c r="E299" s="22" t="n">
        <v>1</v>
      </c>
      <c r="F299" s="22" t="n">
        <v>15</v>
      </c>
      <c r="G299" s="38" t="n">
        <v>7.5</v>
      </c>
      <c r="H299" s="22" t="n">
        <v>7</v>
      </c>
      <c r="I299" s="25">
        <f>IF(OR(F299="",G299=""),"",F299*G299)</f>
        <v/>
      </c>
      <c r="J299" s="38">
        <f>IF(OR(F299="",G299=""),"",ROUND(G299*(1+F299/30),1))</f>
        <v/>
      </c>
      <c r="K299" s="26" t="inlineStr">
        <is>
          <t>Push W1 maintenance, 36d layoff off 6/17; loads under seed = expected; shoulder gate clean (weak, no pain)</t>
        </is>
      </c>
    </row>
    <row r="300" ht="18" customHeight="1">
      <c r="A300" s="35" t="n">
        <v>46226</v>
      </c>
      <c r="B300" s="16">
        <f>IF(A300="","",IFERROR(INT((A300-DATE(2026,4,27))/7)+1,""))</f>
        <v/>
      </c>
      <c r="C300" s="16" t="inlineStr">
        <is>
          <t>Push</t>
        </is>
      </c>
      <c r="D300" s="17" t="inlineStr">
        <is>
          <t>Standing Chest Press</t>
        </is>
      </c>
      <c r="E300" s="16" t="n">
        <v>2</v>
      </c>
      <c r="F300" s="16" t="n">
        <v>15</v>
      </c>
      <c r="G300" s="36" t="n">
        <v>5</v>
      </c>
      <c r="H300" s="16" t="n">
        <v>7</v>
      </c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>
        <v>46226</v>
      </c>
      <c r="B301" s="22">
        <f>IF(A301="","",IFERROR(INT((A301-DATE(2026,4,27))/7)+1,""))</f>
        <v/>
      </c>
      <c r="C301" s="22" t="inlineStr">
        <is>
          <t>Push</t>
        </is>
      </c>
      <c r="D301" s="23" t="inlineStr">
        <is>
          <t>Standing Chest Press</t>
        </is>
      </c>
      <c r="E301" s="22" t="n">
        <v>3</v>
      </c>
      <c r="F301" s="22" t="n">
        <v>12</v>
      </c>
      <c r="G301" s="38" t="n">
        <v>5</v>
      </c>
      <c r="H301" s="22" t="n">
        <v>7</v>
      </c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>
        <v>46226</v>
      </c>
      <c r="B302" s="16">
        <f>IF(A302="","",IFERROR(INT((A302-DATE(2026,4,27))/7)+1,""))</f>
        <v/>
      </c>
      <c r="C302" s="16" t="inlineStr">
        <is>
          <t>Push</t>
        </is>
      </c>
      <c r="D302" s="17" t="inlineStr">
        <is>
          <t>Standing Chest Press</t>
        </is>
      </c>
      <c r="E302" s="16" t="n">
        <v>4</v>
      </c>
      <c r="F302" s="16" t="n">
        <v>12</v>
      </c>
      <c r="G302" s="36" t="n">
        <v>5</v>
      </c>
      <c r="H302" s="16" t="n">
        <v>7</v>
      </c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>
        <v>46226</v>
      </c>
      <c r="B303" s="22">
        <f>IF(A303="","",IFERROR(INT((A303-DATE(2026,4,27))/7)+1,""))</f>
        <v/>
      </c>
      <c r="C303" s="22" t="inlineStr">
        <is>
          <t>Push</t>
        </is>
      </c>
      <c r="D303" s="23" t="inlineStr">
        <is>
          <t>DB Shoulder Press</t>
        </is>
      </c>
      <c r="E303" s="22" t="n">
        <v>1</v>
      </c>
      <c r="F303" s="22" t="n">
        <v>10</v>
      </c>
      <c r="G303" s="38" t="n">
        <v>4</v>
      </c>
      <c r="H303" s="22" t="n">
        <v>7</v>
      </c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>
        <v>46226</v>
      </c>
      <c r="B304" s="16">
        <f>IF(A304="","",IFERROR(INT((A304-DATE(2026,4,27))/7)+1,""))</f>
        <v/>
      </c>
      <c r="C304" s="16" t="inlineStr">
        <is>
          <t>Push</t>
        </is>
      </c>
      <c r="D304" s="17" t="inlineStr">
        <is>
          <t>DB Shoulder Press</t>
        </is>
      </c>
      <c r="E304" s="16" t="n">
        <v>2</v>
      </c>
      <c r="F304" s="16" t="n">
        <v>10</v>
      </c>
      <c r="G304" s="36" t="n">
        <v>4</v>
      </c>
      <c r="H304" s="16" t="n">
        <v>7</v>
      </c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>
        <v>46226</v>
      </c>
      <c r="B305" s="22">
        <f>IF(A305="","",IFERROR(INT((A305-DATE(2026,4,27))/7)+1,""))</f>
        <v/>
      </c>
      <c r="C305" s="22" t="inlineStr">
        <is>
          <t>Push</t>
        </is>
      </c>
      <c r="D305" s="23" t="inlineStr">
        <is>
          <t>DB Shoulder Press</t>
        </is>
      </c>
      <c r="E305" s="22" t="n">
        <v>3</v>
      </c>
      <c r="F305" s="22" t="n">
        <v>10</v>
      </c>
      <c r="G305" s="38" t="n">
        <v>4</v>
      </c>
      <c r="H305" s="22" t="n">
        <v>7</v>
      </c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>
        <v>46226</v>
      </c>
      <c r="B306" s="16">
        <f>IF(A306="","",IFERROR(INT((A306-DATE(2026,4,27))/7)+1,""))</f>
        <v/>
      </c>
      <c r="C306" s="16" t="inlineStr">
        <is>
          <t>Push</t>
        </is>
      </c>
      <c r="D306" s="17" t="inlineStr">
        <is>
          <t>Incline DB Press</t>
        </is>
      </c>
      <c r="E306" s="16" t="n">
        <v>1</v>
      </c>
      <c r="F306" s="16" t="n">
        <v>10</v>
      </c>
      <c r="G306" s="36" t="n">
        <v>4</v>
      </c>
      <c r="H306" s="16" t="n">
        <v>7</v>
      </c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>
        <v>46226</v>
      </c>
      <c r="B307" s="22">
        <f>IF(A307="","",IFERROR(INT((A307-DATE(2026,4,27))/7)+1,""))</f>
        <v/>
      </c>
      <c r="C307" s="22" t="inlineStr">
        <is>
          <t>Push</t>
        </is>
      </c>
      <c r="D307" s="23" t="inlineStr">
        <is>
          <t>Incline DB Press</t>
        </is>
      </c>
      <c r="E307" s="22" t="n">
        <v>2</v>
      </c>
      <c r="F307" s="22" t="n">
        <v>10</v>
      </c>
      <c r="G307" s="38" t="n">
        <v>4</v>
      </c>
      <c r="H307" s="22" t="n">
        <v>7</v>
      </c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>
        <v>46226</v>
      </c>
      <c r="B308" s="16">
        <f>IF(A308="","",IFERROR(INT((A308-DATE(2026,4,27))/7)+1,""))</f>
        <v/>
      </c>
      <c r="C308" s="16" t="inlineStr">
        <is>
          <t>Push</t>
        </is>
      </c>
      <c r="D308" s="17" t="inlineStr">
        <is>
          <t>Incline DB Press</t>
        </is>
      </c>
      <c r="E308" s="16" t="n">
        <v>3</v>
      </c>
      <c r="F308" s="16" t="n">
        <v>10</v>
      </c>
      <c r="G308" s="36" t="n">
        <v>4</v>
      </c>
      <c r="H308" s="16" t="n">
        <v>7</v>
      </c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>
        <v>46226</v>
      </c>
      <c r="B309" s="22">
        <f>IF(A309="","",IFERROR(INT((A309-DATE(2026,4,27))/7)+1,""))</f>
        <v/>
      </c>
      <c r="C309" s="22" t="inlineStr">
        <is>
          <t>Push</t>
        </is>
      </c>
      <c r="D309" s="23" t="inlineStr">
        <is>
          <t>Pec Deck</t>
        </is>
      </c>
      <c r="E309" s="22" t="n">
        <v>1</v>
      </c>
      <c r="F309" s="22" t="n">
        <v>9</v>
      </c>
      <c r="G309" s="38" t="n">
        <v>2.5</v>
      </c>
      <c r="H309" s="22" t="n">
        <v>9</v>
      </c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>
        <v>46226</v>
      </c>
      <c r="B310" s="16">
        <f>IF(A310="","",IFERROR(INT((A310-DATE(2026,4,27))/7)+1,""))</f>
        <v/>
      </c>
      <c r="C310" s="16" t="inlineStr">
        <is>
          <t>Push</t>
        </is>
      </c>
      <c r="D310" s="17" t="inlineStr">
        <is>
          <t>Pec Deck</t>
        </is>
      </c>
      <c r="E310" s="16" t="n">
        <v>2</v>
      </c>
      <c r="F310" s="16" t="n">
        <v>6</v>
      </c>
      <c r="G310" s="36" t="n">
        <v>2.5</v>
      </c>
      <c r="H310" s="16" t="n">
        <v>7</v>
      </c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>
        <v>46226</v>
      </c>
      <c r="B311" s="22">
        <f>IF(A311="","",IFERROR(INT((A311-DATE(2026,4,27))/7)+1,""))</f>
        <v/>
      </c>
      <c r="C311" s="22" t="inlineStr">
        <is>
          <t>Push</t>
        </is>
      </c>
      <c r="D311" s="23" t="inlineStr">
        <is>
          <t>Pec Deck</t>
        </is>
      </c>
      <c r="E311" s="22" t="n">
        <v>3</v>
      </c>
      <c r="F311" s="22" t="n">
        <v>4</v>
      </c>
      <c r="G311" s="38" t="n">
        <v>2.5</v>
      </c>
      <c r="H311" s="22" t="n">
        <v>7</v>
      </c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>
        <v>46226</v>
      </c>
      <c r="B312" s="16">
        <f>IF(A312="","",IFERROR(INT((A312-DATE(2026,4,27))/7)+1,""))</f>
        <v/>
      </c>
      <c r="C312" s="16" t="inlineStr">
        <is>
          <t>Push</t>
        </is>
      </c>
      <c r="D312" s="17" t="inlineStr">
        <is>
          <t>Triceps Pushdown</t>
        </is>
      </c>
      <c r="E312" s="16" t="n">
        <v>1</v>
      </c>
      <c r="F312" s="16" t="n">
        <v>10</v>
      </c>
      <c r="G312" s="36" t="n">
        <v>12.5</v>
      </c>
      <c r="H312" s="16" t="n">
        <v>6</v>
      </c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>
        <v>46226</v>
      </c>
      <c r="B313" s="22">
        <f>IF(A313="","",IFERROR(INT((A313-DATE(2026,4,27))/7)+1,""))</f>
        <v/>
      </c>
      <c r="C313" s="22" t="inlineStr">
        <is>
          <t>Push</t>
        </is>
      </c>
      <c r="D313" s="23" t="inlineStr">
        <is>
          <t>Triceps Pushdown</t>
        </is>
      </c>
      <c r="E313" s="22" t="n">
        <v>2</v>
      </c>
      <c r="F313" s="22" t="n">
        <v>11</v>
      </c>
      <c r="G313" s="38" t="n">
        <v>12.5</v>
      </c>
      <c r="H313" s="22" t="n">
        <v>7</v>
      </c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>
        <v>46226</v>
      </c>
      <c r="B314" s="16">
        <f>IF(A314="","",IFERROR(INT((A314-DATE(2026,4,27))/7)+1,""))</f>
        <v/>
      </c>
      <c r="C314" s="16" t="inlineStr">
        <is>
          <t>Push</t>
        </is>
      </c>
      <c r="D314" s="17" t="inlineStr">
        <is>
          <t>Triceps Pushdown</t>
        </is>
      </c>
      <c r="E314" s="16" t="n">
        <v>3</v>
      </c>
      <c r="F314" s="16" t="n">
        <v>10</v>
      </c>
      <c r="G314" s="36" t="n">
        <v>12.5</v>
      </c>
      <c r="H314" s="16" t="n">
        <v>8</v>
      </c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>
        <v>46226</v>
      </c>
      <c r="B315" s="22">
        <f>IF(A315="","",IFERROR(INT((A315-DATE(2026,4,27))/7)+1,""))</f>
        <v/>
      </c>
      <c r="C315" s="22" t="inlineStr">
        <is>
          <t>Push</t>
        </is>
      </c>
      <c r="D315" s="23" t="inlineStr">
        <is>
          <t>DB Lateral Raise</t>
        </is>
      </c>
      <c r="E315" s="22" t="n">
        <v>1</v>
      </c>
      <c r="F315" s="22" t="n">
        <v>12</v>
      </c>
      <c r="G315" s="38" t="n">
        <v>2</v>
      </c>
      <c r="H315" s="22" t="n">
        <v>8</v>
      </c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>
        <v>46226</v>
      </c>
      <c r="B316" s="16">
        <f>IF(A316="","",IFERROR(INT((A316-DATE(2026,4,27))/7)+1,""))</f>
        <v/>
      </c>
      <c r="C316" s="16" t="inlineStr">
        <is>
          <t>Push</t>
        </is>
      </c>
      <c r="D316" s="17" t="inlineStr">
        <is>
          <t>DB Lateral Raise</t>
        </is>
      </c>
      <c r="E316" s="16" t="n">
        <v>2</v>
      </c>
      <c r="F316" s="16" t="n">
        <v>11</v>
      </c>
      <c r="G316" s="36" t="n">
        <v>2</v>
      </c>
      <c r="H316" s="16" t="n">
        <v>7</v>
      </c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>
        <v>46226</v>
      </c>
      <c r="B317" s="22">
        <f>IF(A317="","",IFERROR(INT((A317-DATE(2026,4,27))/7)+1,""))</f>
        <v/>
      </c>
      <c r="C317" s="22" t="inlineStr">
        <is>
          <t>Push</t>
        </is>
      </c>
      <c r="D317" s="23" t="inlineStr">
        <is>
          <t>DB Lateral Raise</t>
        </is>
      </c>
      <c r="E317" s="22" t="n">
        <v>3</v>
      </c>
      <c r="F317" s="22" t="n">
        <v>11</v>
      </c>
      <c r="G317" s="38" t="n">
        <v>2</v>
      </c>
      <c r="H317" s="22" t="n">
        <v>7</v>
      </c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>
        <v>46226</v>
      </c>
      <c r="B318" s="16">
        <f>IF(A318="","",IFERROR(INT((A318-DATE(2026,4,27))/7)+1,""))</f>
        <v/>
      </c>
      <c r="C318" s="16" t="inlineStr">
        <is>
          <t>Push</t>
        </is>
      </c>
      <c r="D318" s="17" t="inlineStr">
        <is>
          <t>Lat Pulldown</t>
        </is>
      </c>
      <c r="E318" s="16" t="n">
        <v>1</v>
      </c>
      <c r="F318" s="16" t="n">
        <v>10</v>
      </c>
      <c r="G318" s="36" t="n">
        <v>30</v>
      </c>
      <c r="H318" s="16" t="n">
        <v>7</v>
      </c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>
        <v>46226</v>
      </c>
      <c r="B319" s="22">
        <f>IF(A319="","",IFERROR(INT((A319-DATE(2026,4,27))/7)+1,""))</f>
        <v/>
      </c>
      <c r="C319" s="22" t="inlineStr">
        <is>
          <t>Push</t>
        </is>
      </c>
      <c r="D319" s="23" t="inlineStr">
        <is>
          <t>Lat Pulldown</t>
        </is>
      </c>
      <c r="E319" s="22" t="n">
        <v>2</v>
      </c>
      <c r="F319" s="22" t="n">
        <v>10</v>
      </c>
      <c r="G319" s="38" t="n">
        <v>30</v>
      </c>
      <c r="H319" s="22" t="n">
        <v>8</v>
      </c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>
        <v>46265</v>
      </c>
      <c r="B320" s="16">
        <f>IF(A320="","",IFERROR(INT((A320-DATE(2026,4,27))/7)+1,""))</f>
        <v/>
      </c>
      <c r="C320" s="16" t="inlineStr">
        <is>
          <t>Cali Full Body</t>
        </is>
      </c>
      <c r="D320" s="17" t="inlineStr">
        <is>
          <t>Push-up (incline 3)</t>
        </is>
      </c>
      <c r="E320" s="16" t="n">
        <v>1</v>
      </c>
      <c r="F320" s="16" t="n">
        <v>12</v>
      </c>
      <c r="G320" s="36" t="n"/>
      <c r="H320" s="16" t="n">
        <v>6</v>
      </c>
      <c r="I320" s="19">
        <f>IF(OR(F320="",G320=""),"",F320*G320)</f>
        <v/>
      </c>
      <c r="J320" s="36">
        <f>IF(OR(F320="",G320=""),"",ROUND(G320*(1+F320/30),1))</f>
        <v/>
      </c>
      <c r="K320" s="20" t="inlineStr">
        <is>
          <t>BW leverage. Gate CLEARED 4x12 @RPE6 -&gt; next rung incline 2, then strict floor. NOT feet-elevated.</t>
        </is>
      </c>
    </row>
    <row r="321" ht="18" customHeight="1">
      <c r="A321" s="37" t="n">
        <v>46265</v>
      </c>
      <c r="B321" s="22">
        <f>IF(A321="","",IFERROR(INT((A321-DATE(2026,4,27))/7)+1,""))</f>
        <v/>
      </c>
      <c r="C321" s="22" t="inlineStr">
        <is>
          <t>Cali Full Body</t>
        </is>
      </c>
      <c r="D321" s="23" t="inlineStr">
        <is>
          <t>Push-up (incline 3)</t>
        </is>
      </c>
      <c r="E321" s="22" t="n">
        <v>2</v>
      </c>
      <c r="F321" s="22" t="n">
        <v>12</v>
      </c>
      <c r="G321" s="38" t="n"/>
      <c r="H321" s="22" t="n">
        <v>6</v>
      </c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>
        <v>46265</v>
      </c>
      <c r="B322" s="16">
        <f>IF(A322="","",IFERROR(INT((A322-DATE(2026,4,27))/7)+1,""))</f>
        <v/>
      </c>
      <c r="C322" s="16" t="inlineStr">
        <is>
          <t>Cali Full Body</t>
        </is>
      </c>
      <c r="D322" s="17" t="inlineStr">
        <is>
          <t>Push-up (incline 3)</t>
        </is>
      </c>
      <c r="E322" s="16" t="n">
        <v>3</v>
      </c>
      <c r="F322" s="16" t="n">
        <v>12</v>
      </c>
      <c r="G322" s="36" t="n"/>
      <c r="H322" s="16" t="n">
        <v>6</v>
      </c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>
        <v>46265</v>
      </c>
      <c r="B323" s="22">
        <f>IF(A323="","",IFERROR(INT((A323-DATE(2026,4,27))/7)+1,""))</f>
        <v/>
      </c>
      <c r="C323" s="22" t="inlineStr">
        <is>
          <t>Cali Full Body</t>
        </is>
      </c>
      <c r="D323" s="23" t="inlineStr">
        <is>
          <t>Push-up (incline 3)</t>
        </is>
      </c>
      <c r="E323" s="22" t="n">
        <v>4</v>
      </c>
      <c r="F323" s="22" t="n">
        <v>12</v>
      </c>
      <c r="G323" s="38" t="n"/>
      <c r="H323" s="22" t="n">
        <v>6</v>
      </c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>
        <v>46265</v>
      </c>
      <c r="B324" s="16">
        <f>IF(A324="","",IFERROR(INT((A324-DATE(2026,4,27))/7)+1,""))</f>
        <v/>
      </c>
      <c r="C324" s="16" t="inlineStr">
        <is>
          <t>Cali Full Body</t>
        </is>
      </c>
      <c r="D324" s="17" t="inlineStr">
        <is>
          <t>Inverted Row (bar 3)</t>
        </is>
      </c>
      <c r="E324" s="16" t="n">
        <v>1</v>
      </c>
      <c r="F324" s="16" t="n">
        <v>11</v>
      </c>
      <c r="G324" s="36" t="n"/>
      <c r="H324" s="16" t="n">
        <v>9</v>
      </c>
      <c r="I324" s="19">
        <f>IF(OR(F324="",G324=""),"",F324*G324)</f>
        <v/>
      </c>
      <c r="J324" s="36">
        <f>IF(OR(F324="",G324=""),"",ROUND(G324*(1+F324/30),1))</f>
        <v/>
      </c>
      <c r="K324" s="20" t="inlineStr">
        <is>
          <t>OVER-LOADED. Rep decay 11-&gt;7 w/ RPE pinned 9 = bar too low. Next: raise bar to setting 4, target RPE 7-8.</t>
        </is>
      </c>
    </row>
    <row r="325" ht="18" customHeight="1">
      <c r="A325" s="37" t="n">
        <v>46265</v>
      </c>
      <c r="B325" s="22">
        <f>IF(A325="","",IFERROR(INT((A325-DATE(2026,4,27))/7)+1,""))</f>
        <v/>
      </c>
      <c r="C325" s="22" t="inlineStr">
        <is>
          <t>Cali Full Body</t>
        </is>
      </c>
      <c r="D325" s="23" t="inlineStr">
        <is>
          <t>Inverted Row (bar 3)</t>
        </is>
      </c>
      <c r="E325" s="22" t="n">
        <v>2</v>
      </c>
      <c r="F325" s="22" t="n">
        <v>10</v>
      </c>
      <c r="G325" s="38" t="n"/>
      <c r="H325" s="22" t="n">
        <v>9</v>
      </c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>
        <v>46265</v>
      </c>
      <c r="B326" s="16">
        <f>IF(A326="","",IFERROR(INT((A326-DATE(2026,4,27))/7)+1,""))</f>
        <v/>
      </c>
      <c r="C326" s="16" t="inlineStr">
        <is>
          <t>Cali Full Body</t>
        </is>
      </c>
      <c r="D326" s="17" t="inlineStr">
        <is>
          <t>Inverted Row (bar 3)</t>
        </is>
      </c>
      <c r="E326" s="16" t="n">
        <v>3</v>
      </c>
      <c r="F326" s="16" t="n">
        <v>8</v>
      </c>
      <c r="G326" s="36" t="n"/>
      <c r="H326" s="16" t="n">
        <v>9</v>
      </c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>
        <v>46265</v>
      </c>
      <c r="B327" s="22">
        <f>IF(A327="","",IFERROR(INT((A327-DATE(2026,4,27))/7)+1,""))</f>
        <v/>
      </c>
      <c r="C327" s="22" t="inlineStr">
        <is>
          <t>Cali Full Body</t>
        </is>
      </c>
      <c r="D327" s="23" t="inlineStr">
        <is>
          <t>Inverted Row (bar 3)</t>
        </is>
      </c>
      <c r="E327" s="22" t="n">
        <v>4</v>
      </c>
      <c r="F327" s="22" t="n">
        <v>7</v>
      </c>
      <c r="G327" s="38" t="n"/>
      <c r="H327" s="22" t="n">
        <v>9</v>
      </c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>
        <v>46265</v>
      </c>
      <c r="B328" s="16">
        <f>IF(A328="","",IFERROR(INT((A328-DATE(2026,4,27))/7)+1,""))</f>
        <v/>
      </c>
      <c r="C328" s="16" t="inlineStr">
        <is>
          <t>Cali Full Body</t>
        </is>
      </c>
      <c r="D328" s="17" t="inlineStr">
        <is>
          <t>Pull-up (low bar, feet-assisted)</t>
        </is>
      </c>
      <c r="E328" s="16" t="n">
        <v>1</v>
      </c>
      <c r="F328" s="16" t="n">
        <v>5</v>
      </c>
      <c r="G328" s="36" t="n"/>
      <c r="H328" s="16" t="n">
        <v>10</v>
      </c>
      <c r="I328" s="19">
        <f>IF(OR(F328="",G328=""),"",F328*G328)</f>
        <v/>
      </c>
      <c r="J328" s="36">
        <f>IF(OR(F328="",G328=""),"",ROUND(G328*(1+F328/30),1))</f>
        <v/>
      </c>
      <c r="K328" s="20" t="inlineStr">
        <is>
          <t>BASELINE ANCHOR: 5 clean reps at low-bar feet-assist. RPE 10 RIR 0 = over-cap, inflated by 4 prior row sets @RPE9. Next: more foot assist -&gt; RPE 8.</t>
        </is>
      </c>
    </row>
    <row r="329" ht="18" customHeight="1">
      <c r="A329" s="37" t="n">
        <v>46265</v>
      </c>
      <c r="B329" s="22">
        <f>IF(A329="","",IFERROR(INT((A329-DATE(2026,4,27))/7)+1,""))</f>
        <v/>
      </c>
      <c r="C329" s="22" t="inlineStr">
        <is>
          <t>Cali Full Body</t>
        </is>
      </c>
      <c r="D329" s="23" t="inlineStr">
        <is>
          <t>Pull-up (low bar, feet-assisted)</t>
        </is>
      </c>
      <c r="E329" s="22" t="n">
        <v>2</v>
      </c>
      <c r="F329" s="22" t="n">
        <v>5</v>
      </c>
      <c r="G329" s="38" t="n"/>
      <c r="H329" s="22" t="n">
        <v>10</v>
      </c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>
        <v>46265</v>
      </c>
      <c r="B330" s="16">
        <f>IF(A330="","",IFERROR(INT((A330-DATE(2026,4,27))/7)+1,""))</f>
        <v/>
      </c>
      <c r="C330" s="16" t="inlineStr">
        <is>
          <t>Cali Full Body</t>
        </is>
      </c>
      <c r="D330" s="17" t="inlineStr">
        <is>
          <t>Pull-up (low bar, feet-assisted)</t>
        </is>
      </c>
      <c r="E330" s="16" t="n">
        <v>3</v>
      </c>
      <c r="F330" s="16" t="n">
        <v>5</v>
      </c>
      <c r="G330" s="36" t="n"/>
      <c r="H330" s="16" t="n">
        <v>10</v>
      </c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>
        <v>46265</v>
      </c>
      <c r="B331" s="22">
        <f>IF(A331="","",IFERROR(INT((A331-DATE(2026,4,27))/7)+1,""))</f>
        <v/>
      </c>
      <c r="C331" s="22" t="inlineStr">
        <is>
          <t>Cali Full Body</t>
        </is>
      </c>
      <c r="D331" s="23" t="inlineStr">
        <is>
          <t>Pike Push-up (high box)</t>
        </is>
      </c>
      <c r="E331" s="22" t="n">
        <v>1</v>
      </c>
      <c r="F331" s="22" t="n">
        <v>7</v>
      </c>
      <c r="G331" s="38" t="n"/>
      <c r="H331" s="22" t="n">
        <v>7</v>
      </c>
      <c r="I331" s="25">
        <f>IF(OR(F331="",G331=""),"",F331*G331)</f>
        <v/>
      </c>
      <c r="J331" s="38">
        <f>IF(OR(F331="",G331=""),"",ROUND(G331*(1+F331/30),1))</f>
        <v/>
      </c>
      <c r="K331" s="26" t="inlineStr">
        <is>
          <t>On target. Hold high box, build 7-&gt;10 reps before lowering.</t>
        </is>
      </c>
    </row>
    <row r="332" ht="18" customHeight="1">
      <c r="A332" s="35" t="n">
        <v>46265</v>
      </c>
      <c r="B332" s="16">
        <f>IF(A332="","",IFERROR(INT((A332-DATE(2026,4,27))/7)+1,""))</f>
        <v/>
      </c>
      <c r="C332" s="16" t="inlineStr">
        <is>
          <t>Cali Full Body</t>
        </is>
      </c>
      <c r="D332" s="17" t="inlineStr">
        <is>
          <t>Pike Push-up (high box)</t>
        </is>
      </c>
      <c r="E332" s="16" t="n">
        <v>2</v>
      </c>
      <c r="F332" s="16" t="n">
        <v>7</v>
      </c>
      <c r="G332" s="36" t="n"/>
      <c r="H332" s="16" t="n">
        <v>7</v>
      </c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>
        <v>46265</v>
      </c>
      <c r="B333" s="22">
        <f>IF(A333="","",IFERROR(INT((A333-DATE(2026,4,27))/7)+1,""))</f>
        <v/>
      </c>
      <c r="C333" s="22" t="inlineStr">
        <is>
          <t>Cali Full Body</t>
        </is>
      </c>
      <c r="D333" s="23" t="inlineStr">
        <is>
          <t>Pike Push-up (high box)</t>
        </is>
      </c>
      <c r="E333" s="22" t="n">
        <v>3</v>
      </c>
      <c r="F333" s="22" t="n">
        <v>7</v>
      </c>
      <c r="G333" s="38" t="n"/>
      <c r="H333" s="22" t="n">
        <v>7</v>
      </c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>
        <v>46265</v>
      </c>
      <c r="B334" s="16">
        <f>IF(A334="","",IFERROR(INT((A334-DATE(2026,4,27))/7)+1,""))</f>
        <v/>
      </c>
      <c r="C334" s="16" t="inlineStr">
        <is>
          <t>Cali Full Body</t>
        </is>
      </c>
      <c r="D334" s="17" t="inlineStr">
        <is>
          <t>Bulgarian Split Squat (BW)</t>
        </is>
      </c>
      <c r="E334" s="16" t="n">
        <v>1</v>
      </c>
      <c r="F334" s="16" t="n">
        <v>6</v>
      </c>
      <c r="G334" s="36" t="n"/>
      <c r="H334" s="16" t="n">
        <v>5</v>
      </c>
      <c r="I334" s="19">
        <f>IF(OR(F334="",G334=""),"",F334*G334)</f>
        <v/>
      </c>
      <c r="J334" s="36">
        <f>IF(OR(F334="",G334=""),"",ROUND(G334*(1+F334/30),1))</f>
        <v/>
      </c>
      <c r="K334" s="20" t="inlineStr">
        <is>
          <t>reps per leg. LEGS RPE 6 HARD CAP respected — stopped short of 10/leg deliberately. Correct execution, not a miss.</t>
        </is>
      </c>
    </row>
    <row r="335" ht="18" customHeight="1">
      <c r="A335" s="37" t="n">
        <v>46265</v>
      </c>
      <c r="B335" s="22">
        <f>IF(A335="","",IFERROR(INT((A335-DATE(2026,4,27))/7)+1,""))</f>
        <v/>
      </c>
      <c r="C335" s="22" t="inlineStr">
        <is>
          <t>Cali Full Body</t>
        </is>
      </c>
      <c r="D335" s="23" t="inlineStr">
        <is>
          <t>Bulgarian Split Squat (BW)</t>
        </is>
      </c>
      <c r="E335" s="22" t="n">
        <v>2</v>
      </c>
      <c r="F335" s="22" t="n">
        <v>7</v>
      </c>
      <c r="G335" s="38" t="n"/>
      <c r="H335" s="22" t="n">
        <v>6</v>
      </c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>
        <v>46265</v>
      </c>
      <c r="B336" s="16">
        <f>IF(A336="","",IFERROR(INT((A336-DATE(2026,4,27))/7)+1,""))</f>
        <v/>
      </c>
      <c r="C336" s="16" t="inlineStr">
        <is>
          <t>Cali Full Body</t>
        </is>
      </c>
      <c r="D336" s="17" t="inlineStr">
        <is>
          <t>Bulgarian Split Squat (BW)</t>
        </is>
      </c>
      <c r="E336" s="16" t="n">
        <v>3</v>
      </c>
      <c r="F336" s="16" t="n">
        <v>7</v>
      </c>
      <c r="G336" s="36" t="n"/>
      <c r="H336" s="16" t="n">
        <v>6</v>
      </c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>
        <v>46265</v>
      </c>
      <c r="B337" s="22">
        <f>IF(A337="","",IFERROR(INT((A337-DATE(2026,4,27))/7)+1,""))</f>
        <v/>
      </c>
      <c r="C337" s="22" t="inlineStr">
        <is>
          <t>Cali Full Body</t>
        </is>
      </c>
      <c r="D337" s="23" t="inlineStr">
        <is>
          <t>Single-Leg RDL (BW)</t>
        </is>
      </c>
      <c r="E337" s="22" t="n">
        <v>1</v>
      </c>
      <c r="F337" s="22" t="n">
        <v>8</v>
      </c>
      <c r="G337" s="38" t="n"/>
      <c r="H337" s="22" t="n">
        <v>6</v>
      </c>
      <c r="I337" s="25">
        <f>IF(OR(F337="",G337=""),"",F337*G337)</f>
        <v/>
      </c>
      <c r="J337" s="38">
        <f>IF(OR(F337="",G337=""),"",ROUND(G337*(1+F337/30),1))</f>
        <v/>
      </c>
      <c r="K337" s="26" t="inlineStr">
        <is>
          <t>reps per leg. RPE 6 cap respected. Hold BW.</t>
        </is>
      </c>
    </row>
    <row r="338" ht="18" customHeight="1">
      <c r="A338" s="35" t="n">
        <v>46265</v>
      </c>
      <c r="B338" s="16">
        <f>IF(A338="","",IFERROR(INT((A338-DATE(2026,4,27))/7)+1,""))</f>
        <v/>
      </c>
      <c r="C338" s="16" t="inlineStr">
        <is>
          <t>Cali Full Body</t>
        </is>
      </c>
      <c r="D338" s="17" t="inlineStr">
        <is>
          <t>Single-Leg RDL (BW)</t>
        </is>
      </c>
      <c r="E338" s="16" t="n">
        <v>2</v>
      </c>
      <c r="F338" s="16" t="n">
        <v>7</v>
      </c>
      <c r="G338" s="36" t="n"/>
      <c r="H338" s="16" t="n">
        <v>6</v>
      </c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>
        <v>46265</v>
      </c>
      <c r="B339" s="22">
        <f>IF(A339="","",IFERROR(INT((A339-DATE(2026,4,27))/7)+1,""))</f>
        <v/>
      </c>
      <c r="C339" s="22" t="inlineStr">
        <is>
          <t>Cali Full Body</t>
        </is>
      </c>
      <c r="D339" s="23" t="inlineStr">
        <is>
          <t>Single-Leg RDL (BW)</t>
        </is>
      </c>
      <c r="E339" s="22" t="n">
        <v>3</v>
      </c>
      <c r="F339" s="22" t="n">
        <v>7</v>
      </c>
      <c r="G339" s="38" t="n"/>
      <c r="H339" s="22" t="n">
        <v>6</v>
      </c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>
        <v>46265</v>
      </c>
      <c r="B340" s="16">
        <f>IF(A340="","",IFERROR(INT((A340-DATE(2026,4,27))/7)+1,""))</f>
        <v/>
      </c>
      <c r="C340" s="16" t="inlineStr">
        <is>
          <t>Cali Full Body</t>
        </is>
      </c>
      <c r="D340" s="17" t="inlineStr">
        <is>
          <t>Tibialis Raise (BW)</t>
        </is>
      </c>
      <c r="E340" s="16" t="n">
        <v>1</v>
      </c>
      <c r="F340" s="16" t="n">
        <v>20</v>
      </c>
      <c r="G340" s="36" t="n"/>
      <c r="H340" s="16" t="n">
        <v>8</v>
      </c>
      <c r="I340" s="19">
        <f>IF(OR(F340="",G340=""),"",F340*G340)</f>
        <v/>
      </c>
      <c r="J340" s="36">
        <f>IF(OR(F340="",G340=""),"",ROUND(G340*(1+F340/30),1))</f>
        <v/>
      </c>
      <c r="K340" s="20" t="inlineStr">
        <is>
          <t>MANDATORY. Anterior tib untrained: RPE 8 set 1 + decay 20-&gt;15. Hold BW 3x20 no load until all sets 20 @RPE&lt;=7.</t>
        </is>
      </c>
    </row>
    <row r="341" ht="18" customHeight="1">
      <c r="A341" s="37" t="n">
        <v>46265</v>
      </c>
      <c r="B341" s="22">
        <f>IF(A341="","",IFERROR(INT((A341-DATE(2026,4,27))/7)+1,""))</f>
        <v/>
      </c>
      <c r="C341" s="22" t="inlineStr">
        <is>
          <t>Cali Full Body</t>
        </is>
      </c>
      <c r="D341" s="23" t="inlineStr">
        <is>
          <t>Tibialis Raise (BW)</t>
        </is>
      </c>
      <c r="E341" s="22" t="n">
        <v>2</v>
      </c>
      <c r="F341" s="22" t="n">
        <v>15</v>
      </c>
      <c r="G341" s="38" t="n"/>
      <c r="H341" s="22" t="n">
        <v>7</v>
      </c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>
        <v>46265</v>
      </c>
      <c r="B342" s="16">
        <f>IF(A342="","",IFERROR(INT((A342-DATE(2026,4,27))/7)+1,""))</f>
        <v/>
      </c>
      <c r="C342" s="16" t="inlineStr">
        <is>
          <t>Cali Full Body</t>
        </is>
      </c>
      <c r="D342" s="17" t="inlineStr">
        <is>
          <t>Tibialis Raise (BW)</t>
        </is>
      </c>
      <c r="E342" s="16" t="n">
        <v>3</v>
      </c>
      <c r="F342" s="16" t="n">
        <v>15</v>
      </c>
      <c r="G342" s="36" t="n"/>
      <c r="H342" s="16" t="n">
        <v>7</v>
      </c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>
        <v>46265</v>
      </c>
      <c r="B343" s="22">
        <f>IF(A343="","",IFERROR(INT((A343-DATE(2026,4,27))/7)+1,""))</f>
        <v/>
      </c>
      <c r="C343" s="22" t="inlineStr">
        <is>
          <t>Cali Full Body</t>
        </is>
      </c>
      <c r="D343" s="23" t="inlineStr">
        <is>
          <t>Hanging Knee Raise (BW)</t>
        </is>
      </c>
      <c r="E343" s="22" t="n">
        <v>1</v>
      </c>
      <c r="F343" s="22" t="n">
        <v>8</v>
      </c>
      <c r="G343" s="38" t="n"/>
      <c r="H343" s="22" t="n">
        <v>7</v>
      </c>
      <c r="I343" s="25">
        <f>IF(OR(F343="",G343=""),"",F343*G343)</f>
        <v/>
      </c>
      <c r="J343" s="38">
        <f>IF(OR(F343="",G343=""),"",ROUND(G343*(1+F343/30),1))</f>
        <v/>
      </c>
      <c r="K343" s="26" t="inlineStr">
        <is>
          <t>Bottom of range. Hold, build 8-&gt;12.</t>
        </is>
      </c>
    </row>
    <row r="344" ht="18" customHeight="1">
      <c r="A344" s="35" t="n">
        <v>46265</v>
      </c>
      <c r="B344" s="16">
        <f>IF(A344="","",IFERROR(INT((A344-DATE(2026,4,27))/7)+1,""))</f>
        <v/>
      </c>
      <c r="C344" s="16" t="inlineStr">
        <is>
          <t>Cali Full Body</t>
        </is>
      </c>
      <c r="D344" s="17" t="inlineStr">
        <is>
          <t>Hanging Knee Raise (BW)</t>
        </is>
      </c>
      <c r="E344" s="16" t="n">
        <v>2</v>
      </c>
      <c r="F344" s="16" t="n">
        <v>8</v>
      </c>
      <c r="G344" s="36" t="n"/>
      <c r="H344" s="16" t="n">
        <v>7</v>
      </c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>
        <v>46265</v>
      </c>
      <c r="B345" s="22">
        <f>IF(A345="","",IFERROR(INT((A345-DATE(2026,4,27))/7)+1,""))</f>
        <v/>
      </c>
      <c r="C345" s="22" t="inlineStr">
        <is>
          <t>Cali Full Body</t>
        </is>
      </c>
      <c r="D345" s="23" t="inlineStr">
        <is>
          <t>Hanging Knee Raise (BW)</t>
        </is>
      </c>
      <c r="E345" s="22" t="n">
        <v>3</v>
      </c>
      <c r="F345" s="22" t="n">
        <v>8</v>
      </c>
      <c r="G345" s="38" t="n"/>
      <c r="H345" s="22" t="n">
        <v>7</v>
      </c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>
        <v>46265</v>
      </c>
      <c r="B346" s="16">
        <f>IF(A346="","",IFERROR(INT((A346-DATE(2026,4,27))/7)+1,""))</f>
        <v/>
      </c>
      <c r="C346" s="16" t="inlineStr">
        <is>
          <t>Cali Full Body</t>
        </is>
      </c>
      <c r="D346" s="17" t="inlineStr">
        <is>
          <t>Side Plank (BW)</t>
        </is>
      </c>
      <c r="E346" s="16" t="n">
        <v>1</v>
      </c>
      <c r="F346" s="16" t="n">
        <v>30</v>
      </c>
      <c r="G346" s="36" t="n"/>
      <c r="H346" s="16" t="n">
        <v>8</v>
      </c>
      <c r="I346" s="19">
        <f>IF(OR(F346="",G346=""),"",F346*G346)</f>
        <v/>
      </c>
      <c r="J346" s="36">
        <f>IF(OR(F346="",G346=""),"",ROUND(G346*(1+F346/30),1))</f>
        <v/>
      </c>
      <c r="K346" s="20" t="inlineStr">
        <is>
          <t>reps col = seconds PER SIDE. RPE 8 @30s = weak lateral hip. Hold 2x30s until RPE&lt;=7 then 2x45s.</t>
        </is>
      </c>
    </row>
    <row r="347" ht="18" customHeight="1">
      <c r="A347" s="37" t="n">
        <v>46265</v>
      </c>
      <c r="B347" s="22">
        <f>IF(A347="","",IFERROR(INT((A347-DATE(2026,4,27))/7)+1,""))</f>
        <v/>
      </c>
      <c r="C347" s="22" t="inlineStr">
        <is>
          <t>Cali Full Body</t>
        </is>
      </c>
      <c r="D347" s="23" t="inlineStr">
        <is>
          <t>Side Plank (BW)</t>
        </is>
      </c>
      <c r="E347" s="22" t="n">
        <v>2</v>
      </c>
      <c r="F347" s="22" t="n">
        <v>30</v>
      </c>
      <c r="G347" s="38" t="n"/>
      <c r="H347" s="22" t="n">
        <v>8</v>
      </c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>
        <v>46270</v>
      </c>
      <c r="B348" s="16">
        <f>IF(A348="","",IFERROR(INT((A348-DATE(2026,4,27))/7)+1,""))</f>
        <v/>
      </c>
      <c r="C348" s="16" t="inlineStr">
        <is>
          <t>Cali Full Body</t>
        </is>
      </c>
      <c r="D348" s="17" t="inlineStr">
        <is>
          <t>Push-up (incline)</t>
        </is>
      </c>
      <c r="E348" s="16" t="n">
        <v>1</v>
      </c>
      <c r="F348" s="16" t="n">
        <v>8</v>
      </c>
      <c r="G348" s="36" t="n"/>
      <c r="H348" s="16" t="n">
        <v>8</v>
      </c>
      <c r="I348" s="19">
        <f>IF(OR(F348="",G348=""),"",F348*G348)</f>
        <v/>
      </c>
      <c r="J348" s="36">
        <f>IF(OR(F348="",G348=""),"",ROUND(G348*(1+F348/30),1))</f>
        <v/>
      </c>
      <c r="K348" s="20" t="inlineStr">
        <is>
          <t>SESSION 2 — the push/pull fix. Setting 3-&gt;2 (one rung, earned by 4x12 @RPE6). Setting 2 proved ONE RUNG TOO FAR: 8@8 then 6@9 = rep decay + over-cap. Self-regressed to setting 3 for S3/S4 = CORRECT autoregulation, not a miss. Next: 2 sets @setting 2 + 2 sets @setting 3.</t>
        </is>
      </c>
    </row>
    <row r="349" ht="18" customHeight="1">
      <c r="A349" s="37" t="n">
        <v>46270</v>
      </c>
      <c r="B349" s="22">
        <f>IF(A349="","",IFERROR(INT((A349-DATE(2026,4,27))/7)+1,""))</f>
        <v/>
      </c>
      <c r="C349" s="22" t="inlineStr">
        <is>
          <t>Cali Full Body</t>
        </is>
      </c>
      <c r="D349" s="23" t="inlineStr">
        <is>
          <t>Push-up (incline)</t>
        </is>
      </c>
      <c r="E349" s="22" t="n">
        <v>2</v>
      </c>
      <c r="F349" s="22" t="n">
        <v>6</v>
      </c>
      <c r="G349" s="38" t="n"/>
      <c r="H349" s="22" t="n">
        <v>9</v>
      </c>
      <c r="I349" s="25">
        <f>IF(OR(F349="",G349=""),"",F349*G349)</f>
        <v/>
      </c>
      <c r="J349" s="38">
        <f>IF(OR(F349="",G349=""),"",ROUND(G349*(1+F349/30),1))</f>
        <v/>
      </c>
      <c r="K349" s="26" t="inlineStr">
        <is>
          <t>setting 2 — over-cap, bail point</t>
        </is>
      </c>
    </row>
    <row r="350" ht="18" customHeight="1">
      <c r="A350" s="35" t="n">
        <v>46270</v>
      </c>
      <c r="B350" s="16">
        <f>IF(A350="","",IFERROR(INT((A350-DATE(2026,4,27))/7)+1,""))</f>
        <v/>
      </c>
      <c r="C350" s="16" t="inlineStr">
        <is>
          <t>Cali Full Body</t>
        </is>
      </c>
      <c r="D350" s="17" t="inlineStr">
        <is>
          <t>Push-up (incline)</t>
        </is>
      </c>
      <c r="E350" s="16" t="n">
        <v>3</v>
      </c>
      <c r="F350" s="16" t="n">
        <v>12</v>
      </c>
      <c r="G350" s="36" t="n"/>
      <c r="H350" s="16" t="n">
        <v>7</v>
      </c>
      <c r="I350" s="19">
        <f>IF(OR(F350="",G350=""),"",F350*G350)</f>
        <v/>
      </c>
      <c r="J350" s="36">
        <f>IF(OR(F350="",G350=""),"",ROUND(G350*(1+F350/30),1))</f>
        <v/>
      </c>
      <c r="K350" s="20" t="inlineStr">
        <is>
          <t>setting 3 (regressed back)</t>
        </is>
      </c>
    </row>
    <row r="351" ht="18" customHeight="1">
      <c r="A351" s="37" t="n">
        <v>46270</v>
      </c>
      <c r="B351" s="22">
        <f>IF(A351="","",IFERROR(INT((A351-DATE(2026,4,27))/7)+1,""))</f>
        <v/>
      </c>
      <c r="C351" s="22" t="inlineStr">
        <is>
          <t>Cali Full Body</t>
        </is>
      </c>
      <c r="D351" s="23" t="inlineStr">
        <is>
          <t>Push-up (incline)</t>
        </is>
      </c>
      <c r="E351" s="22" t="n">
        <v>4</v>
      </c>
      <c r="F351" s="22" t="n">
        <v>12</v>
      </c>
      <c r="G351" s="38" t="n"/>
      <c r="H351" s="22" t="n">
        <v>8</v>
      </c>
      <c r="I351" s="25">
        <f>IF(OR(F351="",G351=""),"",F351*G351)</f>
        <v/>
      </c>
      <c r="J351" s="38">
        <f>IF(OR(F351="",G351=""),"",ROUND(G351*(1+F351/30),1))</f>
        <v/>
      </c>
      <c r="K351" s="26" t="inlineStr">
        <is>
          <t>setting 3</t>
        </is>
      </c>
    </row>
    <row r="352" ht="18" customHeight="1">
      <c r="A352" s="35" t="n">
        <v>46270</v>
      </c>
      <c r="B352" s="16">
        <f>IF(A352="","",IFERROR(INT((A352-DATE(2026,4,27))/7)+1,""))</f>
        <v/>
      </c>
      <c r="C352" s="16" t="inlineStr">
        <is>
          <t>Cali Full Body</t>
        </is>
      </c>
      <c r="D352" s="17" t="inlineStr">
        <is>
          <t>Inverted Row</t>
        </is>
      </c>
      <c r="E352" s="16" t="n">
        <v>1</v>
      </c>
      <c r="F352" s="16" t="n">
        <v>8</v>
      </c>
      <c r="G352" s="36" t="n"/>
      <c r="H352" s="16" t="n">
        <v>7</v>
      </c>
      <c r="I352" s="19">
        <f>IF(OR(F352="",G352=""),"",F352*G352)</f>
        <v/>
      </c>
      <c r="J352" s="36">
        <f>IF(OR(F352="",G352=""),"",ROUND(G352*(1+F352/30),1))</f>
        <v/>
      </c>
      <c r="K352" s="20" t="inlineStr">
        <is>
          <t>HELD setting 3 (prescription said setting 4/higher). Outcome still good: 8/8/8/8 ZERO rep decay vs 11-10-8-7 @flat RPE9 on 8/31. LESSON: capping reps at 8 fixed the decay, not bar height. S4 @RPE9 still one over. Hold setting 3 4x8 until all four &lt;=8, then reps 8-&gt;12.</t>
        </is>
      </c>
    </row>
    <row r="353" ht="18" customHeight="1">
      <c r="A353" s="37" t="n">
        <v>46270</v>
      </c>
      <c r="B353" s="22">
        <f>IF(A353="","",IFERROR(INT((A353-DATE(2026,4,27))/7)+1,""))</f>
        <v/>
      </c>
      <c r="C353" s="22" t="inlineStr">
        <is>
          <t>Cali Full Body</t>
        </is>
      </c>
      <c r="D353" s="23" t="inlineStr">
        <is>
          <t>Inverted Row</t>
        </is>
      </c>
      <c r="E353" s="22" t="n">
        <v>2</v>
      </c>
      <c r="F353" s="22" t="n">
        <v>8</v>
      </c>
      <c r="G353" s="38" t="n"/>
      <c r="H353" s="22" t="n">
        <v>8</v>
      </c>
      <c r="I353" s="25">
        <f>IF(OR(F353="",G353=""),"",F353*G353)</f>
        <v/>
      </c>
      <c r="J353" s="38">
        <f>IF(OR(F353="",G353=""),"",ROUND(G353*(1+F353/30),1))</f>
        <v/>
      </c>
      <c r="K353" s="26" t="inlineStr">
        <is>
          <t>setting 3</t>
        </is>
      </c>
    </row>
    <row r="354" ht="18" customHeight="1">
      <c r="A354" s="35" t="n">
        <v>46270</v>
      </c>
      <c r="B354" s="16">
        <f>IF(A354="","",IFERROR(INT((A354-DATE(2026,4,27))/7)+1,""))</f>
        <v/>
      </c>
      <c r="C354" s="16" t="inlineStr">
        <is>
          <t>Cali Full Body</t>
        </is>
      </c>
      <c r="D354" s="17" t="inlineStr">
        <is>
          <t>Inverted Row</t>
        </is>
      </c>
      <c r="E354" s="16" t="n">
        <v>3</v>
      </c>
      <c r="F354" s="16" t="n">
        <v>8</v>
      </c>
      <c r="G354" s="36" t="n"/>
      <c r="H354" s="16" t="n">
        <v>8</v>
      </c>
      <c r="I354" s="19">
        <f>IF(OR(F354="",G354=""),"",F354*G354)</f>
        <v/>
      </c>
      <c r="J354" s="36">
        <f>IF(OR(F354="",G354=""),"",ROUND(G354*(1+F354/30),1))</f>
        <v/>
      </c>
      <c r="K354" s="20" t="inlineStr">
        <is>
          <t>setting 3</t>
        </is>
      </c>
    </row>
    <row r="355" ht="18" customHeight="1">
      <c r="A355" s="37" t="n">
        <v>46270</v>
      </c>
      <c r="B355" s="22">
        <f>IF(A355="","",IFERROR(INT((A355-DATE(2026,4,27))/7)+1,""))</f>
        <v/>
      </c>
      <c r="C355" s="22" t="inlineStr">
        <is>
          <t>Cali Full Body</t>
        </is>
      </c>
      <c r="D355" s="23" t="inlineStr">
        <is>
          <t>Inverted Row</t>
        </is>
      </c>
      <c r="E355" s="22" t="n">
        <v>4</v>
      </c>
      <c r="F355" s="22" t="n">
        <v>8</v>
      </c>
      <c r="G355" s="38" t="n"/>
      <c r="H355" s="22" t="n">
        <v>9</v>
      </c>
      <c r="I355" s="25">
        <f>IF(OR(F355="",G355=""),"",F355*G355)</f>
        <v/>
      </c>
      <c r="J355" s="38">
        <f>IF(OR(F355="",G355=""),"",ROUND(G355*(1+F355/30),1))</f>
        <v/>
      </c>
      <c r="K355" s="26" t="inlineStr">
        <is>
          <t>setting 3 — one over target</t>
        </is>
      </c>
    </row>
    <row r="356" ht="18" customHeight="1">
      <c r="A356" s="35" t="n">
        <v>46270</v>
      </c>
      <c r="B356" s="16">
        <f>IF(A356="","",IFERROR(INT((A356-DATE(2026,4,27))/7)+1,""))</f>
        <v/>
      </c>
      <c r="C356" s="16" t="inlineStr">
        <is>
          <t>Cali Full Body</t>
        </is>
      </c>
      <c r="D356" s="17" t="inlineStr">
        <is>
          <t>Pull-up (low bar, feet-assisted)</t>
        </is>
      </c>
      <c r="E356" s="16" t="n">
        <v>1</v>
      </c>
      <c r="F356" s="16" t="n">
        <v>5</v>
      </c>
      <c r="G356" s="36" t="n"/>
      <c r="H356" s="16" t="n">
        <v>8</v>
      </c>
      <c r="I356" s="19">
        <f>IF(OR(F356="",G356=""),"",F356*G356)</f>
        <v/>
      </c>
      <c r="J356" s="36">
        <f>IF(OR(F356="",G356=""),"",ROUND(G356*(1+F356/30),1))</f>
        <v/>
      </c>
      <c r="K356" s="20" t="inlineStr">
        <is>
          <t>FOOT ASSIST WORKED: RPE 10/10/10 on 8/31 -&gt; 8/9/9 at same 5 reps. One more notch of assist to land all three at 8. Anchor stays 3x5. NO leverage progression until 3x5 @RPE&lt;=7.</t>
        </is>
      </c>
    </row>
    <row r="357" ht="18" customHeight="1">
      <c r="A357" s="37" t="n">
        <v>46270</v>
      </c>
      <c r="B357" s="22">
        <f>IF(A357="","",IFERROR(INT((A357-DATE(2026,4,27))/7)+1,""))</f>
        <v/>
      </c>
      <c r="C357" s="22" t="inlineStr">
        <is>
          <t>Cali Full Body</t>
        </is>
      </c>
      <c r="D357" s="23" t="inlineStr">
        <is>
          <t>Pull-up (low bar, feet-assisted)</t>
        </is>
      </c>
      <c r="E357" s="22" t="n">
        <v>2</v>
      </c>
      <c r="F357" s="22" t="n">
        <v>5</v>
      </c>
      <c r="G357" s="38" t="n"/>
      <c r="H357" s="22" t="n">
        <v>9</v>
      </c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>
        <v>46270</v>
      </c>
      <c r="B358" s="16">
        <f>IF(A358="","",IFERROR(INT((A358-DATE(2026,4,27))/7)+1,""))</f>
        <v/>
      </c>
      <c r="C358" s="16" t="inlineStr">
        <is>
          <t>Cali Full Body</t>
        </is>
      </c>
      <c r="D358" s="17" t="inlineStr">
        <is>
          <t>Pull-up (low bar, feet-assisted)</t>
        </is>
      </c>
      <c r="E358" s="16" t="n">
        <v>3</v>
      </c>
      <c r="F358" s="16" t="n">
        <v>5</v>
      </c>
      <c r="G358" s="36" t="n"/>
      <c r="H358" s="16" t="n">
        <v>9</v>
      </c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>
        <v>46270</v>
      </c>
      <c r="B359" s="22">
        <f>IF(A359="","",IFERROR(INT((A359-DATE(2026,4,27))/7)+1,""))</f>
        <v/>
      </c>
      <c r="C359" s="22" t="inlineStr">
        <is>
          <t>Cali Full Body</t>
        </is>
      </c>
      <c r="D359" s="23" t="inlineStr">
        <is>
          <t>Pike Push-up</t>
        </is>
      </c>
      <c r="E359" s="22" t="n">
        <v>1</v>
      </c>
      <c r="F359" s="22" t="n">
        <v>6</v>
      </c>
      <c r="G359" s="38" t="n"/>
      <c r="H359" s="22" t="n">
        <v>8</v>
      </c>
      <c r="I359" s="25">
        <f>IF(OR(F359="",G359=""),"",F359*G359)</f>
        <v/>
      </c>
      <c r="J359" s="38">
        <f>IF(OR(F359="",G359=""),"",ROUND(G359*(1+F359/30),1))</f>
        <v/>
      </c>
      <c r="K359" s="26" t="inlineStr">
        <is>
          <t>High box held. 7@RPE7 -&gt; 6@RPE8 = REGRESSED from upstream fatigue (harder push-up + pull work came first), not detraining. Hold high box, rebuild 6-&gt;10.</t>
        </is>
      </c>
    </row>
    <row r="360" ht="18" customHeight="1">
      <c r="A360" s="35" t="n">
        <v>46270</v>
      </c>
      <c r="B360" s="16">
        <f>IF(A360="","",IFERROR(INT((A360-DATE(2026,4,27))/7)+1,""))</f>
        <v/>
      </c>
      <c r="C360" s="16" t="inlineStr">
        <is>
          <t>Cali Full Body</t>
        </is>
      </c>
      <c r="D360" s="17" t="inlineStr">
        <is>
          <t>Pike Push-up</t>
        </is>
      </c>
      <c r="E360" s="16" t="n">
        <v>2</v>
      </c>
      <c r="F360" s="16" t="n">
        <v>6</v>
      </c>
      <c r="G360" s="36" t="n"/>
      <c r="H360" s="16" t="n">
        <v>8</v>
      </c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>
        <v>46270</v>
      </c>
      <c r="B361" s="22">
        <f>IF(A361="","",IFERROR(INT((A361-DATE(2026,4,27))/7)+1,""))</f>
        <v/>
      </c>
      <c r="C361" s="22" t="inlineStr">
        <is>
          <t>Cali Full Body</t>
        </is>
      </c>
      <c r="D361" s="23" t="inlineStr">
        <is>
          <t>Pike Push-up</t>
        </is>
      </c>
      <c r="E361" s="22" t="n">
        <v>3</v>
      </c>
      <c r="F361" s="22" t="n">
        <v>6</v>
      </c>
      <c r="G361" s="38" t="n"/>
      <c r="H361" s="22" t="n">
        <v>8</v>
      </c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>
        <v>46270</v>
      </c>
      <c r="B362" s="16">
        <f>IF(A362="","",IFERROR(INT((A362-DATE(2026,4,27))/7)+1,""))</f>
        <v/>
      </c>
      <c r="C362" s="16" t="inlineStr">
        <is>
          <t>Cali Full Body</t>
        </is>
      </c>
      <c r="D362" s="17" t="inlineStr">
        <is>
          <t>Bulgarian Split Squat (BW)</t>
        </is>
      </c>
      <c r="E362" s="16" t="n">
        <v>1</v>
      </c>
      <c r="F362" s="16" t="n">
        <v>10</v>
      </c>
      <c r="G362" s="36" t="n"/>
      <c r="H362" s="16" t="n">
        <v>6</v>
      </c>
      <c r="I362" s="19">
        <f>IF(OR(F362="",G362=""),"",F362*G362)</f>
        <v/>
      </c>
      <c r="J362" s="36">
        <f>IF(OR(F362="",G362=""),"",ROUND(G362*(1+F362/30),1))</f>
        <v/>
      </c>
      <c r="K362" s="20" t="inlineStr">
        <is>
          <t>reps col = per leg. LEGS RPE 6 HARD-HARD CAP RESPECTED (24h before Sun 10k long, not 48h). Reps ROSE at identical cap: 6-7/leg on 8/31 -&gt; 10/10/7 = leg endurance improving, cap is not costing adaptation. Minor: Sat rule said stop 2 SHORT of 6, sat on 6; BW-only at RPE6 is low absolute load, not a threat to Sunday.</t>
        </is>
      </c>
    </row>
    <row r="363" ht="18" customHeight="1">
      <c r="A363" s="37" t="n">
        <v>46270</v>
      </c>
      <c r="B363" s="22">
        <f>IF(A363="","",IFERROR(INT((A363-DATE(2026,4,27))/7)+1,""))</f>
        <v/>
      </c>
      <c r="C363" s="22" t="inlineStr">
        <is>
          <t>Cali Full Body</t>
        </is>
      </c>
      <c r="D363" s="23" t="inlineStr">
        <is>
          <t>Bulgarian Split Squat (BW)</t>
        </is>
      </c>
      <c r="E363" s="22" t="n">
        <v>2</v>
      </c>
      <c r="F363" s="22" t="n">
        <v>10</v>
      </c>
      <c r="G363" s="38" t="n"/>
      <c r="H363" s="22" t="n">
        <v>6</v>
      </c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>
        <v>46270</v>
      </c>
      <c r="B364" s="16">
        <f>IF(A364="","",IFERROR(INT((A364-DATE(2026,4,27))/7)+1,""))</f>
        <v/>
      </c>
      <c r="C364" s="16" t="inlineStr">
        <is>
          <t>Cali Full Body</t>
        </is>
      </c>
      <c r="D364" s="17" t="inlineStr">
        <is>
          <t>Bulgarian Split Squat (BW)</t>
        </is>
      </c>
      <c r="E364" s="16" t="n">
        <v>3</v>
      </c>
      <c r="F364" s="16" t="n">
        <v>7</v>
      </c>
      <c r="G364" s="36" t="n"/>
      <c r="H364" s="16" t="n">
        <v>6</v>
      </c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>
        <v>46270</v>
      </c>
      <c r="B365" s="22">
        <f>IF(A365="","",IFERROR(INT((A365-DATE(2026,4,27))/7)+1,""))</f>
        <v/>
      </c>
      <c r="C365" s="22" t="inlineStr">
        <is>
          <t>Cali Full Body</t>
        </is>
      </c>
      <c r="D365" s="23" t="inlineStr">
        <is>
          <t>Single-Leg RDL (BW)</t>
        </is>
      </c>
      <c r="E365" s="22" t="n">
        <v>1</v>
      </c>
      <c r="F365" s="22" t="n">
        <v>10</v>
      </c>
      <c r="G365" s="38" t="n"/>
      <c r="H365" s="22" t="n">
        <v>6</v>
      </c>
      <c r="I365" s="25">
        <f>IF(OR(F365="",G365=""),"",F365*G365)</f>
        <v/>
      </c>
      <c r="J365" s="38">
        <f>IF(OR(F365="",G365=""),"",ROUND(G365*(1+F365/30),1))</f>
        <v/>
      </c>
      <c r="K365" s="26" t="inlineStr">
        <is>
          <t>reps col = per leg. RPE 6 cap. 7-8/leg on 8/31 -&gt; 10/7/7.</t>
        </is>
      </c>
    </row>
    <row r="366" ht="18" customHeight="1">
      <c r="A366" s="35" t="n">
        <v>46270</v>
      </c>
      <c r="B366" s="16">
        <f>IF(A366="","",IFERROR(INT((A366-DATE(2026,4,27))/7)+1,""))</f>
        <v/>
      </c>
      <c r="C366" s="16" t="inlineStr">
        <is>
          <t>Cali Full Body</t>
        </is>
      </c>
      <c r="D366" s="17" t="inlineStr">
        <is>
          <t>Single-Leg RDL (BW)</t>
        </is>
      </c>
      <c r="E366" s="16" t="n">
        <v>2</v>
      </c>
      <c r="F366" s="16" t="n">
        <v>7</v>
      </c>
      <c r="G366" s="36" t="n"/>
      <c r="H366" s="16" t="n">
        <v>6</v>
      </c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>
        <v>46270</v>
      </c>
      <c r="B367" s="22">
        <f>IF(A367="","",IFERROR(INT((A367-DATE(2026,4,27))/7)+1,""))</f>
        <v/>
      </c>
      <c r="C367" s="22" t="inlineStr">
        <is>
          <t>Cali Full Body</t>
        </is>
      </c>
      <c r="D367" s="23" t="inlineStr">
        <is>
          <t>Single-Leg RDL (BW)</t>
        </is>
      </c>
      <c r="E367" s="22" t="n">
        <v>3</v>
      </c>
      <c r="F367" s="22" t="n">
        <v>7</v>
      </c>
      <c r="G367" s="38" t="n"/>
      <c r="H367" s="22" t="n">
        <v>6</v>
      </c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>
        <v>46270</v>
      </c>
      <c r="B368" s="16">
        <f>IF(A368="","",IFERROR(INT((A368-DATE(2026,4,27))/7)+1,""))</f>
        <v/>
      </c>
      <c r="C368" s="16" t="inlineStr">
        <is>
          <t>Cali Full Body</t>
        </is>
      </c>
      <c r="D368" s="17" t="inlineStr">
        <is>
          <t>Tibialis Raise (BW)</t>
        </is>
      </c>
      <c r="E368" s="16" t="n">
        <v>1</v>
      </c>
      <c r="F368" s="16" t="n">
        <v>20</v>
      </c>
      <c r="G368" s="36" t="n"/>
      <c r="H368" s="16" t="n">
        <v>6</v>
      </c>
      <c r="I368" s="19">
        <f>IF(OR(F368="",G368=""),"",F368*G368)</f>
        <v/>
      </c>
      <c r="J368" s="36">
        <f>IF(OR(F368="",G368=""),"",ROUND(G368*(1+F368/30),1))</f>
        <v/>
      </c>
      <c r="K368" s="20" t="inlineStr">
        <is>
          <t>BEST SINGLE RESULT OF THE DAY. 20/15/15 @RPE 8-&gt;7 on 8/31 -&gt; 20/20/15 @RPE 6 five days later = more reps, TWO RPE points cheaper. ONE SET SHORT of the 3x20 @RPE&lt;=7 gate. Hold BW, NO load. Anterior tib is arming up = the bone lever working; the tibia gates the block.</t>
        </is>
      </c>
    </row>
    <row r="369" ht="18" customHeight="1">
      <c r="A369" s="37" t="n">
        <v>46270</v>
      </c>
      <c r="B369" s="22">
        <f>IF(A369="","",IFERROR(INT((A369-DATE(2026,4,27))/7)+1,""))</f>
        <v/>
      </c>
      <c r="C369" s="22" t="inlineStr">
        <is>
          <t>Cali Full Body</t>
        </is>
      </c>
      <c r="D369" s="23" t="inlineStr">
        <is>
          <t>Tibialis Raise (BW)</t>
        </is>
      </c>
      <c r="E369" s="22" t="n">
        <v>2</v>
      </c>
      <c r="F369" s="22" t="n">
        <v>20</v>
      </c>
      <c r="G369" s="38" t="n"/>
      <c r="H369" s="22" t="n">
        <v>6</v>
      </c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>
        <v>46270</v>
      </c>
      <c r="B370" s="16">
        <f>IF(A370="","",IFERROR(INT((A370-DATE(2026,4,27))/7)+1,""))</f>
        <v/>
      </c>
      <c r="C370" s="16" t="inlineStr">
        <is>
          <t>Cali Full Body</t>
        </is>
      </c>
      <c r="D370" s="17" t="inlineStr">
        <is>
          <t>Tibialis Raise (BW)</t>
        </is>
      </c>
      <c r="E370" s="16" t="n">
        <v>3</v>
      </c>
      <c r="F370" s="16" t="n">
        <v>15</v>
      </c>
      <c r="G370" s="36" t="n"/>
      <c r="H370" s="16" t="n">
        <v>6</v>
      </c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>
        <v>46270</v>
      </c>
      <c r="B371" s="22">
        <f>IF(A371="","",IFERROR(INT((A371-DATE(2026,4,27))/7)+1,""))</f>
        <v/>
      </c>
      <c r="C371" s="22" t="inlineStr">
        <is>
          <t>Cali Full Body</t>
        </is>
      </c>
      <c r="D371" s="23" t="inlineStr">
        <is>
          <t>Hanging Knee Raise (BW)</t>
        </is>
      </c>
      <c r="E371" s="22" t="n">
        <v>1</v>
      </c>
      <c r="F371" s="22" t="n">
        <v>10</v>
      </c>
      <c r="G371" s="38" t="n"/>
      <c r="H371" s="22" t="n">
        <v>8</v>
      </c>
      <c r="I371" s="25">
        <f>IF(OR(F371="",G371=""),"",F371*G371)</f>
        <v/>
      </c>
      <c r="J371" s="38">
        <f>IF(OR(F371="",G371=""),"",ROUND(G371*(1+F371/30),1))</f>
        <v/>
      </c>
      <c r="K371" s="26" t="inlineStr">
        <is>
          <t>8 -&gt; 10 reps. RPE 8 is one over target 7. Hold BW, build 10-&gt;12; reps come when RPE drops.</t>
        </is>
      </c>
    </row>
    <row r="372" ht="18" customHeight="1">
      <c r="A372" s="35" t="n">
        <v>46270</v>
      </c>
      <c r="B372" s="16">
        <f>IF(A372="","",IFERROR(INT((A372-DATE(2026,4,27))/7)+1,""))</f>
        <v/>
      </c>
      <c r="C372" s="16" t="inlineStr">
        <is>
          <t>Cali Full Body</t>
        </is>
      </c>
      <c r="D372" s="17" t="inlineStr">
        <is>
          <t>Hanging Knee Raise (BW)</t>
        </is>
      </c>
      <c r="E372" s="16" t="n">
        <v>2</v>
      </c>
      <c r="F372" s="16" t="n">
        <v>10</v>
      </c>
      <c r="G372" s="36" t="n"/>
      <c r="H372" s="16" t="n">
        <v>8</v>
      </c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>
        <v>46270</v>
      </c>
      <c r="B373" s="22">
        <f>IF(A373="","",IFERROR(INT((A373-DATE(2026,4,27))/7)+1,""))</f>
        <v/>
      </c>
      <c r="C373" s="22" t="inlineStr">
        <is>
          <t>Cali Full Body</t>
        </is>
      </c>
      <c r="D373" s="23" t="inlineStr">
        <is>
          <t>Hanging Knee Raise (BW)</t>
        </is>
      </c>
      <c r="E373" s="22" t="n">
        <v>3</v>
      </c>
      <c r="F373" s="22" t="n">
        <v>10</v>
      </c>
      <c r="G373" s="38" t="n"/>
      <c r="H373" s="22" t="n">
        <v>8</v>
      </c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>
        <v>46270</v>
      </c>
      <c r="B374" s="16">
        <f>IF(A374="","",IFERROR(INT((A374-DATE(2026,4,27))/7)+1,""))</f>
        <v/>
      </c>
      <c r="C374" s="16" t="inlineStr">
        <is>
          <t>Cali Full Body</t>
        </is>
      </c>
      <c r="D374" s="17" t="inlineStr">
        <is>
          <t>Side Plank (BW)</t>
        </is>
      </c>
      <c r="E374" s="16" t="n">
        <v>1</v>
      </c>
      <c r="F374" s="16" t="n">
        <v>30</v>
      </c>
      <c r="G374" s="36" t="n"/>
      <c r="H374" s="16" t="n">
        <v>8</v>
      </c>
      <c r="I374" s="19">
        <f>IF(OR(F374="",G374=""),"",F374*G374)</f>
        <v/>
      </c>
      <c r="J374" s="36">
        <f>IF(OR(F374="",G374=""),"",ROUND(G374*(1+F374/30),1))</f>
        <v/>
      </c>
      <c r="K374" s="20" t="inlineStr">
        <is>
          <t>reps col = seconds PER SIDE. 2x30s @RPE8 -&gt; 30s@8 / 20s@9 = REGRESSED from end-of-session fatigue, not detraining. Hold 2x30s until both sets RPE&lt;=7, then 2x45s.</t>
        </is>
      </c>
    </row>
    <row r="375" ht="18" customHeight="1">
      <c r="A375" s="37" t="n">
        <v>46270</v>
      </c>
      <c r="B375" s="22">
        <f>IF(A375="","",IFERROR(INT((A375-DATE(2026,4,27))/7)+1,""))</f>
        <v/>
      </c>
      <c r="C375" s="22" t="inlineStr">
        <is>
          <t>Cali Full Body</t>
        </is>
      </c>
      <c r="D375" s="23" t="inlineStr">
        <is>
          <t>Side Plank (BW)</t>
        </is>
      </c>
      <c r="E375" s="22" t="n">
        <v>2</v>
      </c>
      <c r="F375" s="22" t="n">
        <v>20</v>
      </c>
      <c r="G375" s="38" t="n"/>
      <c r="H375" s="22" t="n">
        <v>9</v>
      </c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36" t="n"/>
      <c r="H376" s="16" t="n"/>
      <c r="I376" s="19">
        <f>IF(OR(F376="",G376=""),"",F376*G376)</f>
        <v/>
      </c>
      <c r="J376" s="36">
        <f>IF(OR(F376="",G376=""),"",ROUND(G376*(1+F376/30),1))</f>
        <v/>
      </c>
      <c r="K376" s="20" t="n"/>
    </row>
    <row r="377" ht="18" customHeight="1">
      <c r="A377" s="37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38" t="n"/>
      <c r="H377" s="22" t="n"/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36" t="n"/>
      <c r="H378" s="16" t="n"/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38" t="n"/>
      <c r="H379" s="22" t="n"/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36" t="n"/>
      <c r="H380" s="16" t="n"/>
      <c r="I380" s="19">
        <f>IF(OR(F380="",G380=""),"",F380*G380)</f>
        <v/>
      </c>
      <c r="J380" s="36">
        <f>IF(OR(F380="",G380=""),"",ROUND(G380*(1+F380/30),1))</f>
        <v/>
      </c>
      <c r="K380" s="20" t="n"/>
    </row>
    <row r="381" ht="18" customHeight="1">
      <c r="A381" s="37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38" t="n"/>
      <c r="H381" s="22" t="n"/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36" t="n"/>
      <c r="H382" s="16" t="n"/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38" t="n"/>
      <c r="H383" s="22" t="n"/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36" t="n"/>
      <c r="H384" s="16" t="n"/>
      <c r="I384" s="19">
        <f>IF(OR(F384="",G384=""),"",F384*G384)</f>
        <v/>
      </c>
      <c r="J384" s="36">
        <f>IF(OR(F384="",G384=""),"",ROUND(G384*(1+F384/30),1))</f>
        <v/>
      </c>
      <c r="K384" s="20" t="n"/>
    </row>
    <row r="385" ht="18" customHeight="1">
      <c r="A385" s="37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38" t="n"/>
      <c r="H385" s="22" t="n"/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36" t="n"/>
      <c r="H386" s="16" t="n"/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38" t="n"/>
      <c r="H387" s="22" t="n"/>
      <c r="I387" s="25">
        <f>IF(OR(F387="",G387=""),"",F387*G387)</f>
        <v/>
      </c>
      <c r="J387" s="38">
        <f>IF(OR(F387="",G387=""),"",ROUND(G387*(1+F387/30),1))</f>
        <v/>
      </c>
      <c r="K387" s="26" t="n"/>
    </row>
    <row r="388" ht="18" customHeight="1">
      <c r="A388" s="3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36" t="n"/>
      <c r="H388" s="16" t="n"/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38" t="n"/>
      <c r="H389" s="22" t="n"/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36" t="n"/>
      <c r="H390" s="16" t="n"/>
      <c r="I390" s="19">
        <f>IF(OR(F390="",G390=""),"",F390*G390)</f>
        <v/>
      </c>
      <c r="J390" s="36">
        <f>IF(OR(F390="",G390=""),"",ROUND(G390*(1+F390/30),1))</f>
        <v/>
      </c>
      <c r="K390" s="20" t="n"/>
    </row>
    <row r="391" ht="18" customHeight="1">
      <c r="A391" s="37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38" t="n"/>
      <c r="H391" s="22" t="n"/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36" t="n"/>
      <c r="H392" s="16" t="n"/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38" t="n"/>
      <c r="H393" s="22" t="n"/>
      <c r="I393" s="25">
        <f>IF(OR(F393="",G393=""),"",F393*G393)</f>
        <v/>
      </c>
      <c r="J393" s="38">
        <f>IF(OR(F393="",G393=""),"",ROUND(G393*(1+F393/30),1))</f>
        <v/>
      </c>
      <c r="K393" s="26" t="n"/>
    </row>
    <row r="394" ht="18" customHeight="1">
      <c r="A394" s="3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36" t="n"/>
      <c r="H394" s="16" t="n"/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38" t="n"/>
      <c r="H395" s="22" t="n"/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36" t="n"/>
      <c r="H396" s="16" t="n"/>
      <c r="I396" s="19">
        <f>IF(OR(F396="",G396=""),"",F396*G396)</f>
        <v/>
      </c>
      <c r="J396" s="36">
        <f>IF(OR(F396="",G396=""),"",ROUND(G396*(1+F396/30),1))</f>
        <v/>
      </c>
      <c r="K396" s="20" t="n"/>
    </row>
    <row r="397" ht="18" customHeight="1">
      <c r="A397" s="37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38" t="n"/>
      <c r="H397" s="22" t="n"/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36" t="n"/>
      <c r="H398" s="16" t="n"/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38" t="n"/>
      <c r="H399" s="22" t="n"/>
      <c r="I399" s="25">
        <f>IF(OR(F399="",G399=""),"",F399*G399)</f>
        <v/>
      </c>
      <c r="J399" s="38">
        <f>IF(OR(F399="",G399=""),"",ROUND(G399*(1+F399/30),1))</f>
        <v/>
      </c>
      <c r="K399" s="26" t="n"/>
    </row>
    <row r="400" ht="18" customHeight="1">
      <c r="A400" s="3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36" t="n"/>
      <c r="H400" s="16" t="n"/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38" t="n"/>
      <c r="H401" s="22" t="n"/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36" t="n"/>
      <c r="H402" s="16" t="n"/>
      <c r="I402" s="19">
        <f>IF(OR(F402="",G402=""),"",F402*G402)</f>
        <v/>
      </c>
      <c r="J402" s="36">
        <f>IF(OR(F402="",G402=""),"",ROUND(G402*(1+F402/30),1))</f>
        <v/>
      </c>
      <c r="K402" s="20" t="n"/>
    </row>
    <row r="403" ht="18" customHeight="1">
      <c r="A403" s="37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38" t="n"/>
      <c r="H403" s="22" t="n"/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  <c r="K1" s="14" t="inlineStr">
        <is>
          <t>Bike km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>
        <v>46225</v>
      </c>
      <c r="B14" s="16">
        <f>IF(A14="","",IFERROR(INT((A14-DATE(2026,4,27))/7)+1,""))</f>
        <v/>
      </c>
      <c r="C14" s="27" t="n">
        <v>6</v>
      </c>
      <c r="D14" s="36" t="n">
        <v>40.45</v>
      </c>
      <c r="E14" s="16">
        <f>IF(OR(C14="",D14=""),"",TEXT(D14/C14/1440,"m:ss"))</f>
        <v/>
      </c>
      <c r="F14" s="16" t="n">
        <v>144</v>
      </c>
      <c r="G14" s="16" t="n">
        <v>161</v>
      </c>
      <c r="H14" s="16" t="n">
        <v>6</v>
      </c>
      <c r="I14" s="16" t="inlineStr">
        <is>
          <t>Easy</t>
        </is>
      </c>
      <c r="J14" s="20" t="inlineStr">
        <is>
          <t>W1 Wed. 6:44/km; cadence 168 (PR, 3rd straight 165+ easy, above 166 target); 93%Z2; avg HR 144 = block-low; 0 walk breaks = first continuous run of block; shin clean start/mid/end; -3 bpm &amp; 0 breaks vs Tue at same pace = DOMS tax gone</t>
        </is>
      </c>
    </row>
    <row r="15" ht="18" customHeight="1">
      <c r="A15" s="37" t="n">
        <v>46228</v>
      </c>
      <c r="B15" s="22">
        <f>IF(A15="","",IFERROR(INT((A15-DATE(2026,4,27))/7)+1,""))</f>
        <v/>
      </c>
      <c r="C15" s="28" t="n">
        <v>5</v>
      </c>
      <c r="D15" s="38" t="n">
        <v>34.27</v>
      </c>
      <c r="E15" s="22">
        <f>IF(OR(C15="",D15=""),"",TEXT(D15/C15/1440,"m:ss"))</f>
        <v/>
      </c>
      <c r="F15" s="22" t="n">
        <v>148</v>
      </c>
      <c r="G15" s="22" t="n">
        <v>158</v>
      </c>
      <c r="H15" s="22" t="n">
        <v>7</v>
      </c>
      <c r="I15" s="22" t="inlineStr">
        <is>
          <t>Easy</t>
        </is>
      </c>
      <c r="J15" s="26" t="inlineStr">
        <is>
          <t>W1 Sat. 6:51/km; cadence 167 (4th straight 165+ easy); 96%Z2; 0 walk breaks (2nd continuous); shin clean during+after = check #8; RPE 7 + general discomfort on week-low sleep 7:32 (2nd straight post-midnight bed) — sleep tax read, watch not flag</t>
        </is>
      </c>
    </row>
    <row r="16" ht="18" customHeight="1">
      <c r="A16" s="35" t="n">
        <v>46267</v>
      </c>
      <c r="B16" s="16">
        <f>IF(A16="","",IFERROR(INT((A16-DATE(2026,4,27))/7)+1,""))</f>
        <v/>
      </c>
      <c r="C16" s="27" t="n">
        <v>5</v>
      </c>
      <c r="D16" s="36" t="n">
        <v>37.57</v>
      </c>
      <c r="E16" s="16">
        <f>IF(OR(C16="",D16=""),"",TEXT(D16/C16/1440,"m:ss"))</f>
        <v/>
      </c>
      <c r="F16" s="16" t="n">
        <v>145</v>
      </c>
      <c r="G16" s="16" t="n">
        <v>176</v>
      </c>
      <c r="H16" s="16" t="n">
        <v>4</v>
      </c>
      <c r="I16" s="16" t="inlineStr">
        <is>
          <t>Easy</t>
        </is>
      </c>
      <c r="J16" s="20" t="inlineStr">
        <is>
          <t>Blk2 Wk A Wed (swapped in for skipped Tue). FIRST RUN AFTER THE 34-DAY DARK GAP (Jul 29-Aug 30). 7:30/km raw but 4 walk breaks inside 37:34 -&gt; running pace ~6:43/km at avg HR 145 vs 6:44/km at HR 144 on 7/22 = ENGINE INTACT, gap cost nothing aerobically. 94%Z2, RPE 4 = easiest run in the log. Shin CLEAN check #10. CADENCE 160 = REGRESSION, streak was 166/166/168PR/167 (7/19-7/25) -&gt; fell back to pre-metronome band; habit was never habitual, metronome 166 now mandatory every run incl. long (bone lever: shorter ground contact = less tibial impact). 4 walk breaks also a regression (0 on 7/22 and 7/25). Max HR 176 = brief restart surge off a walk break.</t>
        </is>
      </c>
    </row>
    <row r="17" ht="18" customHeight="1">
      <c r="A17" s="37" t="n">
        <v>46269</v>
      </c>
      <c r="B17" s="22">
        <f>IF(A17="","",IFERROR(INT((A17-DATE(2026,4,27))/7)+1,""))</f>
        <v/>
      </c>
      <c r="C17" s="28" t="n">
        <v>6</v>
      </c>
      <c r="D17" s="38" t="n">
        <v>42.82</v>
      </c>
      <c r="E17" s="22">
        <f>IF(OR(C17="",D17=""),"",TEXT(D17/C17/1440,"m:ss"))</f>
        <v/>
      </c>
      <c r="F17" s="22" t="n">
        <v>145</v>
      </c>
      <c r="G17" s="22" t="n">
        <v>166</v>
      </c>
      <c r="H17" s="22" t="n">
        <v>3</v>
      </c>
      <c r="I17" s="22" t="inlineStr">
        <is>
          <t>Easy</t>
        </is>
      </c>
      <c r="J17" s="26" t="inlineStr">
        <is>
          <t>Blk2 Wk A Fri, run-only (cali MOVED to Sat 9/5 at user request). 7:08/km, 80%Z2, RPE 3 = lowest in log, 13C raining. CADENCE 166 = target hit, re-closed in ONE run after 160 on 9/2 -&gt; cadence is CUE-DEPENDENT, not lost; metronome mandatory every run to race incl. long (bone lever). 0 WALK BREAKS (4 on 9/2) over a longer run = continuous-run item green again, matches 7/22 and 7/25. Both 9/2 regressions closed in one session. TRUE POST-GAP EASY BENCHMARK = 7:08/km @ HR 145 (use this, NOT 9/2 7:30 which was walk-break distorted): vs 7/22 6k 6:44/km @ HR 144 = 24 s/km slower at same HR = expected chassis cost of 34 dark days, not an engine problem. Do not chase it back. %Z2 94-&gt;80 at same avg HR, max only 166 = late drift into low Z3, not a spike; watch Sun 10k, &lt;75%Z2 = too fast. Shin CLEAN check #12. Legs fresh. Fuel 2946 kcal = +546 over ~2400 maintenance, after +977 on 9/2 = ~+1500 over two logged days = drift not noise; protein 151 in band but at floor; creatine Y. BW not logged since 75.0 on 8/31.</t>
        </is>
      </c>
    </row>
    <row r="18" ht="18" customHeight="1">
      <c r="A18" s="35" t="n">
        <v>46271</v>
      </c>
      <c r="B18" s="16">
        <f>IF(A18="","",IFERROR(INT((A18-DATE(2026,4,27))/7)+1,""))</f>
        <v/>
      </c>
      <c r="C18" s="27" t="n">
        <v>10</v>
      </c>
      <c r="D18" s="36" t="n">
        <v>75.15000000000001</v>
      </c>
      <c r="E18" s="16">
        <f>IF(OR(C18="",D18=""),"",TEXT(D18/C18/1440,"m:ss"))</f>
        <v/>
      </c>
      <c r="F18" s="16" t="n">
        <v>150</v>
      </c>
      <c r="G18" s="16" t="n">
        <v>161</v>
      </c>
      <c r="H18" s="16" t="n">
        <v>4</v>
      </c>
      <c r="I18" s="16" t="inlineStr">
        <is>
          <t>Long</t>
        </is>
      </c>
      <c r="J18" s="20" t="inlineStr">
        <is>
          <t>Blk2 Wk A Sun - LONG 10k, WEEK A CLOSER. 7:31/km, 97%Z2 = HIGHEST IN LOG (94 on 5k -&gt; 80 on 6k -&gt; 97 on 10k; easy-day discipline scaled UP with distance). Longest run since 2026-06-22 (18k); +36% step over Fri's 6k; taken 20h post-lifting instead of 48h (cali moved Fri-&gt;Sat). CADENCE 167 = BLOCK'S OLDEST OPEN ITEM CLOSED: 3rd cued run, 3rd hit (166/166/167), 1 spm off the 168 PR, held through 75 min where fatigue had every chance to drag turnover down. Never lost, only uncued - metronome every run to the race, bone lever (shorter ground contact = less tibial impact). 0 WALK BREAKS over 10k = continuous running green at 6k AND at 10k under fatigue; the 4 breaks on 9/2 were first-run-back rust, not a pattern. SHIN CLEAN check #15, 15 straight, through the biggest distance jump of the block. HONEST PACE READ: 7:31/km @ HR 150 today vs 7:08/km @ HR 145 on 9/4 = slower pace at HIGHER HR. Over 67% more distance, sunny vs 13C rain = ordinary decoupling on a re-entry long run, NOT a flag; max 161 = steady drift, no spikes. But the run sat AT the ceiling, not under it -&gt; Wk B's 12k must OPEN SLOWER (~7:35-7:50/km early); the extra 2km comes out of the first half's pace budget, not the second half's HR. RPE 4 + user: 'a bit tired but could have done 15km chill' = engine ahead of chassis and ahead of plan. Extraction audit verdict: the un-cashed lever is COMPLIANCE (3 of 4 runs run, 21 of 26 km), NOT more km - long-run ramp is already stacked at its ceiling and bone, not lungs, sets the ceiling. Wk B long stays 12k; set distance by bone, not by breath. Fuel during run: half banana + 80% Powerade ~30-40g carbs / 75 min = on the 30 g/h prescription, unprompted. Kcal 2693 vs ~2600 long-day cap = +93 = FUEL DRIFT ARRESTED (was +977/+546/+937). Protein 170 (down from 227). Creatine Y.</t>
        </is>
      </c>
    </row>
    <row r="19" ht="18" customHeight="1">
      <c r="A19" s="37" t="n">
        <v>46272</v>
      </c>
      <c r="B19" s="22">
        <f>IF(A19="","",IFERROR(INT((A19-DATE(2026,4,27))/7)+1,""))</f>
        <v/>
      </c>
      <c r="C19" s="28" t="n">
        <v>5</v>
      </c>
      <c r="D19" s="38" t="n">
        <v>36.5</v>
      </c>
      <c r="E19" s="22">
        <f>IF(OR(C19="",D19=""),"",TEXT(D19/C19/1440,"m:ss"))</f>
        <v/>
      </c>
      <c r="F19" s="22" t="n">
        <v>147</v>
      </c>
      <c r="G19" s="22" t="n">
        <v>162</v>
      </c>
      <c r="H19" s="22" t="n">
        <v>3</v>
      </c>
      <c r="I19" s="22" t="inlineStr">
        <is>
          <t>Easy</t>
        </is>
      </c>
      <c r="J19" s="26" t="inlineStr">
        <is>
          <t>Blk2 Wk B Mon - 5k easy shakeout, 24h after Sun's 10k long. Monday was a REST day until two same-day schedule swaps (cali #3 Mon-&gt;Wed, cali #4 Fri-&gt;Sat) would have left 6 consecutive loaded days on one rest day; rebalanced by spending Monday's rest on the week's shortest run and making Thursday the rest day. 7:18/km @ HR 147, 97%Z2, RPE 3 = LOWEST RUN RPE IN THE LOG. Prescription was 7:35-7:50/km -&gt; ran ~20 s/km HOT. Allowed to stand because HR 147 held under the 150 ceiling, but it is the block's recurring pattern: feeling good becomes FASTER, not EASIER. On Sunday's 12k that costs the back half - open at 7:50 and mean it. EFFICIENCY: 7:18 @ 147 vs the clean rested comparable 7:08 @ 145 on 9/4 = 10 s/km slower at +2 bpm on a day-after-long shakeout = chassis recovering FASTER than the ramp assumed. CADENCE 167 = 4th straight cued run on target (166/166/167/167); metronome stays mandatory. 0 walk breaks, 3rd run running. SHIN CLEAN check #17. Fuel 2566 vs corrected uni-day ~2650-2700 = ~100 under, noise. Protein 169 (band 155-165). Creatine Y. Steps 9100. BIKE 24 km - uni-day commute, DISCLOSED TODAY as Tier 1 load (12 km each way, Mon-Thu = 96 km/wk, ~4-5 h, MORE clock time than the running). Zero bone cost (non-impact, does not spend the tibia budget) and it partly explains why the audits keep finding the engine ahead of the chassis. Makes the ~2400 kcal maintenance figure STALE: uni days 2650-2700, non-uni 2400, Sun long 2700. Sat+Sun are bike-free - that is what protects the long run. Wk B compliance: run 1 of 4.</t>
        </is>
      </c>
      <c r="K19" t="n">
        <v>24</v>
      </c>
    </row>
    <row r="20" ht="18" customHeight="1">
      <c r="A20" s="35" t="n">
        <v>46273</v>
      </c>
      <c r="B20" s="16">
        <f>IF(A20="","",IFERROR(INT((A20-DATE(2026,4,27))/7)+1,""))</f>
        <v/>
      </c>
      <c r="C20" s="27" t="n">
        <v>6</v>
      </c>
      <c r="D20" s="36" t="n">
        <v>48.22</v>
      </c>
      <c r="E20" s="16">
        <f>IF(OR(C20="",D20=""),"",TEXT(D20/C20/1440,"m:ss"))</f>
        <v/>
      </c>
      <c r="F20" s="16" t="n">
        <v>140</v>
      </c>
      <c r="G20" s="16" t="n">
        <v>153</v>
      </c>
      <c r="H20" s="16" t="n">
        <v>1</v>
      </c>
      <c r="I20" s="16" t="inlineStr">
        <is>
          <t>Easy Z2</t>
        </is>
      </c>
      <c r="J20" s="20" t="inlineStr">
        <is>
          <t>97% Z2, cadence 163 (first cued miss), 0 walk breaks, light rain, shin clean #19. Pace obeyed prescription 8:01 vs 7:45-8:00.</t>
        </is>
      </c>
      <c r="K20" t="n">
        <v>24</v>
      </c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>
        <v>46225</v>
      </c>
      <c r="B23" s="22">
        <f>IF(A23="","",IFERROR(INT((A23-DATE(2026,4,27))/7)+1,""))</f>
        <v/>
      </c>
      <c r="C23" s="38" t="n">
        <v>77.25</v>
      </c>
      <c r="D23" s="38" t="n">
        <v>8</v>
      </c>
      <c r="E23" s="38" t="n"/>
      <c r="F23" s="38" t="n"/>
      <c r="G23" s="38" t="n"/>
      <c r="H23" s="38" t="n"/>
      <c r="I23" s="26" t="inlineStr">
        <is>
          <t>W1 Wed AM (RHR 44 d-1; BW flat 3rd straight day; shin clean check #4; DOMS 3/3/3 -&gt; 1/1/2 at 48h; bed 11:30pm = 2nd straight pre-midnight)</t>
        </is>
      </c>
    </row>
    <row r="24" ht="18" customHeight="1">
      <c r="A24" s="35" t="n">
        <v>46226</v>
      </c>
      <c r="B24" s="16">
        <f>IF(A24="","",IFERROR(INT((A24-DATE(2026,4,27))/7)+1,""))</f>
        <v/>
      </c>
      <c r="C24" s="36" t="n">
        <v>76.90000000000001</v>
      </c>
      <c r="D24" s="36" t="n">
        <v>11</v>
      </c>
      <c r="E24" s="36" t="n"/>
      <c r="F24" s="36" t="n"/>
      <c r="G24" s="36" t="n"/>
      <c r="H24" s="36" t="n"/>
      <c r="I24" s="20" t="inlineStr">
        <is>
          <t>Peak readiness; RHR 45 (d0); shin clean 5th; 78.2 spike settling to ~77 on maintenance</t>
        </is>
      </c>
    </row>
    <row r="25" ht="18" customHeight="1">
      <c r="A25" s="37" t="n">
        <v>46227</v>
      </c>
      <c r="B25" s="22">
        <f>IF(A25="","",IFERROR(INT((A25-DATE(2026,4,27))/7)+1,""))</f>
        <v/>
      </c>
      <c r="C25" s="38" t="n">
        <v>77.2</v>
      </c>
      <c r="D25" s="38" t="n">
        <v>9</v>
      </c>
      <c r="E25" s="38" t="n"/>
      <c r="F25" s="38" t="n"/>
      <c r="G25" s="38" t="n"/>
      <c r="H25" s="38" t="n"/>
      <c r="I25" s="26" t="inlineStr">
        <is>
          <t>W1 Fri REST AM (RHR 47 d+2 post-Push bump; shin clean check #6; Push DOMS 3 chest/shldr/tri on schedule; legs residual 1; bed 1:30am watch item; BW settled ~77)</t>
        </is>
      </c>
    </row>
    <row r="26" ht="18" customHeight="1">
      <c r="A26" s="35" t="n">
        <v>46228</v>
      </c>
      <c r="B26" s="16">
        <f>IF(A26="","",IFERROR(INT((A26-DATE(2026,4,27))/7)+1,""))</f>
        <v/>
      </c>
      <c r="C26" s="36" t="n">
        <v>77.84999999999999</v>
      </c>
      <c r="D26" s="36" t="n">
        <v>7.53</v>
      </c>
      <c r="E26" s="36" t="n"/>
      <c r="F26" s="36" t="n"/>
      <c r="G26" s="36" t="n"/>
      <c r="H26" s="36" t="n"/>
      <c r="I26" s="20" t="inlineStr">
        <is>
          <t>W1 Sat AM run day (RHR 43 d-1 post-Push bump cleared; shin clean check #7; Push DOMS 3-&gt;1 at 48h, legs 0; BW +0.65 single-day spike ignore, 7d ~77.4; bed 12:39am 2nd straight post-midnight, sleep 7:32 q6.5 week-low)</t>
        </is>
      </c>
    </row>
    <row r="27" ht="18" customHeight="1">
      <c r="A27" s="37" t="n">
        <v>46229</v>
      </c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inlineStr">
        <is>
          <t>W1 Sun — LONG 10k SKIPPED, unplanned REST. NO AM/PM DATA CAPTURED (row exists to document the gap, blanks are genuine). User: legs dont feel good. Shin was clean 8/8 all week — FATIGUE not bone. W1 closes 16/26 km, 3/4 runs, ZERO long runs. Cause: only 1 true rest day in 7 + Sat-run/Sun-long back-to-back + ~44 km/wk unmodeled walking from waiter job. No Sunday review ran; backfilled 7/27.</t>
        </is>
      </c>
    </row>
    <row r="28" ht="18" customHeight="1">
      <c r="A28" s="35" t="n">
        <v>46230</v>
      </c>
      <c r="B28" s="16">
        <f>IF(A28="","",IFERROR(INT((A28-DATE(2026,4,27))/7)+1,""))</f>
        <v/>
      </c>
      <c r="C28" s="36" t="n">
        <v>77.05</v>
      </c>
      <c r="D28" s="36" t="n">
        <v>10</v>
      </c>
      <c r="E28" s="36" t="n"/>
      <c r="F28" s="36" t="n"/>
      <c r="G28" s="36" t="n"/>
      <c r="H28" s="36" t="n"/>
      <c r="I28" s="20" t="inlineStr">
        <is>
          <t>W2 Mon REST (2nd consecutive; now the template rest day). AM GREEN — RHR 43 (d-1, under W1 avg 44.8, band 41-46) = systemic fatigue cleared. Shin NO PAIN = clean check #9, bone never involved. Legs cleared quad1/ham1/glute0 BUT CALF HELD AT 2 = the waiter job's signature tissue -&gt; validates dropping Standing Calf Raise. BW 77.05 = block low, Sat 77.85 spike resolved, 7d avg 77.25 flat at maintenance (cut opens Aug 10). Sleep 10h q10 = best of block. Bed 2am/wake 12pm — structural on 22:00-23:00 shift nights, not a discipline flag. PM not yet supplied.</t>
        </is>
      </c>
    </row>
    <row r="29" ht="18" customHeight="1">
      <c r="A29" s="37" t="n">
        <v>46265</v>
      </c>
      <c r="B29" s="22">
        <f>IF(A29="","",IFERROR(INT((A29-DATE(2026,4,27))/7)+1,""))</f>
        <v/>
      </c>
      <c r="C29" s="38" t="n">
        <v>75</v>
      </c>
      <c r="D29" s="38" t="n"/>
      <c r="E29" s="38" t="n"/>
      <c r="F29" s="38" t="n"/>
      <c r="G29" s="38" t="n"/>
      <c r="H29" s="38" t="n"/>
      <c r="I29" s="26" t="inlineStr">
        <is>
          <t>Block 2 Wk A Mon. BW 75.0 = CUT CLOSED target hit (77.05 on 7/27, 77.6 block start). Maintenance ~2400 kcal to race. First entry after the 34-day dark gap Jul 29 - Aug 30 (~2 runs, no logging). Cali Full Body done 16:20-17:30, 28 sets, shin CLEAN.</t>
        </is>
      </c>
    </row>
    <row r="30" ht="18" customHeight="1">
      <c r="A30" s="35" t="n">
        <v>46266</v>
      </c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inlineStr">
        <is>
          <t>Wk A Tue — planned 5k easy Z2 SKIPPED, rest day taken. No AM/PM data captured (blanks genuine). Not a bone flag; rest after first lifting session in 39 days.</t>
        </is>
      </c>
    </row>
    <row r="31" ht="18" customHeight="1">
      <c r="A31" s="37" t="n">
        <v>46267</v>
      </c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inlineStr">
        <is>
          <t>Wk A Wed run day. No AM block captured (blanks genuine) - session reported PM. Shin clean #10, legs good "ready to build back". Kcal 3377 vs ~2400 maintenance = +977 SURPLUS day; protein 157 in band, creatine Y. Cut is closed at 75.0 - hold it, the economy gain is banked. Watch 7d BW.</t>
        </is>
      </c>
    </row>
    <row r="32" ht="18" customHeight="1">
      <c r="A32" s="35" t="n">
        <v>46268</v>
      </c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inlineStr">
        <is>
          <t>Wk A Thu — full REST (swapped with Wed run). No AM/PM data captured (blanks genuine). BW still not logged since 75.0 on 8/31.</t>
        </is>
      </c>
    </row>
    <row r="33" ht="18" customHeight="1">
      <c r="A33" s="37" t="n">
        <v>46269</v>
      </c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inlineStr">
        <is>
          <t>Wk A Fri run day (6k easy, cali moved to Sat 9/5). No AM block captured (blanks genuine). Shin CLEAN #12, legs fresh. Kcal 2946 vs ~2400 maintenance = +546 SURPLUS, 2nd of 2 logged days (9/2 was +977) = ~+1500 drift over the week; protein 151 (in band, at floor - sit 155-165 on a ramping week); creatine Y. BW AM MISSING 3 STRAIGHT DAYS while running +500 to +1000/day - the week's one blind spot. Cut closed at 75.0 TO HOLD IT; the ~5-6 s/km economy gain is banked. Log BW 9/5 AM.</t>
        </is>
      </c>
    </row>
    <row r="34" ht="18" customHeight="1">
      <c r="A34" s="35" t="n">
        <v>46270</v>
      </c>
      <c r="B34" s="16">
        <f>IF(A34="","",IFERROR(INT((A34-DATE(2026,4,27))/7)+1,""))</f>
        <v/>
      </c>
      <c r="C34" s="36" t="n">
        <v>75.84999999999999</v>
      </c>
      <c r="D34" s="36" t="n">
        <v>9.35</v>
      </c>
      <c r="E34" s="36" t="n"/>
      <c r="F34" s="36" t="n"/>
      <c r="G34" s="36" t="n"/>
      <c r="H34" s="36" t="n"/>
      <c r="I34" s="20" t="inlineStr">
        <is>
          <t>Wk A Sat — cali session 2 (moved from Fri). AM FULL GREEN: sleep 9:21 q8 = best in log, RHR 44 delta 0, motivation/energy 10, stress 1, joints all clear. SHIN CLEAN check #13 (13 straight), holds post-session. DOMS quad/ham/glute 1 (8/31 RPE6 leg cap did its job), upper all 0, calf 2 + tib 2 = residue from 9/2+9/4 runs and the tibialis raises, NOT bone. BW 75.85 = FIRST WEIGH-IN IN 5 DAYS, +0.85 over 75.0 on 8/31; mostly glycogen+water from two runs back on, ~0.2 kg real. FUEL RED FLAG: 3337 kcal = +937, THIRD consecutive surplus day (9/2 +977, 9/4 +546, 9/5 +937 = ~+2460 over 3 days ~= +0.3 kg fat). One day was noise, three of three is a pattern. Cut closed at 75.0 TO HOLD 75.0 - the ~5-6 s/km economy gain is the cheapest time available for Oct 11 and is being handed back. Protein 227 g = 3.0 g/kg, ~60 g over the 155-165 band for zero benefit; trimming to 165 alone is ~-250 kcal. Creatine Y. Sunday cap ~2600 - a long-run day earns carbs, not a third +900.</t>
        </is>
      </c>
    </row>
    <row r="35" ht="18" customHeight="1">
      <c r="A35" s="37" t="n">
        <v>46271</v>
      </c>
      <c r="B35" s="22">
        <f>IF(A35="","",IFERROR(INT((A35-DATE(2026,4,27))/7)+1,""))</f>
        <v/>
      </c>
      <c r="C35" s="38" t="n">
        <v>75.84999999999999</v>
      </c>
      <c r="D35" s="38" t="n">
        <v>9.5</v>
      </c>
      <c r="E35" s="38" t="n"/>
      <c r="F35" s="38" t="n"/>
      <c r="G35" s="38" t="n"/>
      <c r="H35" s="38" t="n"/>
      <c r="I35" s="26" t="inlineStr">
        <is>
          <t>Wk A Sun - LONG 10k, week closer. AM GREEN: sleep 9:30 q9, RHR 46 (delta +2 vs baseline 44 = noise off a 65-min lifting session), motivation 9, energy 10, stress 1, joints all clear. SHIN CLEAN check #14 (pre-run) and #15 (post-run). DOMS legs ALL 1 (quad/ham/glute/calf/tib) at 20h post-cali - Sat's calf 2 / tib 2 cleared overnight. SECOND consecutive time the RPE 6 leg cap delivered fresh legs into a run day, this time off 24h not 48h: the Fri-&gt;Sat cali move cost nothing. Cap VALIDATED, not merely tolerated. Upper DOMS chest 3 / delt 3 / back 2 / arm 2 = the 9/5 push/pull fix landing on schedule (push went 5.9 -&gt; 8.0 RPE); irrelevant to running. BW 75.85 = FLAT vs 9/5, first non-rising point in the fuel drift. 9/5 ran +937 kcal and the scale did not move -&gt; confirms the +0.85 over the 75.0 close (8/31) is mostly glycogen + water, not fat. Flag NOT closed - weigh in Mon 9/7 AM, that reading makes the 7-day trend call. FUEL DRIFT ARRESTED: 2693 kcal vs the ~2600 long-day cap = +93, after +977 (9/2), +546 (9/4), +937 (9/5). Protein 170 g, down from 227, 5 over band on a long day = the correction landed. Creatine Y. Non-long days ~2400, protein 155-165.</t>
        </is>
      </c>
    </row>
    <row r="36" ht="18" customHeight="1">
      <c r="A36" s="35" t="n">
        <v>46272</v>
      </c>
      <c r="B36" s="16">
        <f>IF(A36="","",IFERROR(INT((A36-DATE(2026,4,27))/7)+1,""))</f>
        <v/>
      </c>
      <c r="C36" s="36" t="n">
        <v>75.84999999999999</v>
      </c>
      <c r="D36" s="36" t="n">
        <v>9</v>
      </c>
      <c r="E36" s="36" t="n"/>
      <c r="F36" s="36" t="n"/>
      <c r="G36" s="36" t="n"/>
      <c r="H36" s="36" t="n"/>
      <c r="I36" s="20" t="inlineStr">
        <is>
          <t>Wk B Mon - 5k easy shakeout (was a rest day; converted after two cali swaps). AM FULL GREEN: sleep 9:00 q10, RHR 46 delta -2, motivation 10, energy 10, stress 2, joints all clear. SHIN PERFECT check #16 (pre) and #17 (post-run). DOMS legs ALL 1 (quad/ham/glute/calf) at 2 days post-cali = RPE 6 leg cap validated a 3rd time. Upper: shoulder 3, chest 2, back 1, arm 1 = 9/5 pressing residue at 48h; this is WHY moving cali Mon-&gt;Wed is a net positive (shoulders get 4 days instead of 2). BW 75.85 = THIRD CONSECUTIVE FLAT READING (9/5, 9/6, 9/7) after +937 and +93 kcal days. TREND CALL MADE: the +0.85 over the 8/31 close of 75.0 is glycogen + water, NOT fat - fuel-drift flag CLOSED. Second explanation landed same day: the 96 km/wk bike commute was unlogged, so ~2400 'maintenance' was never maintenance. CORRECTED: uni days (Mon-Thu) 2650-2700, non-uni 2400, Sun long 2700, protein 155-165. Fuel today 2566 = ~100 under, noise. Protein 169. Creatine Y. Alcohol 0. Steps 9100. Bike 24 km.</t>
        </is>
      </c>
    </row>
    <row r="37" ht="18" customHeight="1">
      <c r="A37" s="37" t="n">
        <v>46273</v>
      </c>
      <c r="B37" s="22">
        <f>IF(A37="","",IFERROR(INT((A37-DATE(2026,4,27))/7)+1,""))</f>
        <v/>
      </c>
      <c r="C37" s="38" t="n">
        <v>75.2</v>
      </c>
      <c r="D37" s="38" t="n">
        <v>7</v>
      </c>
      <c r="E37" s="38" t="n"/>
      <c r="F37" s="38" t="n"/>
      <c r="G37" s="38" t="n"/>
      <c r="H37" s="38" t="n"/>
      <c r="I37" s="26" t="inlineStr">
        <is>
          <t>RHR 46 (-1). Mot 10/En 8/Str 2. DOMS quad2 ham2 glute2 calf2 - first 4-way, bike flag tripped. Shin clean #18.</t>
        </is>
      </c>
    </row>
    <row r="38" ht="18" customHeight="1">
      <c r="A38" s="35" t="n"/>
      <c r="B38" s="16">
        <f>IF(A38="","",IFERROR(INT((A38-DATE(2026,4,27))/7)+1,""))</f>
        <v/>
      </c>
      <c r="C38" s="36" t="n"/>
      <c r="D38" s="36" t="n"/>
      <c r="E38" s="36" t="n"/>
      <c r="F38" s="36" t="n"/>
      <c r="G38" s="36" t="n"/>
      <c r="H38" s="36" t="n"/>
      <c r="I38" s="20" t="n"/>
    </row>
    <row r="39" ht="18" customHeight="1">
      <c r="A39" s="37" t="n"/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n"/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  <row r="13">
      <c r="A13" s="16" t="n">
        <v>12</v>
      </c>
      <c r="B13" s="16">
        <f>TEXT(DATE(2026,4,27)+(A13-1)*7,"mmm d")&amp;" – "&amp;TEXT(DATE(2026,4,27)+A13*7-1,"mmm d")</f>
        <v/>
      </c>
      <c r="C13" s="16">
        <f>SUMPRODUCT(IFERROR((('Lifting Log'!B2:B801=A13)*('Lifting Log'!E2:E801=1))/COUNTIFS('Lifting Log'!A:A,'Lifting Log'!A2:A801,'Lifting Log'!E:E,1),0))</f>
        <v/>
      </c>
      <c r="D13" s="16">
        <f>COUNTIFS('Lifting Log'!B:B,A13)</f>
        <v/>
      </c>
      <c r="E13" s="29">
        <f>SUMIFS('Lifting Log'!I:I,'Lifting Log'!B:B,A13)</f>
        <v/>
      </c>
      <c r="F13" s="36">
        <f>IFERROR(AVERAGEIFS('Lifting Log'!H:H,'Lifting Log'!B:B,A13),"")</f>
        <v/>
      </c>
      <c r="G13" s="16">
        <f>COUNTIFS('Running Log'!B:B,A13)</f>
        <v/>
      </c>
      <c r="H13" s="27">
        <f>SUMIFS('Running Log'!C:C,'Running Log'!B:B,A13)</f>
        <v/>
      </c>
      <c r="I13" s="19">
        <f>SUMIFS('Running Log'!D:D,'Running Log'!B:B,A13)</f>
        <v/>
      </c>
      <c r="J13" s="19">
        <f>IFERROR(AVERAGEIFS('Running Log'!F:F,'Running Log'!B:B,A13),"")</f>
        <v/>
      </c>
      <c r="K13" s="36">
        <f>IFERROR(AVERAGEIFS('Body Metrics'!C:C,'Body Metrics'!B:B,A13),"")</f>
        <v/>
      </c>
    </row>
    <row r="14">
      <c r="A14" s="16" t="n">
        <v>13</v>
      </c>
      <c r="B14" s="16">
        <f>TEXT(DATE(2026,4,27)+(A14-1)*7,"mmm d")&amp;" – "&amp;TEXT(DATE(2026,4,27)+A14*7-1,"mmm d")</f>
        <v/>
      </c>
      <c r="C14" s="16">
        <f>SUMPRODUCT(IFERROR((('Lifting Log'!B2:B801=A14)*('Lifting Log'!E2:E801=1))/COUNTIFS('Lifting Log'!A:A,'Lifting Log'!A2:A801,'Lifting Log'!E:E,1),0))</f>
        <v/>
      </c>
      <c r="D14" s="16">
        <f>COUNTIFS('Lifting Log'!B:B,A14)</f>
        <v/>
      </c>
      <c r="E14" s="29">
        <f>SUMIFS('Lifting Log'!I:I,'Lifting Log'!B:B,A14)</f>
        <v/>
      </c>
      <c r="F14" s="36">
        <f>IFERROR(AVERAGEIFS('Lifting Log'!H:H,'Lifting Log'!B:B,A14),"")</f>
        <v/>
      </c>
      <c r="G14" s="16">
        <f>COUNTIFS('Running Log'!B:B,A14)</f>
        <v/>
      </c>
      <c r="H14" s="27">
        <f>SUMIFS('Running Log'!C:C,'Running Log'!B:B,A14)</f>
        <v/>
      </c>
      <c r="I14" s="19">
        <f>SUMIFS('Running Log'!D:D,'Running Log'!B:B,A14)</f>
        <v/>
      </c>
      <c r="J14" s="19">
        <f>IFERROR(AVERAGEIFS('Running Log'!F:F,'Running Log'!B:B,A14),"")</f>
        <v/>
      </c>
      <c r="K14" s="36">
        <f>IFERROR(AVERAGEIFS('Body Metrics'!C:C,'Body Metrics'!B:B,A14),"")</f>
        <v/>
      </c>
    </row>
    <row r="15">
      <c r="A15" s="16" t="n">
        <v>14</v>
      </c>
      <c r="B15" s="16">
        <f>TEXT(DATE(2026,4,27)+(A15-1)*7,"mmm d")&amp;" – "&amp;TEXT(DATE(2026,4,27)+A15*7-1,"mmm d")</f>
        <v/>
      </c>
      <c r="C15" s="16">
        <f>SUMPRODUCT(IFERROR((('Lifting Log'!B2:B801=A15)*('Lifting Log'!E2:E801=1))/COUNTIFS('Lifting Log'!A:A,'Lifting Log'!A2:A801,'Lifting Log'!E:E,1),0))</f>
        <v/>
      </c>
      <c r="D15" s="16">
        <f>COUNTIFS('Lifting Log'!B:B,A15)</f>
        <v/>
      </c>
      <c r="E15" s="29">
        <f>SUMIFS('Lifting Log'!I:I,'Lifting Log'!B:B,A15)</f>
        <v/>
      </c>
      <c r="F15" s="36">
        <f>IFERROR(AVERAGEIFS('Lifting Log'!H:H,'Lifting Log'!B:B,A15),"")</f>
        <v/>
      </c>
      <c r="G15" s="16">
        <f>COUNTIFS('Running Log'!B:B,A15)</f>
        <v/>
      </c>
      <c r="H15" s="27">
        <f>SUMIFS('Running Log'!C:C,'Running Log'!B:B,A15)</f>
        <v/>
      </c>
      <c r="I15" s="19">
        <f>SUMIFS('Running Log'!D:D,'Running Log'!B:B,A15)</f>
        <v/>
      </c>
      <c r="J15" s="19">
        <f>IFERROR(AVERAGEIFS('Running Log'!F:F,'Running Log'!B:B,A15),"")</f>
        <v/>
      </c>
      <c r="K15" s="36">
        <f>IFERROR(AVERAGEIFS('Body Metrics'!C:C,'Body Metrics'!B:B,A15),"")</f>
        <v/>
      </c>
    </row>
    <row r="16">
      <c r="A16" s="16" t="n">
        <v>15</v>
      </c>
      <c r="B16" s="16">
        <f>TEXT(DATE(2026,4,27)+(A16-1)*7,"mmm d")&amp;" – "&amp;TEXT(DATE(2026,4,27)+A16*7-1,"mmm d")</f>
        <v/>
      </c>
      <c r="C16" s="16">
        <f>SUMPRODUCT(IFERROR((('Lifting Log'!B2:B801=A16)*('Lifting Log'!E2:E801=1))/COUNTIFS('Lifting Log'!A:A,'Lifting Log'!A2:A801,'Lifting Log'!E:E,1),0))</f>
        <v/>
      </c>
      <c r="D16" s="16">
        <f>COUNTIFS('Lifting Log'!B:B,A16)</f>
        <v/>
      </c>
      <c r="E16" s="29">
        <f>SUMIFS('Lifting Log'!I:I,'Lifting Log'!B:B,A16)</f>
        <v/>
      </c>
      <c r="F16" s="36">
        <f>IFERROR(AVERAGEIFS('Lifting Log'!H:H,'Lifting Log'!B:B,A16),"")</f>
        <v/>
      </c>
      <c r="G16" s="16">
        <f>COUNTIFS('Running Log'!B:B,A16)</f>
        <v/>
      </c>
      <c r="H16" s="27">
        <f>SUMIFS('Running Log'!C:C,'Running Log'!B:B,A16)</f>
        <v/>
      </c>
      <c r="I16" s="19">
        <f>SUMIFS('Running Log'!D:D,'Running Log'!B:B,A16)</f>
        <v/>
      </c>
      <c r="J16" s="19">
        <f>IFERROR(AVERAGEIFS('Running Log'!F:F,'Running Log'!B:B,A16),"")</f>
        <v/>
      </c>
      <c r="K16" s="36">
        <f>IFERROR(AVERAGEIFS('Body Metrics'!C:C,'Body Metrics'!B:B,A16),"")</f>
        <v/>
      </c>
    </row>
    <row r="17">
      <c r="A17" s="16" t="n">
        <v>16</v>
      </c>
      <c r="B17" s="16">
        <f>TEXT(DATE(2026,4,27)+(A17-1)*7,"mmm d")&amp;" – "&amp;TEXT(DATE(2026,4,27)+A17*7-1,"mmm d")</f>
        <v/>
      </c>
      <c r="C17" s="16">
        <f>SUMPRODUCT(IFERROR((('Lifting Log'!B2:B801=A17)*('Lifting Log'!E2:E801=1))/COUNTIFS('Lifting Log'!A:A,'Lifting Log'!A2:A801,'Lifting Log'!E:E,1),0))</f>
        <v/>
      </c>
      <c r="D17" s="16">
        <f>COUNTIFS('Lifting Log'!B:B,A17)</f>
        <v/>
      </c>
      <c r="E17" s="29">
        <f>SUMIFS('Lifting Log'!I:I,'Lifting Log'!B:B,A17)</f>
        <v/>
      </c>
      <c r="F17" s="36">
        <f>IFERROR(AVERAGEIFS('Lifting Log'!H:H,'Lifting Log'!B:B,A17),"")</f>
        <v/>
      </c>
      <c r="G17" s="16">
        <f>COUNTIFS('Running Log'!B:B,A17)</f>
        <v/>
      </c>
      <c r="H17" s="27">
        <f>SUMIFS('Running Log'!C:C,'Running Log'!B:B,A17)</f>
        <v/>
      </c>
      <c r="I17" s="19">
        <f>SUMIFS('Running Log'!D:D,'Running Log'!B:B,A17)</f>
        <v/>
      </c>
      <c r="J17" s="19">
        <f>IFERROR(AVERAGEIFS('Running Log'!F:F,'Running Log'!B:B,A17),"")</f>
        <v/>
      </c>
      <c r="K17" s="36">
        <f>IFERROR(AVERAGEIFS('Body Metrics'!C:C,'Body Metrics'!B:B,A17),"")</f>
        <v/>
      </c>
    </row>
    <row r="18">
      <c r="A18" s="16" t="n">
        <v>17</v>
      </c>
      <c r="B18" s="16">
        <f>TEXT(DATE(2026,4,27)+(A18-1)*7,"mmm d")&amp;" – "&amp;TEXT(DATE(2026,4,27)+A18*7-1,"mmm d")</f>
        <v/>
      </c>
      <c r="C18" s="16">
        <f>SUMPRODUCT(IFERROR((('Lifting Log'!B2:B801=A18)*('Lifting Log'!E2:E801=1))/COUNTIFS('Lifting Log'!A:A,'Lifting Log'!A2:A801,'Lifting Log'!E:E,1),0))</f>
        <v/>
      </c>
      <c r="D18" s="16">
        <f>COUNTIFS('Lifting Log'!B:B,A18)</f>
        <v/>
      </c>
      <c r="E18" s="29">
        <f>SUMIFS('Lifting Log'!I:I,'Lifting Log'!B:B,A18)</f>
        <v/>
      </c>
      <c r="F18" s="36">
        <f>IFERROR(AVERAGEIFS('Lifting Log'!H:H,'Lifting Log'!B:B,A18),"")</f>
        <v/>
      </c>
      <c r="G18" s="16">
        <f>COUNTIFS('Running Log'!B:B,A18)</f>
        <v/>
      </c>
      <c r="H18" s="27">
        <f>SUMIFS('Running Log'!C:C,'Running Log'!B:B,A18)</f>
        <v/>
      </c>
      <c r="I18" s="19">
        <f>SUMIFS('Running Log'!D:D,'Running Log'!B:B,A18)</f>
        <v/>
      </c>
      <c r="J18" s="19">
        <f>IFERROR(AVERAGEIFS('Running Log'!F:F,'Running Log'!B:B,A18),"")</f>
        <v/>
      </c>
      <c r="K18" s="36">
        <f>IFERROR(AVERAGEIFS('Body Metrics'!C:C,'Body Metrics'!B:B,A18),"")</f>
        <v/>
      </c>
    </row>
    <row r="19">
      <c r="A19" s="16" t="n">
        <v>18</v>
      </c>
      <c r="B19" s="16">
        <f>TEXT(DATE(2026,4,27)+(A19-1)*7,"mmm d")&amp;" – "&amp;TEXT(DATE(2026,4,27)+A19*7-1,"mmm d")</f>
        <v/>
      </c>
      <c r="C19" s="16">
        <f>SUMPRODUCT(IFERROR((('Lifting Log'!B2:B801=A19)*('Lifting Log'!E2:E801=1))/COUNTIFS('Lifting Log'!A:A,'Lifting Log'!A2:A801,'Lifting Log'!E:E,1),0))</f>
        <v/>
      </c>
      <c r="D19" s="16">
        <f>COUNTIFS('Lifting Log'!B:B,A19)</f>
        <v/>
      </c>
      <c r="E19" s="29">
        <f>SUMIFS('Lifting Log'!I:I,'Lifting Log'!B:B,A19)</f>
        <v/>
      </c>
      <c r="F19" s="36">
        <f>IFERROR(AVERAGEIFS('Lifting Log'!H:H,'Lifting Log'!B:B,A19),"")</f>
        <v/>
      </c>
      <c r="G19" s="16">
        <f>COUNTIFS('Running Log'!B:B,A19)</f>
        <v/>
      </c>
      <c r="H19" s="27">
        <f>SUMIFS('Running Log'!C:C,'Running Log'!B:B,A19)</f>
        <v/>
      </c>
      <c r="I19" s="19">
        <f>SUMIFS('Running Log'!D:D,'Running Log'!B:B,A19)</f>
        <v/>
      </c>
      <c r="J19" s="19">
        <f>IFERROR(AVERAGEIFS('Running Log'!F:F,'Running Log'!B:B,A19),"")</f>
        <v/>
      </c>
      <c r="K19" s="36">
        <f>IFERROR(AVERAGEIFS('Body Metrics'!C:C,'Body Metrics'!B:B,A19),"")</f>
        <v/>
      </c>
    </row>
    <row r="20">
      <c r="A20" s="16" t="n">
        <v>19</v>
      </c>
      <c r="B20" s="16">
        <f>TEXT(DATE(2026,4,27)+(A20-1)*7,"mmm d")&amp;" – "&amp;TEXT(DATE(2026,4,27)+A20*7-1,"mmm d")</f>
        <v/>
      </c>
      <c r="C20" s="16">
        <f>SUMPRODUCT(IFERROR((('Lifting Log'!B2:B801=A20)*('Lifting Log'!E2:E801=1))/COUNTIFS('Lifting Log'!A:A,'Lifting Log'!A2:A801,'Lifting Log'!E:E,1),0))</f>
        <v/>
      </c>
      <c r="D20" s="16">
        <f>COUNTIFS('Lifting Log'!B:B,A20)</f>
        <v/>
      </c>
      <c r="E20" s="29">
        <f>SUMIFS('Lifting Log'!I:I,'Lifting Log'!B:B,A20)</f>
        <v/>
      </c>
      <c r="F20" s="36">
        <f>IFERROR(AVERAGEIFS('Lifting Log'!H:H,'Lifting Log'!B:B,A20),"")</f>
        <v/>
      </c>
      <c r="G20" s="16">
        <f>COUNTIFS('Running Log'!B:B,A20)</f>
        <v/>
      </c>
      <c r="H20" s="27">
        <f>SUMIFS('Running Log'!C:C,'Running Log'!B:B,A20)</f>
        <v/>
      </c>
      <c r="I20" s="19">
        <f>SUMIFS('Running Log'!D:D,'Running Log'!B:B,A20)</f>
        <v/>
      </c>
      <c r="J20" s="19">
        <f>IFERROR(AVERAGEIFS('Running Log'!F:F,'Running Log'!B:B,A20),"")</f>
        <v/>
      </c>
      <c r="K20" s="36">
        <f>IFERROR(AVERAGEIFS('Body Metrics'!C:C,'Body Metrics'!B:B,A20),"")</f>
        <v/>
      </c>
    </row>
    <row r="21">
      <c r="A21" s="16" t="n">
        <v>20</v>
      </c>
      <c r="B21" s="16">
        <f>TEXT(DATE(2026,4,27)+(A21-1)*7,"mmm d")&amp;" – "&amp;TEXT(DATE(2026,4,27)+A21*7-1,"mmm d")</f>
        <v/>
      </c>
      <c r="C21" s="16">
        <f>SUMPRODUCT(IFERROR((('Lifting Log'!B2:B801=A21)*('Lifting Log'!E2:E801=1))/COUNTIFS('Lifting Log'!A:A,'Lifting Log'!A2:A801,'Lifting Log'!E:E,1),0))</f>
        <v/>
      </c>
      <c r="D21" s="16">
        <f>COUNTIFS('Lifting Log'!B:B,A21)</f>
        <v/>
      </c>
      <c r="E21" s="29">
        <f>SUMIFS('Lifting Log'!I:I,'Lifting Log'!B:B,A21)</f>
        <v/>
      </c>
      <c r="F21" s="36">
        <f>IFERROR(AVERAGEIFS('Lifting Log'!H:H,'Lifting Log'!B:B,A21),"")</f>
        <v/>
      </c>
      <c r="G21" s="16">
        <f>COUNTIFS('Running Log'!B:B,A21)</f>
        <v/>
      </c>
      <c r="H21" s="27">
        <f>SUMIFS('Running Log'!C:C,'Running Log'!B:B,A21)</f>
        <v/>
      </c>
      <c r="I21" s="19">
        <f>SUMIFS('Running Log'!D:D,'Running Log'!B:B,A21)</f>
        <v/>
      </c>
      <c r="J21" s="19">
        <f>IFERROR(AVERAGEIFS('Running Log'!F:F,'Running Log'!B:B,A21),"")</f>
        <v/>
      </c>
      <c r="K21" s="36">
        <f>IFERROR(AVERAGEIFS('Body Metrics'!C:C,'Body Metrics'!B:B,A21),"")</f>
        <v/>
      </c>
    </row>
    <row r="22">
      <c r="A22" s="16" t="n">
        <v>21</v>
      </c>
      <c r="B22" s="16">
        <f>TEXT(DATE(2026,4,27)+(A22-1)*7,"mmm d")&amp;" – "&amp;TEXT(DATE(2026,4,27)+A22*7-1,"mmm d")</f>
        <v/>
      </c>
      <c r="C22" s="16">
        <f>SUMPRODUCT(IFERROR((('Lifting Log'!B2:B801=A22)*('Lifting Log'!E2:E801=1))/COUNTIFS('Lifting Log'!A:A,'Lifting Log'!A2:A801,'Lifting Log'!E:E,1),0))</f>
        <v/>
      </c>
      <c r="D22" s="16">
        <f>COUNTIFS('Lifting Log'!B:B,A22)</f>
        <v/>
      </c>
      <c r="E22" s="29">
        <f>SUMIFS('Lifting Log'!I:I,'Lifting Log'!B:B,A22)</f>
        <v/>
      </c>
      <c r="F22" s="36">
        <f>IFERROR(AVERAGEIFS('Lifting Log'!H:H,'Lifting Log'!B:B,A22),"")</f>
        <v/>
      </c>
      <c r="G22" s="16">
        <f>COUNTIFS('Running Log'!B:B,A22)</f>
        <v/>
      </c>
      <c r="H22" s="27">
        <f>SUMIFS('Running Log'!C:C,'Running Log'!B:B,A22)</f>
        <v/>
      </c>
      <c r="I22" s="19">
        <f>SUMIFS('Running Log'!D:D,'Running Log'!B:B,A22)</f>
        <v/>
      </c>
      <c r="J22" s="19">
        <f>IFERROR(AVERAGEIFS('Running Log'!F:F,'Running Log'!B:B,A22),"")</f>
        <v/>
      </c>
      <c r="K22" s="36">
        <f>IFERROR(AVERAGEIFS('Body Metrics'!C:C,'Body Metrics'!B:B,A22),"")</f>
        <v/>
      </c>
    </row>
    <row r="23">
      <c r="A23" s="16" t="n">
        <v>22</v>
      </c>
      <c r="B23" s="16">
        <f>TEXT(DATE(2026,4,27)+(A23-1)*7,"mmm d")&amp;" – "&amp;TEXT(DATE(2026,4,27)+A23*7-1,"mmm d")</f>
        <v/>
      </c>
      <c r="C23" s="16">
        <f>SUMPRODUCT(IFERROR((('Lifting Log'!B2:B801=A23)*('Lifting Log'!E2:E801=1))/COUNTIFS('Lifting Log'!A:A,'Lifting Log'!A2:A801,'Lifting Log'!E:E,1),0))</f>
        <v/>
      </c>
      <c r="D23" s="16">
        <f>COUNTIFS('Lifting Log'!B:B,A23)</f>
        <v/>
      </c>
      <c r="E23" s="29">
        <f>SUMIFS('Lifting Log'!I:I,'Lifting Log'!B:B,A23)</f>
        <v/>
      </c>
      <c r="F23" s="36">
        <f>IFERROR(AVERAGEIFS('Lifting Log'!H:H,'Lifting Log'!B:B,A23),"")</f>
        <v/>
      </c>
      <c r="G23" s="16">
        <f>COUNTIFS('Running Log'!B:B,A23)</f>
        <v/>
      </c>
      <c r="H23" s="27">
        <f>SUMIFS('Running Log'!C:C,'Running Log'!B:B,A23)</f>
        <v/>
      </c>
      <c r="I23" s="19">
        <f>SUMIFS('Running Log'!D:D,'Running Log'!B:B,A23)</f>
        <v/>
      </c>
      <c r="J23" s="19">
        <f>IFERROR(AVERAGEIFS('Running Log'!F:F,'Running Log'!B:B,A23),"")</f>
        <v/>
      </c>
      <c r="K23" s="36">
        <f>IFERROR(AVERAGEIFS('Body Metrics'!C:C,'Body Metrics'!B:B,A23),"")</f>
        <v/>
      </c>
    </row>
    <row r="24">
      <c r="A24" s="16" t="n">
        <v>23</v>
      </c>
      <c r="B24" s="16">
        <f>TEXT(DATE(2026,4,27)+(A24-1)*7,"mmm d")&amp;" – "&amp;TEXT(DATE(2026,4,27)+A24*7-1,"mmm d")</f>
        <v/>
      </c>
      <c r="C24" s="16">
        <f>SUMPRODUCT(IFERROR((('Lifting Log'!B2:B801=A24)*('Lifting Log'!E2:E801=1))/COUNTIFS('Lifting Log'!A:A,'Lifting Log'!A2:A801,'Lifting Log'!E:E,1),0))</f>
        <v/>
      </c>
      <c r="D24" s="16">
        <f>COUNTIFS('Lifting Log'!B:B,A24)</f>
        <v/>
      </c>
      <c r="E24" s="29">
        <f>SUMIFS('Lifting Log'!I:I,'Lifting Log'!B:B,A24)</f>
        <v/>
      </c>
      <c r="F24" s="36">
        <f>IFERROR(AVERAGEIFS('Lifting Log'!H:H,'Lifting Log'!B:B,A24),"")</f>
        <v/>
      </c>
      <c r="G24" s="16">
        <f>COUNTIFS('Running Log'!B:B,A24)</f>
        <v/>
      </c>
      <c r="H24" s="27">
        <f>SUMIFS('Running Log'!C:C,'Running Log'!B:B,A24)</f>
        <v/>
      </c>
      <c r="I24" s="19">
        <f>SUMIFS('Running Log'!D:D,'Running Log'!B:B,A24)</f>
        <v/>
      </c>
      <c r="J24" s="19">
        <f>IFERROR(AVERAGEIFS('Running Log'!F:F,'Running Log'!B:B,A24),"")</f>
        <v/>
      </c>
      <c r="K24" s="36">
        <f>IFERROR(AVERAGEIFS('Body Metrics'!C:C,'Body Metrics'!B:B,A24),"")</f>
        <v/>
      </c>
    </row>
    <row r="25">
      <c r="A25" s="16" t="n">
        <v>24</v>
      </c>
      <c r="B25" s="16">
        <f>TEXT(DATE(2026,4,27)+(A25-1)*7,"mmm d")&amp;" – "&amp;TEXT(DATE(2026,4,27)+A25*7-1,"mmm d")</f>
        <v/>
      </c>
      <c r="C25" s="16">
        <f>SUMPRODUCT(IFERROR((('Lifting Log'!B2:B801=A25)*('Lifting Log'!E2:E801=1))/COUNTIFS('Lifting Log'!A:A,'Lifting Log'!A2:A801,'Lifting Log'!E:E,1),0))</f>
        <v/>
      </c>
      <c r="D25" s="16">
        <f>COUNTIFS('Lifting Log'!B:B,A25)</f>
        <v/>
      </c>
      <c r="E25" s="29">
        <f>SUMIFS('Lifting Log'!I:I,'Lifting Log'!B:B,A25)</f>
        <v/>
      </c>
      <c r="F25" s="36">
        <f>IFERROR(AVERAGEIFS('Lifting Log'!H:H,'Lifting Log'!B:B,A25),"")</f>
        <v/>
      </c>
      <c r="G25" s="16">
        <f>COUNTIFS('Running Log'!B:B,A25)</f>
        <v/>
      </c>
      <c r="H25" s="27">
        <f>SUMIFS('Running Log'!C:C,'Running Log'!B:B,A25)</f>
        <v/>
      </c>
      <c r="I25" s="19">
        <f>SUMIFS('Running Log'!D:D,'Running Log'!B:B,A25)</f>
        <v/>
      </c>
      <c r="J25" s="19">
        <f>IFERROR(AVERAGEIFS('Running Log'!F:F,'Running Log'!B:B,A25),"")</f>
        <v/>
      </c>
      <c r="K25" s="36">
        <f>IFERROR(AVERAGEIFS('Body Metrics'!C:C,'Body Metrics'!B:B,A25),"")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2026-09-08T19:45:11Z</dcterms:modified>
</cp:coreProperties>
</file>