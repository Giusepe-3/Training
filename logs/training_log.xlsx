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v>46300</v>
      </c>
      <c r="B480" s="16">
        <f>IF(A480="","",IFERROR(INT((A480-DATE(2026,4,27))/7)+1,""))</f>
        <v/>
      </c>
      <c r="C480" s="16" t="inlineStr">
        <is>
          <t>Gym Full Body</t>
        </is>
      </c>
      <c r="D480" s="17" t="inlineStr">
        <is>
          <t>Bench Press</t>
        </is>
      </c>
      <c r="E480" s="16" t="n">
        <v>1</v>
      </c>
      <c r="F480" s="16" t="n">
        <v>8</v>
      </c>
      <c r="G480" s="36" t="n">
        <v>25</v>
      </c>
      <c r="H480" s="16" t="n">
        <v>7</v>
      </c>
      <c r="I480" s="19">
        <f>IF(OR(F480="",G480=""),"",F480*G480)</f>
        <v/>
      </c>
      <c r="J480" s="36">
        <f>IF(OR(F480="",G480=""),"",ROUND(G480*(1+F480/30),1))</f>
        <v/>
      </c>
      <c r="K480" s="20" t="inlineStr">
        <is>
          <t>Gym #1, first barbell since Jun. Seeded 32.5, ran 25. Hold 25.</t>
        </is>
      </c>
    </row>
    <row r="481" ht="18" customHeight="1">
      <c r="A481" s="37" t="n">
        <v>46300</v>
      </c>
      <c r="B481" s="22">
        <f>IF(A481="","",IFERROR(INT((A481-DATE(2026,4,27))/7)+1,""))</f>
        <v/>
      </c>
      <c r="C481" s="22" t="inlineStr">
        <is>
          <t>Gym Full Body</t>
        </is>
      </c>
      <c r="D481" s="23" t="inlineStr">
        <is>
          <t>Bench Press</t>
        </is>
      </c>
      <c r="E481" s="22" t="n">
        <v>2</v>
      </c>
      <c r="F481" s="22" t="n">
        <v>8</v>
      </c>
      <c r="G481" s="38" t="n">
        <v>25</v>
      </c>
      <c r="H481" s="22" t="n">
        <v>8</v>
      </c>
      <c r="I481" s="25">
        <f>IF(OR(F481="",G481=""),"",F481*G481)</f>
        <v/>
      </c>
      <c r="J481" s="38">
        <f>IF(OR(F481="",G481=""),"",ROUND(G481*(1+F481/30),1))</f>
        <v/>
      </c>
      <c r="K481" s="26" t="n"/>
    </row>
    <row r="482" ht="18" customHeight="1">
      <c r="A482" s="35" t="n">
        <v>46300</v>
      </c>
      <c r="B482" s="16">
        <f>IF(A482="","",IFERROR(INT((A482-DATE(2026,4,27))/7)+1,""))</f>
        <v/>
      </c>
      <c r="C482" s="16" t="inlineStr">
        <is>
          <t>Gym Full Body</t>
        </is>
      </c>
      <c r="D482" s="17" t="inlineStr">
        <is>
          <t>Bench Press</t>
        </is>
      </c>
      <c r="E482" s="16" t="n">
        <v>3</v>
      </c>
      <c r="F482" s="16" t="n">
        <v>8</v>
      </c>
      <c r="G482" s="36" t="n">
        <v>25</v>
      </c>
      <c r="H482" s="16" t="n">
        <v>8</v>
      </c>
      <c r="I482" s="19">
        <f>IF(OR(F482="",G482=""),"",F482*G482)</f>
        <v/>
      </c>
      <c r="J482" s="36">
        <f>IF(OR(F482="",G482=""),"",ROUND(G482*(1+F482/30),1))</f>
        <v/>
      </c>
      <c r="K482" s="20" t="n"/>
    </row>
    <row r="483" ht="18" customHeight="1">
      <c r="A483" s="37" t="n">
        <v>46300</v>
      </c>
      <c r="B483" s="22">
        <f>IF(A483="","",IFERROR(INT((A483-DATE(2026,4,27))/7)+1,""))</f>
        <v/>
      </c>
      <c r="C483" s="22" t="inlineStr">
        <is>
          <t>Gym Full Body</t>
        </is>
      </c>
      <c r="D483" s="23" t="inlineStr">
        <is>
          <t>Bench Press</t>
        </is>
      </c>
      <c r="E483" s="22" t="n">
        <v>4</v>
      </c>
      <c r="F483" s="22" t="n">
        <v>8</v>
      </c>
      <c r="G483" s="38" t="n">
        <v>25</v>
      </c>
      <c r="H483" s="22" t="n">
        <v>8</v>
      </c>
      <c r="I483" s="25">
        <f>IF(OR(F483="",G483=""),"",F483*G483)</f>
        <v/>
      </c>
      <c r="J483" s="38">
        <f>IF(OR(F483="",G483=""),"",ROUND(G483*(1+F483/30),1))</f>
        <v/>
      </c>
      <c r="K483" s="26" t="n"/>
    </row>
    <row r="484" ht="18" customHeight="1">
      <c r="A484" s="35" t="n">
        <v>46300</v>
      </c>
      <c r="B484" s="16">
        <f>IF(A484="","",IFERROR(INT((A484-DATE(2026,4,27))/7)+1,""))</f>
        <v/>
      </c>
      <c r="C484" s="16" t="inlineStr">
        <is>
          <t>Gym Full Body</t>
        </is>
      </c>
      <c r="D484" s="17" t="inlineStr">
        <is>
          <t>Lat Pulldown</t>
        </is>
      </c>
      <c r="E484" s="16" t="n">
        <v>1</v>
      </c>
      <c r="F484" s="16" t="n">
        <v>10</v>
      </c>
      <c r="G484" s="36" t="n">
        <v>25</v>
      </c>
      <c r="H484" s="16" t="n">
        <v>6</v>
      </c>
      <c r="I484" s="19">
        <f>IF(OR(F484="",G484=""),"",F484*G484)</f>
        <v/>
      </c>
      <c r="J484" s="36">
        <f>IF(OR(F484="",G484=""),"",ROUND(G484*(1+F484/30),1))</f>
        <v/>
      </c>
      <c r="K484" s="20" t="inlineStr">
        <is>
          <t>S4 RPE 8 -&gt; hold 25.</t>
        </is>
      </c>
    </row>
    <row r="485" ht="18" customHeight="1">
      <c r="A485" s="37" t="n">
        <v>46300</v>
      </c>
      <c r="B485" s="22">
        <f>IF(A485="","",IFERROR(INT((A485-DATE(2026,4,27))/7)+1,""))</f>
        <v/>
      </c>
      <c r="C485" s="22" t="inlineStr">
        <is>
          <t>Gym Full Body</t>
        </is>
      </c>
      <c r="D485" s="23" t="inlineStr">
        <is>
          <t>Lat Pulldown</t>
        </is>
      </c>
      <c r="E485" s="22" t="n">
        <v>2</v>
      </c>
      <c r="F485" s="22" t="n">
        <v>10</v>
      </c>
      <c r="G485" s="38" t="n">
        <v>25</v>
      </c>
      <c r="H485" s="22" t="n">
        <v>7</v>
      </c>
      <c r="I485" s="25">
        <f>IF(OR(F485="",G485=""),"",F485*G485)</f>
        <v/>
      </c>
      <c r="J485" s="38">
        <f>IF(OR(F485="",G485=""),"",ROUND(G485*(1+F485/30),1))</f>
        <v/>
      </c>
      <c r="K485" s="26" t="n"/>
    </row>
    <row r="486" ht="18" customHeight="1">
      <c r="A486" s="35" t="n">
        <v>46300</v>
      </c>
      <c r="B486" s="16">
        <f>IF(A486="","",IFERROR(INT((A486-DATE(2026,4,27))/7)+1,""))</f>
        <v/>
      </c>
      <c r="C486" s="16" t="inlineStr">
        <is>
          <t>Gym Full Body</t>
        </is>
      </c>
      <c r="D486" s="17" t="inlineStr">
        <is>
          <t>Lat Pulldown</t>
        </is>
      </c>
      <c r="E486" s="16" t="n">
        <v>3</v>
      </c>
      <c r="F486" s="16" t="n">
        <v>10</v>
      </c>
      <c r="G486" s="36" t="n">
        <v>25</v>
      </c>
      <c r="H486" s="16" t="n">
        <v>7</v>
      </c>
      <c r="I486" s="19">
        <f>IF(OR(F486="",G486=""),"",F486*G486)</f>
        <v/>
      </c>
      <c r="J486" s="36">
        <f>IF(OR(F486="",G486=""),"",ROUND(G486*(1+F486/30),1))</f>
        <v/>
      </c>
      <c r="K486" s="20" t="n"/>
    </row>
    <row r="487" ht="18" customHeight="1">
      <c r="A487" s="37" t="n">
        <v>46300</v>
      </c>
      <c r="B487" s="22">
        <f>IF(A487="","",IFERROR(INT((A487-DATE(2026,4,27))/7)+1,""))</f>
        <v/>
      </c>
      <c r="C487" s="22" t="inlineStr">
        <is>
          <t>Gym Full Body</t>
        </is>
      </c>
      <c r="D487" s="23" t="inlineStr">
        <is>
          <t>Lat Pulldown</t>
        </is>
      </c>
      <c r="E487" s="22" t="n">
        <v>4</v>
      </c>
      <c r="F487" s="22" t="n">
        <v>10</v>
      </c>
      <c r="G487" s="38" t="n">
        <v>25</v>
      </c>
      <c r="H487" s="22" t="n">
        <v>8</v>
      </c>
      <c r="I487" s="25">
        <f>IF(OR(F487="",G487=""),"",F487*G487)</f>
        <v/>
      </c>
      <c r="J487" s="38">
        <f>IF(OR(F487="",G487=""),"",ROUND(G487*(1+F487/30),1))</f>
        <v/>
      </c>
      <c r="K487" s="26" t="n"/>
    </row>
    <row r="488" ht="18" customHeight="1">
      <c r="A488" s="35" t="n">
        <v>46300</v>
      </c>
      <c r="B488" s="16">
        <f>IF(A488="","",IFERROR(INT((A488-DATE(2026,4,27))/7)+1,""))</f>
        <v/>
      </c>
      <c r="C488" s="16" t="inlineStr">
        <is>
          <t>Gym Full Body</t>
        </is>
      </c>
      <c r="D488" s="17" t="inlineStr">
        <is>
          <t>Incline DB Press</t>
        </is>
      </c>
      <c r="E488" s="16" t="n">
        <v>1</v>
      </c>
      <c r="F488" s="16" t="n">
        <v>10</v>
      </c>
      <c r="G488" s="36" t="n">
        <v>5</v>
      </c>
      <c r="H488" s="16" t="n">
        <v>7</v>
      </c>
      <c r="I488" s="19">
        <f>IF(OR(F488="",G488=""),"",F488*G488)</f>
        <v/>
      </c>
      <c r="J488" s="36">
        <f>IF(OR(F488="",G488=""),"",ROUND(G488*(1+F488/30),1))</f>
        <v/>
      </c>
      <c r="K488" s="20" t="inlineStr">
        <is>
          <t>per-DB. Gate cleared -&gt; 6/DB.</t>
        </is>
      </c>
    </row>
    <row r="489" ht="18" customHeight="1">
      <c r="A489" s="37" t="n">
        <v>46300</v>
      </c>
      <c r="B489" s="22">
        <f>IF(A489="","",IFERROR(INT((A489-DATE(2026,4,27))/7)+1,""))</f>
        <v/>
      </c>
      <c r="C489" s="22" t="inlineStr">
        <is>
          <t>Gym Full Body</t>
        </is>
      </c>
      <c r="D489" s="23" t="inlineStr">
        <is>
          <t>Incline DB Press</t>
        </is>
      </c>
      <c r="E489" s="22" t="n">
        <v>2</v>
      </c>
      <c r="F489" s="22" t="n">
        <v>10</v>
      </c>
      <c r="G489" s="38" t="n">
        <v>5</v>
      </c>
      <c r="H489" s="22" t="n">
        <v>7</v>
      </c>
      <c r="I489" s="25">
        <f>IF(OR(F489="",G489=""),"",F489*G489)</f>
        <v/>
      </c>
      <c r="J489" s="38">
        <f>IF(OR(F489="",G489=""),"",ROUND(G489*(1+F489/30),1))</f>
        <v/>
      </c>
      <c r="K489" s="26" t="n"/>
    </row>
    <row r="490" ht="18" customHeight="1">
      <c r="A490" s="35" t="n">
        <v>46300</v>
      </c>
      <c r="B490" s="16">
        <f>IF(A490="","",IFERROR(INT((A490-DATE(2026,4,27))/7)+1,""))</f>
        <v/>
      </c>
      <c r="C490" s="16" t="inlineStr">
        <is>
          <t>Gym Full Body</t>
        </is>
      </c>
      <c r="D490" s="17" t="inlineStr">
        <is>
          <t>Incline DB Press</t>
        </is>
      </c>
      <c r="E490" s="16" t="n">
        <v>3</v>
      </c>
      <c r="F490" s="16" t="n">
        <v>10</v>
      </c>
      <c r="G490" s="36" t="n">
        <v>5</v>
      </c>
      <c r="H490" s="16" t="n">
        <v>7</v>
      </c>
      <c r="I490" s="19">
        <f>IF(OR(F490="",G490=""),"",F490*G490)</f>
        <v/>
      </c>
      <c r="J490" s="36">
        <f>IF(OR(F490="",G490=""),"",ROUND(G490*(1+F490/30),1))</f>
        <v/>
      </c>
      <c r="K490" s="20" t="n"/>
    </row>
    <row r="491" ht="18" customHeight="1">
      <c r="A491" s="37" t="n">
        <v>46300</v>
      </c>
      <c r="B491" s="22">
        <f>IF(A491="","",IFERROR(INT((A491-DATE(2026,4,27))/7)+1,""))</f>
        <v/>
      </c>
      <c r="C491" s="22" t="inlineStr">
        <is>
          <t>Gym Full Body</t>
        </is>
      </c>
      <c r="D491" s="23" t="inlineStr">
        <is>
          <t>Barbell Lying Row</t>
        </is>
      </c>
      <c r="E491" s="22" t="n">
        <v>1</v>
      </c>
      <c r="F491" s="22" t="n">
        <v>12</v>
      </c>
      <c r="G491" s="38" t="n">
        <v>30</v>
      </c>
      <c r="H491" s="22" t="n">
        <v>6</v>
      </c>
      <c r="I491" s="25">
        <f>IF(OR(F491="",G491=""),"",F491*G491)</f>
        <v/>
      </c>
      <c r="J491" s="38">
        <f>IF(OR(F491="",G491=""),"",ROUND(G491*(1+F491/30),1))</f>
        <v/>
      </c>
      <c r="K491" s="26" t="inlineStr">
        <is>
          <t>Sub for cable row. Gate cleared -&gt; 32.5.</t>
        </is>
      </c>
    </row>
    <row r="492" ht="18" customHeight="1">
      <c r="A492" s="35" t="n">
        <v>46300</v>
      </c>
      <c r="B492" s="16">
        <f>IF(A492="","",IFERROR(INT((A492-DATE(2026,4,27))/7)+1,""))</f>
        <v/>
      </c>
      <c r="C492" s="16" t="inlineStr">
        <is>
          <t>Gym Full Body</t>
        </is>
      </c>
      <c r="D492" s="17" t="inlineStr">
        <is>
          <t>Barbell Lying Row</t>
        </is>
      </c>
      <c r="E492" s="16" t="n">
        <v>2</v>
      </c>
      <c r="F492" s="16" t="n">
        <v>12</v>
      </c>
      <c r="G492" s="36" t="n">
        <v>30</v>
      </c>
      <c r="H492" s="16" t="n">
        <v>6</v>
      </c>
      <c r="I492" s="19">
        <f>IF(OR(F492="",G492=""),"",F492*G492)</f>
        <v/>
      </c>
      <c r="J492" s="36">
        <f>IF(OR(F492="",G492=""),"",ROUND(G492*(1+F492/30),1))</f>
        <v/>
      </c>
      <c r="K492" s="20" t="n"/>
    </row>
    <row r="493" ht="18" customHeight="1">
      <c r="A493" s="37" t="n">
        <v>46300</v>
      </c>
      <c r="B493" s="22">
        <f>IF(A493="","",IFERROR(INT((A493-DATE(2026,4,27))/7)+1,""))</f>
        <v/>
      </c>
      <c r="C493" s="22" t="inlineStr">
        <is>
          <t>Gym Full Body</t>
        </is>
      </c>
      <c r="D493" s="23" t="inlineStr">
        <is>
          <t>Barbell Lying Row</t>
        </is>
      </c>
      <c r="E493" s="22" t="n">
        <v>3</v>
      </c>
      <c r="F493" s="22" t="n">
        <v>12</v>
      </c>
      <c r="G493" s="38" t="n">
        <v>30</v>
      </c>
      <c r="H493" s="22" t="n">
        <v>7</v>
      </c>
      <c r="I493" s="25">
        <f>IF(OR(F493="",G493=""),"",F493*G493)</f>
        <v/>
      </c>
      <c r="J493" s="38">
        <f>IF(OR(F493="",G493=""),"",ROUND(G493*(1+F493/30),1))</f>
        <v/>
      </c>
      <c r="K493" s="26" t="n"/>
    </row>
    <row r="494" ht="18" customHeight="1">
      <c r="A494" s="35" t="n">
        <v>46300</v>
      </c>
      <c r="B494" s="16">
        <f>IF(A494="","",IFERROR(INT((A494-DATE(2026,4,27))/7)+1,""))</f>
        <v/>
      </c>
      <c r="C494" s="16" t="inlineStr">
        <is>
          <t>Gym Full Body</t>
        </is>
      </c>
      <c r="D494" s="17" t="inlineStr">
        <is>
          <t>Leg Extension</t>
        </is>
      </c>
      <c r="E494" s="16" t="n">
        <v>1</v>
      </c>
      <c r="F494" s="16" t="n">
        <v>10</v>
      </c>
      <c r="G494" s="36" t="n">
        <v>10</v>
      </c>
      <c r="H494" s="16" t="n">
        <v>5</v>
      </c>
      <c r="I494" s="19">
        <f>IF(OR(F494="",G494=""),"",F494*G494)</f>
        <v/>
      </c>
      <c r="J494" s="36">
        <f>IF(OR(F494="",G494=""),"",ROUND(G494*(1+F494/30),1))</f>
        <v/>
      </c>
      <c r="K494" s="20" t="inlineStr">
        <is>
          <t>Sub for leg press. RPE 6 cap (track Tue). -&gt; 12.5.</t>
        </is>
      </c>
    </row>
    <row r="495" ht="18" customHeight="1">
      <c r="A495" s="37" t="n">
        <v>46300</v>
      </c>
      <c r="B495" s="22">
        <f>IF(A495="","",IFERROR(INT((A495-DATE(2026,4,27))/7)+1,""))</f>
        <v/>
      </c>
      <c r="C495" s="22" t="inlineStr">
        <is>
          <t>Gym Full Body</t>
        </is>
      </c>
      <c r="D495" s="23" t="inlineStr">
        <is>
          <t>Leg Extension</t>
        </is>
      </c>
      <c r="E495" s="22" t="n">
        <v>2</v>
      </c>
      <c r="F495" s="22" t="n">
        <v>10</v>
      </c>
      <c r="G495" s="38" t="n">
        <v>10</v>
      </c>
      <c r="H495" s="22" t="n">
        <v>5</v>
      </c>
      <c r="I495" s="25">
        <f>IF(OR(F495="",G495=""),"",F495*G495)</f>
        <v/>
      </c>
      <c r="J495" s="38">
        <f>IF(OR(F495="",G495=""),"",ROUND(G495*(1+F495/30),1))</f>
        <v/>
      </c>
      <c r="K495" s="26" t="n"/>
    </row>
    <row r="496" ht="18" customHeight="1">
      <c r="A496" s="35" t="n">
        <v>46300</v>
      </c>
      <c r="B496" s="16">
        <f>IF(A496="","",IFERROR(INT((A496-DATE(2026,4,27))/7)+1,""))</f>
        <v/>
      </c>
      <c r="C496" s="16" t="inlineStr">
        <is>
          <t>Gym Full Body</t>
        </is>
      </c>
      <c r="D496" s="17" t="inlineStr">
        <is>
          <t>Lying Leg Curl</t>
        </is>
      </c>
      <c r="E496" s="16" t="n">
        <v>1</v>
      </c>
      <c r="F496" s="16" t="n">
        <v>10</v>
      </c>
      <c r="G496" s="36" t="n">
        <v>10</v>
      </c>
      <c r="H496" s="16" t="n">
        <v>6</v>
      </c>
      <c r="I496" s="19">
        <f>IF(OR(F496="",G496=""),"",F496*G496)</f>
        <v/>
      </c>
      <c r="J496" s="36">
        <f>IF(OR(F496="",G496=""),"",ROUND(G496*(1+F496/30),1))</f>
        <v/>
      </c>
      <c r="K496" s="20" t="inlineStr">
        <is>
          <t>At RPE 6 cap -&gt; hold 10.</t>
        </is>
      </c>
    </row>
    <row r="497" ht="18" customHeight="1">
      <c r="A497" s="37" t="n">
        <v>46300</v>
      </c>
      <c r="B497" s="22">
        <f>IF(A497="","",IFERROR(INT((A497-DATE(2026,4,27))/7)+1,""))</f>
        <v/>
      </c>
      <c r="C497" s="22" t="inlineStr">
        <is>
          <t>Gym Full Body</t>
        </is>
      </c>
      <c r="D497" s="23" t="inlineStr">
        <is>
          <t>Lying Leg Curl</t>
        </is>
      </c>
      <c r="E497" s="22" t="n">
        <v>2</v>
      </c>
      <c r="F497" s="22" t="n">
        <v>10</v>
      </c>
      <c r="G497" s="38" t="n">
        <v>10</v>
      </c>
      <c r="H497" s="22" t="n">
        <v>6</v>
      </c>
      <c r="I497" s="25">
        <f>IF(OR(F497="",G497=""),"",F497*G497)</f>
        <v/>
      </c>
      <c r="J497" s="38">
        <f>IF(OR(F497="",G497=""),"",ROUND(G497*(1+F497/30),1))</f>
        <v/>
      </c>
      <c r="K497" s="26" t="n"/>
    </row>
    <row r="498" ht="18" customHeight="1">
      <c r="A498" s="35" t="n">
        <v>46300</v>
      </c>
      <c r="B498" s="16">
        <f>IF(A498="","",IFERROR(INT((A498-DATE(2026,4,27))/7)+1,""))</f>
        <v/>
      </c>
      <c r="C498" s="16" t="inlineStr">
        <is>
          <t>Gym Full Body</t>
        </is>
      </c>
      <c r="D498" s="17" t="inlineStr">
        <is>
          <t>Tibialis Raise</t>
        </is>
      </c>
      <c r="E498" s="16" t="n">
        <v>1</v>
      </c>
      <c r="F498" s="16" t="n">
        <v>15</v>
      </c>
      <c r="G498" s="36" t="n">
        <v>5</v>
      </c>
      <c r="H498" s="16" t="n">
        <v>8</v>
      </c>
      <c r="I498" s="19">
        <f>IF(OR(F498="",G498=""),"",F498*G498)</f>
        <v/>
      </c>
      <c r="J498" s="36">
        <f>IF(OR(F498="",G498=""),"",ROUND(G498*(1+F498/30),1))</f>
        <v/>
      </c>
      <c r="K498" s="20" t="inlineStr">
        <is>
          <t>Prescribed BW 3x20, ran 5 kg 3x15: reps fell 15/10/8. -&gt; 2.5 kg 3x15.</t>
        </is>
      </c>
    </row>
    <row r="499" ht="18" customHeight="1">
      <c r="A499" s="37" t="n">
        <v>46300</v>
      </c>
      <c r="B499" s="22">
        <f>IF(A499="","",IFERROR(INT((A499-DATE(2026,4,27))/7)+1,""))</f>
        <v/>
      </c>
      <c r="C499" s="22" t="inlineStr">
        <is>
          <t>Gym Full Body</t>
        </is>
      </c>
      <c r="D499" s="23" t="inlineStr">
        <is>
          <t>Tibialis Raise</t>
        </is>
      </c>
      <c r="E499" s="22" t="n">
        <v>2</v>
      </c>
      <c r="F499" s="22" t="n">
        <v>10</v>
      </c>
      <c r="G499" s="38" t="n">
        <v>5</v>
      </c>
      <c r="H499" s="22" t="n">
        <v>8</v>
      </c>
      <c r="I499" s="25">
        <f>IF(OR(F499="",G499=""),"",F499*G499)</f>
        <v/>
      </c>
      <c r="J499" s="38">
        <f>IF(OR(F499="",G499=""),"",ROUND(G499*(1+F499/30),1))</f>
        <v/>
      </c>
      <c r="K499" s="26" t="n"/>
    </row>
    <row r="500" ht="18" customHeight="1">
      <c r="A500" s="35" t="n">
        <v>46300</v>
      </c>
      <c r="B500" s="16">
        <f>IF(A500="","",IFERROR(INT((A500-DATE(2026,4,27))/7)+1,""))</f>
        <v/>
      </c>
      <c r="C500" s="16" t="inlineStr">
        <is>
          <t>Gym Full Body</t>
        </is>
      </c>
      <c r="D500" s="17" t="inlineStr">
        <is>
          <t>Tibialis Raise</t>
        </is>
      </c>
      <c r="E500" s="16" t="n">
        <v>3</v>
      </c>
      <c r="F500" s="16" t="n">
        <v>8</v>
      </c>
      <c r="G500" s="36" t="n">
        <v>5</v>
      </c>
      <c r="H500" s="16" t="n">
        <v>7</v>
      </c>
      <c r="I500" s="19">
        <f>IF(OR(F500="",G500=""),"",F500*G500)</f>
        <v/>
      </c>
      <c r="J500" s="36">
        <f>IF(OR(F500="",G500=""),"",ROUND(G500*(1+F500/30),1))</f>
        <v/>
      </c>
      <c r="K500" s="20" t="n"/>
    </row>
    <row r="501" ht="18" customHeight="1">
      <c r="A501" s="37" t="n">
        <v>46300</v>
      </c>
      <c r="B501" s="22">
        <f>IF(A501="","",IFERROR(INT((A501-DATE(2026,4,27))/7)+1,""))</f>
        <v/>
      </c>
      <c r="C501" s="22" t="inlineStr">
        <is>
          <t>Gym Full Body</t>
        </is>
      </c>
      <c r="D501" s="23" t="inlineStr">
        <is>
          <t>Hanging Knee Raise (BW)</t>
        </is>
      </c>
      <c r="E501" s="22" t="n">
        <v>1</v>
      </c>
      <c r="F501" s="22" t="n">
        <v>8</v>
      </c>
      <c r="G501" s="38" t="n"/>
      <c r="H501" s="22" t="n">
        <v>6</v>
      </c>
      <c r="I501" s="25">
        <f>IF(OR(F501="",G501=""),"",F501*G501)</f>
        <v/>
      </c>
      <c r="J501" s="38">
        <f>IF(OR(F501="",G501=""),"",ROUND(G501*(1+F501/30),1))</f>
        <v/>
      </c>
      <c r="K501" s="26" t="inlineStr">
        <is>
          <t>Hold 3x8.</t>
        </is>
      </c>
    </row>
    <row r="502" ht="18" customHeight="1">
      <c r="A502" s="35" t="n">
        <v>46300</v>
      </c>
      <c r="B502" s="16">
        <f>IF(A502="","",IFERROR(INT((A502-DATE(2026,4,27))/7)+1,""))</f>
        <v/>
      </c>
      <c r="C502" s="16" t="inlineStr">
        <is>
          <t>Gym Full Body</t>
        </is>
      </c>
      <c r="D502" s="17" t="inlineStr">
        <is>
          <t>Hanging Knee Raise (BW)</t>
        </is>
      </c>
      <c r="E502" s="16" t="n">
        <v>2</v>
      </c>
      <c r="F502" s="16" t="n">
        <v>8</v>
      </c>
      <c r="G502" s="36" t="n"/>
      <c r="H502" s="16" t="n">
        <v>8</v>
      </c>
      <c r="I502" s="19">
        <f>IF(OR(F502="",G502=""),"",F502*G502)</f>
        <v/>
      </c>
      <c r="J502" s="36">
        <f>IF(OR(F502="",G502=""),"",ROUND(G502*(1+F502/30),1))</f>
        <v/>
      </c>
      <c r="K502" s="20" t="n"/>
    </row>
    <row r="503" ht="18" customHeight="1">
      <c r="A503" s="37" t="n">
        <v>46300</v>
      </c>
      <c r="B503" s="22">
        <f>IF(A503="","",IFERROR(INT((A503-DATE(2026,4,27))/7)+1,""))</f>
        <v/>
      </c>
      <c r="C503" s="22" t="inlineStr">
        <is>
          <t>Gym Full Body</t>
        </is>
      </c>
      <c r="D503" s="23" t="inlineStr">
        <is>
          <t>Hanging Knee Raise (BW)</t>
        </is>
      </c>
      <c r="E503" s="22" t="n">
        <v>3</v>
      </c>
      <c r="F503" s="22" t="n">
        <v>8</v>
      </c>
      <c r="G503" s="38" t="n"/>
      <c r="H503" s="22" t="n">
        <v>8</v>
      </c>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v>46301</v>
      </c>
      <c r="B28" s="16">
        <f>IF(A28="","",IFERROR(INT((A28-DATE(2026,4,27))/7)+1,""))</f>
        <v/>
      </c>
      <c r="C28" s="27" t="n">
        <v>5</v>
      </c>
      <c r="D28" s="36" t="n">
        <v>28.3</v>
      </c>
      <c r="E28" s="16">
        <f>IF(OR(C28="",D28=""),"",TEXT(D28/C28/1440,"m:ss"))</f>
        <v/>
      </c>
      <c r="F28" s="16" t="n">
        <v>160</v>
      </c>
      <c r="G28" s="16" t="n">
        <v>176</v>
      </c>
      <c r="H28" s="16" t="n">
        <v>6</v>
      </c>
      <c r="I28" s="16" t="inlineStr">
        <is>
          <t>Steady</t>
        </is>
      </c>
      <c r="J28" s="20" t="inlineStr">
        <is>
          <t>5K Wk 1 Tue - ROAD 5 k (track 6x400 swapped, user). PM 12:40. Moving 28:18 (5:39), elapsed 35:44 (6.5 min stop ~0.65 k). Splits 5:59@133 / 5:34@163 / 5:34@167 / 5:32@171 / 5:38@168. Main 4 k @ 5:34 HR ~167 max 176 vs prescribed 3 k @ 6:00 cap 172 - RAN HOT. No strides visible, no CD. Cadence 163. RPE 6. Engine: 9/25 5:57@175 RPE 9 -&gt; 5:34@167 RPE 6; 5K est ~26:30-27:00. SHIN CLEAN #41. Fri threshold up to 5:35-5:40. Strava 20472528970.</t>
        </is>
      </c>
      <c r="K28" t="n">
        <v>0</v>
      </c>
    </row>
    <row r="29" ht="18" customHeight="1">
      <c r="A29" s="37" t="n"/>
      <c r="B29" s="22">
        <f>IF(A29="","",IFERROR(INT((A29-DATE(2026,4,27))/7)+1,""))</f>
        <v/>
      </c>
      <c r="C29" s="28" t="n"/>
      <c r="D29" s="38" t="n"/>
      <c r="E29" s="22">
        <f>IF(OR(C29="",D29=""),"",TEXT(D29/C29/1440,"m:ss"))</f>
        <v/>
      </c>
      <c r="F29" s="22" t="n"/>
      <c r="G29" s="22" t="n"/>
      <c r="H29" s="22" t="n"/>
      <c r="I29" s="22" t="n"/>
      <c r="J29" s="26" t="n"/>
    </row>
    <row r="30" ht="18" customHeight="1">
      <c r="A30" s="35" t="n"/>
      <c r="B30" s="16">
        <f>IF(A30="","",IFERROR(INT((A30-DATE(2026,4,27))/7)+1,""))</f>
        <v/>
      </c>
      <c r="C30" s="27" t="n"/>
      <c r="D30" s="36" t="n"/>
      <c r="E30" s="16">
        <f>IF(OR(C30="",D30=""),"",TEXT(D30/C30/1440,"m:ss"))</f>
        <v/>
      </c>
      <c r="F30" s="16" t="n"/>
      <c r="G30" s="16" t="n"/>
      <c r="H30" s="16" t="n"/>
      <c r="I30" s="16" t="n"/>
      <c r="J30" s="20" t="n"/>
    </row>
    <row r="31" ht="18" customHeight="1">
      <c r="A31" s="37" t="n"/>
      <c r="B31" s="22">
        <f>IF(A31="","",IFERROR(INT((A31-DATE(2026,4,27))/7)+1,""))</f>
        <v/>
      </c>
      <c r="C31" s="28" t="n"/>
      <c r="D31" s="38" t="n"/>
      <c r="E31" s="22">
        <f>IF(OR(C31="",D31=""),"",TEXT(D31/C31/1440,"m:ss"))</f>
        <v/>
      </c>
      <c r="F31" s="22" t="n"/>
      <c r="G31" s="22" t="n"/>
      <c r="H31" s="22" t="n"/>
      <c r="I31" s="22" t="n"/>
      <c r="J31" s="26" t="n"/>
    </row>
    <row r="32" ht="18" customHeight="1">
      <c r="A32" s="35" t="n"/>
      <c r="B32" s="16">
        <f>IF(A32="","",IFERROR(INT((A32-DATE(2026,4,27))/7)+1,""))</f>
        <v/>
      </c>
      <c r="C32" s="27" t="n"/>
      <c r="D32" s="36" t="n"/>
      <c r="E32" s="16">
        <f>IF(OR(C32="",D32=""),"",TEXT(D32/C32/1440,"m:ss"))</f>
        <v/>
      </c>
      <c r="F32" s="16" t="n"/>
      <c r="G32" s="16" t="n"/>
      <c r="H32" s="16" t="n"/>
      <c r="I32" s="16" t="n"/>
      <c r="J32" s="20" t="n"/>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v>46300</v>
      </c>
      <c r="B56" s="16">
        <f>IF(A56="","",IFERROR(INT((A56-DATE(2026,4,27))/7)+1,""))</f>
        <v/>
      </c>
      <c r="C56" s="36" t="n">
        <v>77.59999999999999</v>
      </c>
      <c r="D56" s="36" t="n">
        <v>8.5</v>
      </c>
      <c r="E56" s="36" t="n"/>
      <c r="F56" s="36" t="n"/>
      <c r="G56" s="36" t="n"/>
      <c r="H56" s="36" t="n"/>
      <c r="I56" s="20" t="inlineStr">
        <is>
          <t>5K Wk 1 Mon - GYM #1 full body (joined normal gym; replaces cali). AM: sleep 8:30 (00:05-08:35) q10, RHR 40 (-3, block low), mot 10/energy 10/stress 2, DOMS all 0, tendons clean. BW 77.60 = +1.0 vs 7-reading avg 76.61 after 6 unlogged days, single point, no kcal change. PM: bike 0, kcal 2858 (+458 vs no-bike 2400), protein 170, creatine Y, shin CLEAN.</t>
        </is>
      </c>
    </row>
    <row r="57" ht="18" customHeight="1">
      <c r="A57" s="37" t="n">
        <v>46301</v>
      </c>
      <c r="B57" s="22">
        <f>IF(A57="","",IFERROR(INT((A57-DATE(2026,4,27))/7)+1,""))</f>
        <v/>
      </c>
      <c r="C57" s="38" t="n">
        <v>77.2</v>
      </c>
      <c r="D57" s="38" t="n">
        <v>7.5</v>
      </c>
      <c r="E57" s="38" t="n"/>
      <c r="F57" s="38" t="n"/>
      <c r="G57" s="38" t="n"/>
      <c r="H57" s="38" t="n"/>
      <c r="I57" s="26" t="inlineStr">
        <is>
          <t>5K Wk 1 Tue - TRACK 6x400 staged. AM: sleep 7:30 (23:05-06:35) q8, RHR 40 (-3), mot 10/energy 8/stress 3, DOMS chest 3/back 3/shldr 3/arm 2 (Gym #1), quad/ham/glute/calf 1, tendons clean. BW 77.20 (-0.40 vs 10/5), no kcal change. Legs &lt;2 -&gt; 6x400 stays. PM: road 5 k (4 k @ 5:34, RPE 6), bike 0, kcal 2375 (on ~2400), protein 164, creatine Y. SHIN CLEAN #41.</t>
        </is>
      </c>
    </row>
    <row r="58" ht="18" customHeight="1">
      <c r="A58" s="35" t="n"/>
      <c r="B58" s="16">
        <f>IF(A58="","",IFERROR(INT((A58-DATE(2026,4,27))/7)+1,""))</f>
        <v/>
      </c>
      <c r="C58" s="36" t="n"/>
      <c r="D58" s="36" t="n"/>
      <c r="E58" s="36" t="n"/>
      <c r="F58" s="36" t="n"/>
      <c r="G58" s="36" t="n"/>
      <c r="H58" s="36" t="n"/>
      <c r="I58" s="20" t="n"/>
    </row>
    <row r="59" ht="18" customHeight="1">
      <c r="A59" s="37" t="n"/>
      <c r="B59" s="22">
        <f>IF(A59="","",IFERROR(INT((A59-DATE(2026,4,27))/7)+1,""))</f>
        <v/>
      </c>
      <c r="C59" s="38" t="n"/>
      <c r="D59" s="38" t="n"/>
      <c r="E59" s="38" t="n"/>
      <c r="F59" s="38" t="n"/>
      <c r="G59" s="38" t="n"/>
      <c r="H59" s="38" t="n"/>
      <c r="I59" s="26" t="n"/>
    </row>
    <row r="60" ht="18" customHeight="1">
      <c r="A60" s="35" t="n"/>
      <c r="B60" s="16">
        <f>IF(A60="","",IFERROR(INT((A60-DATE(2026,4,27))/7)+1,""))</f>
        <v/>
      </c>
      <c r="C60" s="36" t="n"/>
      <c r="D60" s="36" t="n"/>
      <c r="E60" s="36" t="n"/>
      <c r="F60" s="36" t="n"/>
      <c r="G60" s="36" t="n"/>
      <c r="H60" s="36" t="n"/>
      <c r="I60" s="20" t="n"/>
    </row>
    <row r="61" ht="18" customHeight="1">
      <c r="A61" s="37" t="n"/>
      <c r="B61" s="22">
        <f>IF(A61="","",IFERROR(INT((A61-DATE(2026,4,27))/7)+1,""))</f>
        <v/>
      </c>
      <c r="C61" s="38" t="n"/>
      <c r="D61" s="38" t="n"/>
      <c r="E61" s="38" t="n"/>
      <c r="F61" s="38" t="n"/>
      <c r="G61" s="38" t="n"/>
      <c r="H61" s="38" t="n"/>
      <c r="I61" s="26" t="n"/>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2026-10-06T19:08:02Z</dcterms:modified>
</cp:coreProperties>
</file>