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Lifting Log" sheetId="2" state="visible" r:id="rId2"/>
    <sheet name="Running Log" sheetId="3" state="visible" r:id="rId3"/>
    <sheet name="Body Metrics" sheetId="4" state="visible" r:id="rId4"/>
    <sheet name="Personal Records" sheetId="5" state="visible" r:id="rId5"/>
    <sheet name="Weekly Summary" sheetId="6" state="visible" r:id="rId6"/>
    <sheet name="Referenc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10">
    <font>
      <name val="Calibri"/>
      <family val="2"/>
      <color theme="1"/>
      <sz val="11"/>
      <scheme val="minor"/>
    </font>
    <font>
      <name val="Arial"/>
      <b val="1"/>
      <color rgb="001F4E78"/>
      <sz val="16"/>
    </font>
    <font>
      <name val="Arial"/>
      <sz val="10"/>
    </font>
    <font>
      <name val="Arial"/>
      <b val="1"/>
      <color rgb="001F4E78"/>
      <sz val="12"/>
    </font>
    <font>
      <name val="Arial"/>
      <b val="1"/>
      <color rgb="00FFFFFF"/>
      <sz val="11"/>
    </font>
    <font>
      <name val="Arial"/>
      <b val="1"/>
      <sz val="10"/>
    </font>
    <font>
      <name val="Arial"/>
      <i val="1"/>
      <color rgb="00595959"/>
      <sz val="10"/>
    </font>
    <font>
      <name val="Arial"/>
      <b val="1"/>
    </font>
    <font>
      <name val="Arial"/>
      <b val="1"/>
      <color rgb="001F4E78"/>
      <sz val="14"/>
    </font>
    <font>
      <name val="Arial"/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/>
    </xf>
    <xf numFmtId="164" fontId="2" fillId="0" borderId="1" pivotButton="0" quotePrefix="0" xfId="0"/>
    <xf numFmtId="0" fontId="2" fillId="0" borderId="1" pivotButton="0" quotePrefix="0" xfId="0"/>
    <xf numFmtId="165" fontId="2" fillId="0" borderId="1" pivotButton="0" quotePrefix="0" xfId="0"/>
    <xf numFmtId="1" fontId="2" fillId="0" borderId="1" pivotButton="0" quotePrefix="0" xfId="0"/>
    <xf numFmtId="2" fontId="2" fillId="0" borderId="1" pivotButton="0" quotePrefix="0" xfId="0"/>
    <xf numFmtId="0" fontId="6" fillId="0" borderId="0" pivotButton="0" quotePrefix="0" xfId="0"/>
    <xf numFmtId="3" fontId="2" fillId="0" borderId="1" pivotButton="0" quotePrefix="0" xfId="0"/>
    <xf numFmtId="0" fontId="7" fillId="3" borderId="1" pivotButton="0" quotePrefix="0" xfId="0"/>
    <xf numFmtId="3" fontId="7" fillId="3" borderId="1" pivotButton="0" quotePrefix="0" xfId="0"/>
    <xf numFmtId="165" fontId="7" fillId="3" borderId="1" pivotButton="0" quotePrefix="0" xfId="0"/>
    <xf numFmtId="2" fontId="7" fillId="3" borderId="1" pivotButton="0" quotePrefix="0" xfId="0"/>
    <xf numFmtId="1" fontId="7" fillId="3" borderId="1" pivotButton="0" quotePrefix="0" xfId="0"/>
    <xf numFmtId="0" fontId="8" fillId="0" borderId="0" pivotButton="0" quotePrefix="0" xfId="0"/>
    <xf numFmtId="0" fontId="9" fillId="0" borderId="0" pivotButton="0" quotePrefix="0" xfId="0"/>
    <xf numFmtId="0" fontId="4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Training Log — 11-Week Hypertrophy Block</t>
        </is>
      </c>
    </row>
    <row r="2">
      <c r="A2" s="2" t="inlineStr"/>
    </row>
    <row r="3">
      <c r="A3" s="3" t="inlineStr">
        <is>
          <t>Block dates: April 27 – July 12, 2026</t>
        </is>
      </c>
    </row>
    <row r="4">
      <c r="A4" s="2" t="inlineStr">
        <is>
          <t>Goal: max upper-body hypertrophy + maintained aerobic base</t>
        </is>
      </c>
    </row>
    <row r="5">
      <c r="A5" s="2" t="inlineStr">
        <is>
          <t>Approach: 4 lifts + 2 runs per week, recomp at maintenance calories</t>
        </is>
      </c>
    </row>
    <row r="6">
      <c r="A6" s="2" t="inlineStr"/>
    </row>
    <row r="7">
      <c r="A7" s="3" t="inlineStr">
        <is>
          <t>Tabs in this workbook:</t>
        </is>
      </c>
    </row>
    <row r="8">
      <c r="A8" s="2" t="inlineStr">
        <is>
          <t>• Lifting Log — log every set: date, exercise, set #, reps, weight, RPE</t>
        </is>
      </c>
    </row>
    <row r="9">
      <c r="A9" s="2" t="inlineStr">
        <is>
          <t>• Running Log — log every run: date, distance, time, pace, HR, RPE</t>
        </is>
      </c>
    </row>
    <row r="10">
      <c r="A10" s="2" t="inlineStr">
        <is>
          <t>• Body Metrics — daily weight + weekly measurements</t>
        </is>
      </c>
    </row>
    <row r="11">
      <c r="A11" s="2" t="inlineStr">
        <is>
          <t>• Personal Records — auto-tracked best lifts (top weight per exercise)</t>
        </is>
      </c>
    </row>
    <row r="12">
      <c r="A12" s="2" t="inlineStr">
        <is>
          <t>• Weekly Summary — auto-aggregated weekly volume and averages</t>
        </is>
      </c>
    </row>
    <row r="13">
      <c r="A13" s="2" t="inlineStr">
        <is>
          <t>• Reference — pacing zones, HR zones, plan reminders</t>
        </is>
      </c>
    </row>
    <row r="14">
      <c r="A14" s="2" t="inlineStr"/>
    </row>
    <row r="15">
      <c r="A15" s="3" t="inlineStr">
        <is>
          <t>How to use:</t>
        </is>
      </c>
    </row>
    <row r="16">
      <c r="A16" s="2" t="inlineStr">
        <is>
          <t>1. Log every working set in the Lifting Log right after the set.</t>
        </is>
      </c>
    </row>
    <row r="17">
      <c r="A17" s="2" t="inlineStr">
        <is>
          <t>2. Log every run in the Running Log immediately after.</t>
        </is>
      </c>
    </row>
    <row r="18">
      <c r="A18" s="2" t="inlineStr">
        <is>
          <t>3. Weight in Body Metrics every morning fasted, measurements every Monday.</t>
        </is>
      </c>
    </row>
    <row r="19">
      <c r="A19" s="2" t="inlineStr">
        <is>
          <t>4. Personal Records, Weekly Summary update automatically — don't edit those tabs.</t>
        </is>
      </c>
    </row>
    <row r="20">
      <c r="A20" s="2" t="inlineStr">
        <is>
          <t>5. Sunday weekly review: scan Weekly Summary, scan Personal Records, plan next week.</t>
        </is>
      </c>
    </row>
    <row r="21">
      <c r="A21" s="2" t="inlineStr"/>
    </row>
    <row r="22">
      <c r="A22" s="3" t="inlineStr">
        <is>
          <t>Rules:</t>
        </is>
      </c>
    </row>
    <row r="23">
      <c r="A23" s="2" t="inlineStr">
        <is>
          <t>• Don't skip RPE — it is THE most important field for progression decisions.</t>
        </is>
      </c>
    </row>
    <row r="24">
      <c r="A24" s="2" t="inlineStr">
        <is>
          <t>• If you forget to log, write down what you remember. Imperfect data &gt; no data.</t>
        </is>
      </c>
    </row>
    <row r="25">
      <c r="A25" s="2" t="inlineStr">
        <is>
          <t>• Edit anything in Lifting Log / Running Log / Body Metrics. Don't edit auto tabs.</t>
        </is>
      </c>
    </row>
    <row r="26">
      <c r="A26" s="2" t="inlineStr"/>
    </row>
    <row r="27">
      <c r="A27" s="3" t="inlineStr">
        <is>
          <t>RPE scale (Reps in Reserve):</t>
        </is>
      </c>
    </row>
    <row r="28">
      <c r="A28" s="2" t="inlineStr">
        <is>
          <t>• RPE 6 = 4 reps left in tank — use for warm-ups</t>
        </is>
      </c>
    </row>
    <row r="29">
      <c r="A29" s="2" t="inlineStr">
        <is>
          <t>• RPE 7 = 3 reps left — early sets, accumulation phase</t>
        </is>
      </c>
    </row>
    <row r="30">
      <c r="A30" s="2" t="inlineStr">
        <is>
          <t>• RPE 8 = 2 reps left — top sets, normal training</t>
        </is>
      </c>
    </row>
    <row r="31">
      <c r="A31" s="2" t="inlineStr">
        <is>
          <t>• RPE 9 = 1 rep left — peak sessions, isolation movements</t>
        </is>
      </c>
    </row>
    <row r="32">
      <c r="A32" s="2" t="inlineStr">
        <is>
          <t>• RPE 10 = failure — only on isolation, never on compounds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6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0" customWidth="1" min="3" max="3"/>
    <col width="28" customWidth="1" min="4" max="4"/>
    <col width="8" customWidth="1" min="5" max="5"/>
    <col width="8" customWidth="1" min="6" max="6"/>
    <col width="12" customWidth="1" min="7" max="7"/>
    <col width="8" customWidth="1" min="8" max="8"/>
    <col width="13" customWidth="1" min="9" max="9"/>
    <col width="35" customWidth="1" min="10" max="10"/>
  </cols>
  <sheetData>
    <row r="1" ht="22" customHeight="1">
      <c r="A1" s="4" t="inlineStr">
        <is>
          <t>Date</t>
        </is>
      </c>
      <c r="B1" s="4" t="inlineStr">
        <is>
          <t>Week</t>
        </is>
      </c>
      <c r="C1" s="4" t="inlineStr">
        <is>
          <t>Day</t>
        </is>
      </c>
      <c r="D1" s="4" t="inlineStr">
        <is>
          <t>Exercise</t>
        </is>
      </c>
      <c r="E1" s="4" t="inlineStr">
        <is>
          <t>Set #</t>
        </is>
      </c>
      <c r="F1" s="4" t="inlineStr">
        <is>
          <t>Reps</t>
        </is>
      </c>
      <c r="G1" s="4" t="inlineStr">
        <is>
          <t>Weight (kg)</t>
        </is>
      </c>
      <c r="H1" s="4" t="inlineStr">
        <is>
          <t>RPE</t>
        </is>
      </c>
      <c r="I1" s="4" t="inlineStr">
        <is>
          <t>Volume (kg)</t>
        </is>
      </c>
      <c r="J1" s="4" t="inlineStr">
        <is>
          <t>Notes</t>
        </is>
      </c>
    </row>
    <row r="2">
      <c r="A2" s="5" t="n">
        <v>46141</v>
      </c>
      <c r="B2" s="6">
        <f>IF(A2="","",IFERROR(INT((A2-DATE(2026,4,27))/7)+1,""))</f>
        <v/>
      </c>
      <c r="C2" s="6" t="inlineStr">
        <is>
          <t>Upper A</t>
        </is>
      </c>
      <c r="D2" s="6" t="inlineStr">
        <is>
          <t>Bench Press</t>
        </is>
      </c>
      <c r="E2" s="6" t="n">
        <v>1</v>
      </c>
      <c r="F2" s="6" t="n">
        <v>10</v>
      </c>
      <c r="G2" s="7" t="n">
        <v>25</v>
      </c>
      <c r="H2" s="6" t="n">
        <v>5</v>
      </c>
      <c r="I2" s="8">
        <f>IF(OR(F2="",G2=""),"",F2*G2)</f>
        <v/>
      </c>
      <c r="J2" s="6" t="inlineStr"/>
    </row>
    <row r="3">
      <c r="A3" s="5" t="n">
        <v>46141</v>
      </c>
      <c r="B3" s="6">
        <f>IF(A3="","",IFERROR(INT((A3-DATE(2026,4,27))/7)+1,""))</f>
        <v/>
      </c>
      <c r="C3" s="6" t="inlineStr">
        <is>
          <t>Upper A</t>
        </is>
      </c>
      <c r="D3" s="6" t="inlineStr">
        <is>
          <t>Bench Press</t>
        </is>
      </c>
      <c r="E3" s="6" t="n">
        <v>2</v>
      </c>
      <c r="F3" s="6" t="n">
        <v>10</v>
      </c>
      <c r="G3" s="7" t="n">
        <v>25</v>
      </c>
      <c r="H3" s="6" t="n">
        <v>5</v>
      </c>
      <c r="I3" s="8">
        <f>IF(OR(F3="",G3=""),"",F3*G3)</f>
        <v/>
      </c>
      <c r="J3" s="6" t="inlineStr"/>
    </row>
    <row r="4">
      <c r="A4" s="5" t="n">
        <v>46141</v>
      </c>
      <c r="B4" s="6">
        <f>IF(A4="","",IFERROR(INT((A4-DATE(2026,4,27))/7)+1,""))</f>
        <v/>
      </c>
      <c r="C4" s="6" t="inlineStr">
        <is>
          <t>Upper A</t>
        </is>
      </c>
      <c r="D4" s="6" t="inlineStr">
        <is>
          <t>Bench Press</t>
        </is>
      </c>
      <c r="E4" s="6" t="n">
        <v>3</v>
      </c>
      <c r="F4" s="6" t="n">
        <v>10</v>
      </c>
      <c r="G4" s="7" t="n">
        <v>25</v>
      </c>
      <c r="H4" s="6" t="n">
        <v>5</v>
      </c>
      <c r="I4" s="8">
        <f>IF(OR(F4="",G4=""),"",F4*G4)</f>
        <v/>
      </c>
      <c r="J4" s="6" t="inlineStr"/>
    </row>
    <row r="5">
      <c r="A5" s="5" t="n">
        <v>46141</v>
      </c>
      <c r="B5" s="6">
        <f>IF(A5="","",IFERROR(INT((A5-DATE(2026,4,27))/7)+1,""))</f>
        <v/>
      </c>
      <c r="C5" s="6" t="inlineStr">
        <is>
          <t>Upper A</t>
        </is>
      </c>
      <c r="D5" s="6" t="inlineStr">
        <is>
          <t>Barbell Row</t>
        </is>
      </c>
      <c r="E5" s="6" t="n">
        <v>1</v>
      </c>
      <c r="F5" s="6" t="n">
        <v>10</v>
      </c>
      <c r="G5" s="7" t="n">
        <v>20</v>
      </c>
      <c r="H5" s="6" t="n">
        <v>5</v>
      </c>
      <c r="I5" s="8">
        <f>IF(OR(F5="",G5=""),"",F5*G5)</f>
        <v/>
      </c>
      <c r="J5" s="6" t="inlineStr"/>
    </row>
    <row r="6">
      <c r="A6" s="5" t="n">
        <v>46141</v>
      </c>
      <c r="B6" s="6">
        <f>IF(A6="","",IFERROR(INT((A6-DATE(2026,4,27))/7)+1,""))</f>
        <v/>
      </c>
      <c r="C6" s="6" t="inlineStr">
        <is>
          <t>Upper A</t>
        </is>
      </c>
      <c r="D6" s="6" t="inlineStr">
        <is>
          <t>Barbell Row</t>
        </is>
      </c>
      <c r="E6" s="6" t="n">
        <v>2</v>
      </c>
      <c r="F6" s="6" t="n">
        <v>10</v>
      </c>
      <c r="G6" s="7" t="n">
        <v>20</v>
      </c>
      <c r="H6" s="6" t="n">
        <v>5</v>
      </c>
      <c r="I6" s="8">
        <f>IF(OR(F6="",G6=""),"",F6*G6)</f>
        <v/>
      </c>
      <c r="J6" s="6" t="inlineStr"/>
    </row>
    <row r="7">
      <c r="A7" s="5" t="n">
        <v>46141</v>
      </c>
      <c r="B7" s="6">
        <f>IF(A7="","",IFERROR(INT((A7-DATE(2026,4,27))/7)+1,""))</f>
        <v/>
      </c>
      <c r="C7" s="6" t="inlineStr">
        <is>
          <t>Upper A</t>
        </is>
      </c>
      <c r="D7" s="6" t="inlineStr">
        <is>
          <t>Barbell Row</t>
        </is>
      </c>
      <c r="E7" s="6" t="n">
        <v>3</v>
      </c>
      <c r="F7" s="6" t="n">
        <v>10</v>
      </c>
      <c r="G7" s="7" t="n">
        <v>20</v>
      </c>
      <c r="H7" s="6" t="n">
        <v>5</v>
      </c>
      <c r="I7" s="8">
        <f>IF(OR(F7="",G7=""),"",F7*G7)</f>
        <v/>
      </c>
      <c r="J7" s="6" t="inlineStr"/>
    </row>
    <row r="8">
      <c r="A8" s="5" t="n">
        <v>46141</v>
      </c>
      <c r="B8" s="6">
        <f>IF(A8="","",IFERROR(INT((A8-DATE(2026,4,27))/7)+1,""))</f>
        <v/>
      </c>
      <c r="C8" s="6" t="inlineStr">
        <is>
          <t>Upper A</t>
        </is>
      </c>
      <c r="D8" s="6" t="inlineStr">
        <is>
          <t>Incline DB Press</t>
        </is>
      </c>
      <c r="E8" s="6" t="n">
        <v>1</v>
      </c>
      <c r="F8" s="6" t="n">
        <v>10</v>
      </c>
      <c r="G8" s="7" t="n">
        <v>5</v>
      </c>
      <c r="H8" s="6" t="n">
        <v>5</v>
      </c>
      <c r="I8" s="8">
        <f>IF(OR(F8="",G8=""),"",F8*G8)</f>
        <v/>
      </c>
      <c r="J8" s="6" t="inlineStr">
        <is>
          <t>per DB</t>
        </is>
      </c>
    </row>
    <row r="9">
      <c r="A9" s="5" t="n">
        <v>46141</v>
      </c>
      <c r="B9" s="6">
        <f>IF(A9="","",IFERROR(INT((A9-DATE(2026,4,27))/7)+1,""))</f>
        <v/>
      </c>
      <c r="C9" s="6" t="inlineStr">
        <is>
          <t>Upper A</t>
        </is>
      </c>
      <c r="D9" s="6" t="inlineStr">
        <is>
          <t>Incline DB Press</t>
        </is>
      </c>
      <c r="E9" s="6" t="n">
        <v>2</v>
      </c>
      <c r="F9" s="6" t="n">
        <v>10</v>
      </c>
      <c r="G9" s="7" t="n">
        <v>5</v>
      </c>
      <c r="H9" s="6" t="n">
        <v>5</v>
      </c>
      <c r="I9" s="8">
        <f>IF(OR(F9="",G9=""),"",F9*G9)</f>
        <v/>
      </c>
      <c r="J9" s="6" t="inlineStr">
        <is>
          <t>per DB</t>
        </is>
      </c>
    </row>
    <row r="10">
      <c r="A10" s="5" t="n">
        <v>46141</v>
      </c>
      <c r="B10" s="6">
        <f>IF(A10="","",IFERROR(INT((A10-DATE(2026,4,27))/7)+1,""))</f>
        <v/>
      </c>
      <c r="C10" s="6" t="inlineStr">
        <is>
          <t>Upper A</t>
        </is>
      </c>
      <c r="D10" s="6" t="inlineStr">
        <is>
          <t>Incline DB Press</t>
        </is>
      </c>
      <c r="E10" s="6" t="n">
        <v>3</v>
      </c>
      <c r="F10" s="6" t="n">
        <v>10</v>
      </c>
      <c r="G10" s="7" t="n">
        <v>5</v>
      </c>
      <c r="H10" s="6" t="n">
        <v>5</v>
      </c>
      <c r="I10" s="8">
        <f>IF(OR(F10="",G10=""),"",F10*G10)</f>
        <v/>
      </c>
      <c r="J10" s="6" t="inlineStr">
        <is>
          <t>per DB</t>
        </is>
      </c>
    </row>
    <row r="11">
      <c r="A11" s="5" t="n">
        <v>46141</v>
      </c>
      <c r="B11" s="6">
        <f>IF(A11="","",IFERROR(INT((A11-DATE(2026,4,27))/7)+1,""))</f>
        <v/>
      </c>
      <c r="C11" s="6" t="inlineStr">
        <is>
          <t>Upper A</t>
        </is>
      </c>
      <c r="D11" s="6" t="inlineStr">
        <is>
          <t>Lat Pulldown</t>
        </is>
      </c>
      <c r="E11" s="6" t="n">
        <v>1</v>
      </c>
      <c r="F11" s="6" t="n">
        <v>10</v>
      </c>
      <c r="G11" s="7" t="n">
        <v>15</v>
      </c>
      <c r="H11" s="6" t="n">
        <v>5</v>
      </c>
      <c r="I11" s="8">
        <f>IF(OR(F11="",G11=""),"",F11*G11)</f>
        <v/>
      </c>
      <c r="J11" s="6" t="inlineStr"/>
    </row>
    <row r="12">
      <c r="A12" s="5" t="n">
        <v>46141</v>
      </c>
      <c r="B12" s="6">
        <f>IF(A12="","",IFERROR(INT((A12-DATE(2026,4,27))/7)+1,""))</f>
        <v/>
      </c>
      <c r="C12" s="6" t="inlineStr">
        <is>
          <t>Upper A</t>
        </is>
      </c>
      <c r="D12" s="6" t="inlineStr">
        <is>
          <t>Lat Pulldown</t>
        </is>
      </c>
      <c r="E12" s="6" t="n">
        <v>2</v>
      </c>
      <c r="F12" s="6" t="n">
        <v>10</v>
      </c>
      <c r="G12" s="7" t="n">
        <v>15</v>
      </c>
      <c r="H12" s="6" t="n">
        <v>5</v>
      </c>
      <c r="I12" s="8">
        <f>IF(OR(F12="",G12=""),"",F12*G12)</f>
        <v/>
      </c>
      <c r="J12" s="6" t="inlineStr"/>
    </row>
    <row r="13">
      <c r="A13" s="5" t="n">
        <v>46141</v>
      </c>
      <c r="B13" s="6">
        <f>IF(A13="","",IFERROR(INT((A13-DATE(2026,4,27))/7)+1,""))</f>
        <v/>
      </c>
      <c r="C13" s="6" t="inlineStr">
        <is>
          <t>Upper A</t>
        </is>
      </c>
      <c r="D13" s="6" t="inlineStr">
        <is>
          <t>Lat Pulldown</t>
        </is>
      </c>
      <c r="E13" s="6" t="n">
        <v>3</v>
      </c>
      <c r="F13" s="6" t="n">
        <v>10</v>
      </c>
      <c r="G13" s="7" t="n">
        <v>15</v>
      </c>
      <c r="H13" s="6" t="n">
        <v>5</v>
      </c>
      <c r="I13" s="8">
        <f>IF(OR(F13="",G13=""),"",F13*G13)</f>
        <v/>
      </c>
      <c r="J13" s="6" t="inlineStr"/>
    </row>
    <row r="14">
      <c r="A14" s="5" t="n">
        <v>46141</v>
      </c>
      <c r="B14" s="6">
        <f>IF(A14="","",IFERROR(INT((A14-DATE(2026,4,27))/7)+1,""))</f>
        <v/>
      </c>
      <c r="C14" s="6" t="inlineStr">
        <is>
          <t>Upper A</t>
        </is>
      </c>
      <c r="D14" s="6" t="inlineStr">
        <is>
          <t>Pec Deck</t>
        </is>
      </c>
      <c r="E14" s="6" t="n">
        <v>1</v>
      </c>
      <c r="F14" s="6" t="n">
        <v>10</v>
      </c>
      <c r="G14" s="7" t="n">
        <v>5</v>
      </c>
      <c r="H14" s="6" t="n">
        <v>7</v>
      </c>
      <c r="I14" s="8">
        <f>IF(OR(F14="",G14=""),"",F14*G14)</f>
        <v/>
      </c>
      <c r="J14" s="6" t="inlineStr">
        <is>
          <t>sub for Cable Fly</t>
        </is>
      </c>
    </row>
    <row r="15">
      <c r="A15" s="5" t="n">
        <v>46141</v>
      </c>
      <c r="B15" s="6">
        <f>IF(A15="","",IFERROR(INT((A15-DATE(2026,4,27))/7)+1,""))</f>
        <v/>
      </c>
      <c r="C15" s="6" t="inlineStr">
        <is>
          <t>Upper A</t>
        </is>
      </c>
      <c r="D15" s="6" t="inlineStr">
        <is>
          <t>Pec Deck</t>
        </is>
      </c>
      <c r="E15" s="6" t="n">
        <v>2</v>
      </c>
      <c r="F15" s="6" t="n">
        <v>10</v>
      </c>
      <c r="G15" s="7" t="n">
        <v>5</v>
      </c>
      <c r="H15" s="6" t="n">
        <v>7</v>
      </c>
      <c r="I15" s="8">
        <f>IF(OR(F15="",G15=""),"",F15*G15)</f>
        <v/>
      </c>
      <c r="J15" s="6" t="inlineStr">
        <is>
          <t>sub for Cable Fly</t>
        </is>
      </c>
    </row>
    <row r="16">
      <c r="A16" s="5" t="n">
        <v>46141</v>
      </c>
      <c r="B16" s="6">
        <f>IF(A16="","",IFERROR(INT((A16-DATE(2026,4,27))/7)+1,""))</f>
        <v/>
      </c>
      <c r="C16" s="6" t="inlineStr">
        <is>
          <t>Upper A</t>
        </is>
      </c>
      <c r="D16" s="6" t="inlineStr">
        <is>
          <t>Face Pull</t>
        </is>
      </c>
      <c r="E16" s="6" t="n">
        <v>1</v>
      </c>
      <c r="F16" s="6" t="n">
        <v>10</v>
      </c>
      <c r="G16" s="7" t="n">
        <v>5</v>
      </c>
      <c r="H16" s="6" t="n">
        <v>5</v>
      </c>
      <c r="I16" s="8">
        <f>IF(OR(F16="",G16=""),"",F16*G16)</f>
        <v/>
      </c>
      <c r="J16" s="6" t="inlineStr">
        <is>
          <t>sub for Rear Delt Fly</t>
        </is>
      </c>
    </row>
    <row r="17">
      <c r="A17" s="5" t="n">
        <v>46141</v>
      </c>
      <c r="B17" s="6">
        <f>IF(A17="","",IFERROR(INT((A17-DATE(2026,4,27))/7)+1,""))</f>
        <v/>
      </c>
      <c r="C17" s="6" t="inlineStr">
        <is>
          <t>Upper A</t>
        </is>
      </c>
      <c r="D17" s="6" t="inlineStr">
        <is>
          <t>Face Pull</t>
        </is>
      </c>
      <c r="E17" s="6" t="n">
        <v>2</v>
      </c>
      <c r="F17" s="6" t="n">
        <v>10</v>
      </c>
      <c r="G17" s="7" t="n">
        <v>5</v>
      </c>
      <c r="H17" s="6" t="n">
        <v>5</v>
      </c>
      <c r="I17" s="8">
        <f>IF(OR(F17="",G17=""),"",F17*G17)</f>
        <v/>
      </c>
      <c r="J17" s="6" t="inlineStr">
        <is>
          <t>sub for Rear Delt Fly</t>
        </is>
      </c>
    </row>
    <row r="18">
      <c r="A18" s="5" t="n">
        <v>46141</v>
      </c>
      <c r="B18" s="6">
        <f>IF(A18="","",IFERROR(INT((A18-DATE(2026,4,27))/7)+1,""))</f>
        <v/>
      </c>
      <c r="C18" s="6" t="inlineStr">
        <is>
          <t>Upper A</t>
        </is>
      </c>
      <c r="D18" s="6" t="inlineStr">
        <is>
          <t>Triceps Pushdown</t>
        </is>
      </c>
      <c r="E18" s="6" t="n">
        <v>1</v>
      </c>
      <c r="F18" s="6" t="n">
        <v>10</v>
      </c>
      <c r="G18" s="7" t="n">
        <v>10</v>
      </c>
      <c r="H18" s="6" t="n">
        <v>6.5</v>
      </c>
      <c r="I18" s="8">
        <f>IF(OR(F18="",G18=""),"",F18*G18)</f>
        <v/>
      </c>
      <c r="J18" s="6" t="inlineStr"/>
    </row>
    <row r="19">
      <c r="A19" s="5" t="n">
        <v>46141</v>
      </c>
      <c r="B19" s="6">
        <f>IF(A19="","",IFERROR(INT((A19-DATE(2026,4,27))/7)+1,""))</f>
        <v/>
      </c>
      <c r="C19" s="6" t="inlineStr">
        <is>
          <t>Upper A</t>
        </is>
      </c>
      <c r="D19" s="6" t="inlineStr">
        <is>
          <t>Triceps Pushdown</t>
        </is>
      </c>
      <c r="E19" s="6" t="n">
        <v>2</v>
      </c>
      <c r="F19" s="6" t="n">
        <v>10</v>
      </c>
      <c r="G19" s="7" t="n">
        <v>10</v>
      </c>
      <c r="H19" s="6" t="n">
        <v>6.5</v>
      </c>
      <c r="I19" s="8">
        <f>IF(OR(F19="",G19=""),"",F19*G19)</f>
        <v/>
      </c>
      <c r="J19" s="6" t="inlineStr"/>
    </row>
    <row r="20">
      <c r="A20" s="5" t="n">
        <v>46141</v>
      </c>
      <c r="B20" s="6">
        <f>IF(A20="","",IFERROR(INT((A20-DATE(2026,4,27))/7)+1,""))</f>
        <v/>
      </c>
      <c r="C20" s="6" t="inlineStr">
        <is>
          <t>Upper A</t>
        </is>
      </c>
      <c r="D20" s="6" t="inlineStr">
        <is>
          <t>DB Curl</t>
        </is>
      </c>
      <c r="E20" s="6" t="n">
        <v>1</v>
      </c>
      <c r="F20" s="6" t="n">
        <v>10</v>
      </c>
      <c r="G20" s="7" t="n">
        <v>4</v>
      </c>
      <c r="H20" s="6" t="n">
        <v>5</v>
      </c>
      <c r="I20" s="8">
        <f>IF(OR(F20="",G20=""),"",F20*G20)</f>
        <v/>
      </c>
      <c r="J20" s="6" t="inlineStr">
        <is>
          <t>sub for Hammer Curl, per DB</t>
        </is>
      </c>
    </row>
    <row r="21">
      <c r="A21" s="5" t="n">
        <v>46141</v>
      </c>
      <c r="B21" s="6">
        <f>IF(A21="","",IFERROR(INT((A21-DATE(2026,4,27))/7)+1,""))</f>
        <v/>
      </c>
      <c r="C21" s="6" t="inlineStr">
        <is>
          <t>Upper A</t>
        </is>
      </c>
      <c r="D21" s="6" t="inlineStr">
        <is>
          <t>DB Curl</t>
        </is>
      </c>
      <c r="E21" s="6" t="n">
        <v>2</v>
      </c>
      <c r="F21" s="6" t="n">
        <v>10</v>
      </c>
      <c r="G21" s="7" t="n">
        <v>4</v>
      </c>
      <c r="H21" s="6" t="n">
        <v>5</v>
      </c>
      <c r="I21" s="8">
        <f>IF(OR(F21="",G21=""),"",F21*G21)</f>
        <v/>
      </c>
      <c r="J21" s="6" t="inlineStr">
        <is>
          <t>sub for Hammer Curl, per DB</t>
        </is>
      </c>
    </row>
    <row r="22">
      <c r="A22" s="5" t="n"/>
      <c r="B22" s="6">
        <f>IF(A22="","",IFERROR(INT((A22-DATE(2026,4,27))/7)+1,""))</f>
        <v/>
      </c>
      <c r="C22" s="6" t="n"/>
      <c r="D22" s="6" t="n"/>
      <c r="E22" s="6" t="n"/>
      <c r="F22" s="6" t="n"/>
      <c r="G22" s="7" t="n"/>
      <c r="H22" s="6" t="n"/>
      <c r="I22" s="8">
        <f>IF(OR(F22="",G22=""),"",F22*G22)</f>
        <v/>
      </c>
      <c r="J22" s="6" t="n"/>
    </row>
    <row r="23">
      <c r="A23" s="5" t="n"/>
      <c r="B23" s="6">
        <f>IF(A23="","",IFERROR(INT((A23-DATE(2026,4,27))/7)+1,""))</f>
        <v/>
      </c>
      <c r="C23" s="6" t="n"/>
      <c r="D23" s="6" t="n"/>
      <c r="E23" s="6" t="n"/>
      <c r="F23" s="6" t="n"/>
      <c r="G23" s="7" t="n"/>
      <c r="H23" s="6" t="n"/>
      <c r="I23" s="8">
        <f>IF(OR(F23="",G23=""),"",F23*G23)</f>
        <v/>
      </c>
      <c r="J23" s="6" t="n"/>
    </row>
    <row r="24">
      <c r="A24" s="5" t="n"/>
      <c r="B24" s="6">
        <f>IF(A24="","",IFERROR(INT((A24-DATE(2026,4,27))/7)+1,""))</f>
        <v/>
      </c>
      <c r="C24" s="6" t="n"/>
      <c r="D24" s="6" t="n"/>
      <c r="E24" s="6" t="n"/>
      <c r="F24" s="6" t="n"/>
      <c r="G24" s="7" t="n"/>
      <c r="H24" s="6" t="n"/>
      <c r="I24" s="8">
        <f>IF(OR(F24="",G24=""),"",F24*G24)</f>
        <v/>
      </c>
      <c r="J24" s="6" t="n"/>
    </row>
    <row r="25">
      <c r="A25" s="5" t="n"/>
      <c r="B25" s="6">
        <f>IF(A25="","",IFERROR(INT((A25-DATE(2026,4,27))/7)+1,""))</f>
        <v/>
      </c>
      <c r="C25" s="6" t="n"/>
      <c r="D25" s="6" t="n"/>
      <c r="E25" s="6" t="n"/>
      <c r="F25" s="6" t="n"/>
      <c r="G25" s="7" t="n"/>
      <c r="H25" s="6" t="n"/>
      <c r="I25" s="8">
        <f>IF(OR(F25="",G25=""),"",F25*G25)</f>
        <v/>
      </c>
      <c r="J25" s="6" t="n"/>
    </row>
    <row r="26">
      <c r="A26" s="5" t="n"/>
      <c r="B26" s="6">
        <f>IF(A26="","",IFERROR(INT((A26-DATE(2026,4,27))/7)+1,""))</f>
        <v/>
      </c>
      <c r="C26" s="6" t="n"/>
      <c r="D26" s="6" t="n"/>
      <c r="E26" s="6" t="n"/>
      <c r="F26" s="6" t="n"/>
      <c r="G26" s="7" t="n"/>
      <c r="H26" s="6" t="n"/>
      <c r="I26" s="8">
        <f>IF(OR(F26="",G26=""),"",F26*G26)</f>
        <v/>
      </c>
      <c r="J26" s="6" t="n"/>
    </row>
    <row r="27">
      <c r="A27" s="5" t="n"/>
      <c r="B27" s="6">
        <f>IF(A27="","",IFERROR(INT((A27-DATE(2026,4,27))/7)+1,""))</f>
        <v/>
      </c>
      <c r="C27" s="6" t="n"/>
      <c r="D27" s="6" t="n"/>
      <c r="E27" s="6" t="n"/>
      <c r="F27" s="6" t="n"/>
      <c r="G27" s="7" t="n"/>
      <c r="H27" s="6" t="n"/>
      <c r="I27" s="8">
        <f>IF(OR(F27="",G27=""),"",F27*G27)</f>
        <v/>
      </c>
      <c r="J27" s="6" t="n"/>
    </row>
    <row r="28">
      <c r="A28" s="5" t="n"/>
      <c r="B28" s="6">
        <f>IF(A28="","",IFERROR(INT((A28-DATE(2026,4,27))/7)+1,""))</f>
        <v/>
      </c>
      <c r="C28" s="6" t="n"/>
      <c r="D28" s="6" t="n"/>
      <c r="E28" s="6" t="n"/>
      <c r="F28" s="6" t="n"/>
      <c r="G28" s="7" t="n"/>
      <c r="H28" s="6" t="n"/>
      <c r="I28" s="8">
        <f>IF(OR(F28="",G28=""),"",F28*G28)</f>
        <v/>
      </c>
      <c r="J28" s="6" t="n"/>
    </row>
    <row r="29">
      <c r="A29" s="5" t="n"/>
      <c r="B29" s="6">
        <f>IF(A29="","",IFERROR(INT((A29-DATE(2026,4,27))/7)+1,""))</f>
        <v/>
      </c>
      <c r="C29" s="6" t="n"/>
      <c r="D29" s="6" t="n"/>
      <c r="E29" s="6" t="n"/>
      <c r="F29" s="6" t="n"/>
      <c r="G29" s="7" t="n"/>
      <c r="H29" s="6" t="n"/>
      <c r="I29" s="8">
        <f>IF(OR(F29="",G29=""),"",F29*G29)</f>
        <v/>
      </c>
      <c r="J29" s="6" t="n"/>
    </row>
    <row r="30">
      <c r="A30" s="5" t="n"/>
      <c r="B30" s="6">
        <f>IF(A30="","",IFERROR(INT((A30-DATE(2026,4,27))/7)+1,""))</f>
        <v/>
      </c>
      <c r="C30" s="6" t="n"/>
      <c r="D30" s="6" t="n"/>
      <c r="E30" s="6" t="n"/>
      <c r="F30" s="6" t="n"/>
      <c r="G30" s="7" t="n"/>
      <c r="H30" s="6" t="n"/>
      <c r="I30" s="8">
        <f>IF(OR(F30="",G30=""),"",F30*G30)</f>
        <v/>
      </c>
      <c r="J30" s="6" t="n"/>
    </row>
    <row r="31">
      <c r="A31" s="5" t="n"/>
      <c r="B31" s="6">
        <f>IF(A31="","",IFERROR(INT((A31-DATE(2026,4,27))/7)+1,""))</f>
        <v/>
      </c>
      <c r="C31" s="6" t="n"/>
      <c r="D31" s="6" t="n"/>
      <c r="E31" s="6" t="n"/>
      <c r="F31" s="6" t="n"/>
      <c r="G31" s="7" t="n"/>
      <c r="H31" s="6" t="n"/>
      <c r="I31" s="8">
        <f>IF(OR(F31="",G31=""),"",F31*G31)</f>
        <v/>
      </c>
      <c r="J31" s="6" t="n"/>
    </row>
    <row r="32">
      <c r="A32" s="5" t="n"/>
      <c r="B32" s="6">
        <f>IF(A32="","",IFERROR(INT((A32-DATE(2026,4,27))/7)+1,""))</f>
        <v/>
      </c>
      <c r="C32" s="6" t="n"/>
      <c r="D32" s="6" t="n"/>
      <c r="E32" s="6" t="n"/>
      <c r="F32" s="6" t="n"/>
      <c r="G32" s="7" t="n"/>
      <c r="H32" s="6" t="n"/>
      <c r="I32" s="8">
        <f>IF(OR(F32="",G32=""),"",F32*G32)</f>
        <v/>
      </c>
      <c r="J32" s="6" t="n"/>
    </row>
    <row r="33">
      <c r="A33" s="5" t="n"/>
      <c r="B33" s="6">
        <f>IF(A33="","",IFERROR(INT((A33-DATE(2026,4,27))/7)+1,""))</f>
        <v/>
      </c>
      <c r="C33" s="6" t="n"/>
      <c r="D33" s="6" t="n"/>
      <c r="E33" s="6" t="n"/>
      <c r="F33" s="6" t="n"/>
      <c r="G33" s="7" t="n"/>
      <c r="H33" s="6" t="n"/>
      <c r="I33" s="8">
        <f>IF(OR(F33="",G33=""),"",F33*G33)</f>
        <v/>
      </c>
      <c r="J33" s="6" t="n"/>
    </row>
    <row r="34">
      <c r="A34" s="5" t="n"/>
      <c r="B34" s="6">
        <f>IF(A34="","",IFERROR(INT((A34-DATE(2026,4,27))/7)+1,""))</f>
        <v/>
      </c>
      <c r="C34" s="6" t="n"/>
      <c r="D34" s="6" t="n"/>
      <c r="E34" s="6" t="n"/>
      <c r="F34" s="6" t="n"/>
      <c r="G34" s="7" t="n"/>
      <c r="H34" s="6" t="n"/>
      <c r="I34" s="8">
        <f>IF(OR(F34="",G34=""),"",F34*G34)</f>
        <v/>
      </c>
      <c r="J34" s="6" t="n"/>
    </row>
    <row r="35">
      <c r="A35" s="5" t="n"/>
      <c r="B35" s="6">
        <f>IF(A35="","",IFERROR(INT((A35-DATE(2026,4,27))/7)+1,""))</f>
        <v/>
      </c>
      <c r="C35" s="6" t="n"/>
      <c r="D35" s="6" t="n"/>
      <c r="E35" s="6" t="n"/>
      <c r="F35" s="6" t="n"/>
      <c r="G35" s="7" t="n"/>
      <c r="H35" s="6" t="n"/>
      <c r="I35" s="8">
        <f>IF(OR(F35="",G35=""),"",F35*G35)</f>
        <v/>
      </c>
      <c r="J35" s="6" t="n"/>
    </row>
    <row r="36">
      <c r="A36" s="5" t="n"/>
      <c r="B36" s="6">
        <f>IF(A36="","",IFERROR(INT((A36-DATE(2026,4,27))/7)+1,""))</f>
        <v/>
      </c>
      <c r="C36" s="6" t="n"/>
      <c r="D36" s="6" t="n"/>
      <c r="E36" s="6" t="n"/>
      <c r="F36" s="6" t="n"/>
      <c r="G36" s="7" t="n"/>
      <c r="H36" s="6" t="n"/>
      <c r="I36" s="8">
        <f>IF(OR(F36="",G36=""),"",F36*G36)</f>
        <v/>
      </c>
      <c r="J36" s="6" t="n"/>
    </row>
    <row r="37">
      <c r="A37" s="5" t="n"/>
      <c r="B37" s="6">
        <f>IF(A37="","",IFERROR(INT((A37-DATE(2026,4,27))/7)+1,""))</f>
        <v/>
      </c>
      <c r="C37" s="6" t="n"/>
      <c r="D37" s="6" t="n"/>
      <c r="E37" s="6" t="n"/>
      <c r="F37" s="6" t="n"/>
      <c r="G37" s="7" t="n"/>
      <c r="H37" s="6" t="n"/>
      <c r="I37" s="8">
        <f>IF(OR(F37="",G37=""),"",F37*G37)</f>
        <v/>
      </c>
      <c r="J37" s="6" t="n"/>
    </row>
    <row r="38">
      <c r="A38" s="5" t="n"/>
      <c r="B38" s="6">
        <f>IF(A38="","",IFERROR(INT((A38-DATE(2026,4,27))/7)+1,""))</f>
        <v/>
      </c>
      <c r="C38" s="6" t="n"/>
      <c r="D38" s="6" t="n"/>
      <c r="E38" s="6" t="n"/>
      <c r="F38" s="6" t="n"/>
      <c r="G38" s="7" t="n"/>
      <c r="H38" s="6" t="n"/>
      <c r="I38" s="8">
        <f>IF(OR(F38="",G38=""),"",F38*G38)</f>
        <v/>
      </c>
      <c r="J38" s="6" t="n"/>
    </row>
    <row r="39">
      <c r="A39" s="5" t="n"/>
      <c r="B39" s="6">
        <f>IF(A39="","",IFERROR(INT((A39-DATE(2026,4,27))/7)+1,""))</f>
        <v/>
      </c>
      <c r="C39" s="6" t="n"/>
      <c r="D39" s="6" t="n"/>
      <c r="E39" s="6" t="n"/>
      <c r="F39" s="6" t="n"/>
      <c r="G39" s="7" t="n"/>
      <c r="H39" s="6" t="n"/>
      <c r="I39" s="8">
        <f>IF(OR(F39="",G39=""),"",F39*G39)</f>
        <v/>
      </c>
      <c r="J39" s="6" t="n"/>
    </row>
    <row r="40">
      <c r="A40" s="5" t="n"/>
      <c r="B40" s="6">
        <f>IF(A40="","",IFERROR(INT((A40-DATE(2026,4,27))/7)+1,""))</f>
        <v/>
      </c>
      <c r="C40" s="6" t="n"/>
      <c r="D40" s="6" t="n"/>
      <c r="E40" s="6" t="n"/>
      <c r="F40" s="6" t="n"/>
      <c r="G40" s="7" t="n"/>
      <c r="H40" s="6" t="n"/>
      <c r="I40" s="8">
        <f>IF(OR(F40="",G40=""),"",F40*G40)</f>
        <v/>
      </c>
      <c r="J40" s="6" t="n"/>
    </row>
    <row r="41">
      <c r="A41" s="5" t="n"/>
      <c r="B41" s="6">
        <f>IF(A41="","",IFERROR(INT((A41-DATE(2026,4,27))/7)+1,""))</f>
        <v/>
      </c>
      <c r="C41" s="6" t="n"/>
      <c r="D41" s="6" t="n"/>
      <c r="E41" s="6" t="n"/>
      <c r="F41" s="6" t="n"/>
      <c r="G41" s="7" t="n"/>
      <c r="H41" s="6" t="n"/>
      <c r="I41" s="8">
        <f>IF(OR(F41="",G41=""),"",F41*G41)</f>
        <v/>
      </c>
      <c r="J41" s="6" t="n"/>
    </row>
    <row r="42">
      <c r="A42" s="5" t="n"/>
      <c r="B42" s="6">
        <f>IF(A42="","",IFERROR(INT((A42-DATE(2026,4,27))/7)+1,""))</f>
        <v/>
      </c>
      <c r="C42" s="6" t="n"/>
      <c r="D42" s="6" t="n"/>
      <c r="E42" s="6" t="n"/>
      <c r="F42" s="6" t="n"/>
      <c r="G42" s="7" t="n"/>
      <c r="H42" s="6" t="n"/>
      <c r="I42" s="8">
        <f>IF(OR(F42="",G42=""),"",F42*G42)</f>
        <v/>
      </c>
      <c r="J42" s="6" t="n"/>
    </row>
    <row r="43">
      <c r="A43" s="5" t="n"/>
      <c r="B43" s="6">
        <f>IF(A43="","",IFERROR(INT((A43-DATE(2026,4,27))/7)+1,""))</f>
        <v/>
      </c>
      <c r="C43" s="6" t="n"/>
      <c r="D43" s="6" t="n"/>
      <c r="E43" s="6" t="n"/>
      <c r="F43" s="6" t="n"/>
      <c r="G43" s="7" t="n"/>
      <c r="H43" s="6" t="n"/>
      <c r="I43" s="8">
        <f>IF(OR(F43="",G43=""),"",F43*G43)</f>
        <v/>
      </c>
      <c r="J43" s="6" t="n"/>
    </row>
    <row r="44">
      <c r="A44" s="5" t="n"/>
      <c r="B44" s="6">
        <f>IF(A44="","",IFERROR(INT((A44-DATE(2026,4,27))/7)+1,""))</f>
        <v/>
      </c>
      <c r="C44" s="6" t="n"/>
      <c r="D44" s="6" t="n"/>
      <c r="E44" s="6" t="n"/>
      <c r="F44" s="6" t="n"/>
      <c r="G44" s="7" t="n"/>
      <c r="H44" s="6" t="n"/>
      <c r="I44" s="8">
        <f>IF(OR(F44="",G44=""),"",F44*G44)</f>
        <v/>
      </c>
      <c r="J44" s="6" t="n"/>
    </row>
    <row r="45">
      <c r="A45" s="5" t="n"/>
      <c r="B45" s="6">
        <f>IF(A45="","",IFERROR(INT((A45-DATE(2026,4,27))/7)+1,""))</f>
        <v/>
      </c>
      <c r="C45" s="6" t="n"/>
      <c r="D45" s="6" t="n"/>
      <c r="E45" s="6" t="n"/>
      <c r="F45" s="6" t="n"/>
      <c r="G45" s="7" t="n"/>
      <c r="H45" s="6" t="n"/>
      <c r="I45" s="8">
        <f>IF(OR(F45="",G45=""),"",F45*G45)</f>
        <v/>
      </c>
      <c r="J45" s="6" t="n"/>
    </row>
    <row r="46">
      <c r="A46" s="5" t="n"/>
      <c r="B46" s="6">
        <f>IF(A46="","",IFERROR(INT((A46-DATE(2026,4,27))/7)+1,""))</f>
        <v/>
      </c>
      <c r="C46" s="6" t="n"/>
      <c r="D46" s="6" t="n"/>
      <c r="E46" s="6" t="n"/>
      <c r="F46" s="6" t="n"/>
      <c r="G46" s="7" t="n"/>
      <c r="H46" s="6" t="n"/>
      <c r="I46" s="8">
        <f>IF(OR(F46="",G46=""),"",F46*G46)</f>
        <v/>
      </c>
      <c r="J46" s="6" t="n"/>
    </row>
    <row r="47">
      <c r="A47" s="5" t="n"/>
      <c r="B47" s="6">
        <f>IF(A47="","",IFERROR(INT((A47-DATE(2026,4,27))/7)+1,""))</f>
        <v/>
      </c>
      <c r="C47" s="6" t="n"/>
      <c r="D47" s="6" t="n"/>
      <c r="E47" s="6" t="n"/>
      <c r="F47" s="6" t="n"/>
      <c r="G47" s="7" t="n"/>
      <c r="H47" s="6" t="n"/>
      <c r="I47" s="8">
        <f>IF(OR(F47="",G47=""),"",F47*G47)</f>
        <v/>
      </c>
      <c r="J47" s="6" t="n"/>
    </row>
    <row r="48">
      <c r="A48" s="5" t="n"/>
      <c r="B48" s="6">
        <f>IF(A48="","",IFERROR(INT((A48-DATE(2026,4,27))/7)+1,""))</f>
        <v/>
      </c>
      <c r="C48" s="6" t="n"/>
      <c r="D48" s="6" t="n"/>
      <c r="E48" s="6" t="n"/>
      <c r="F48" s="6" t="n"/>
      <c r="G48" s="7" t="n"/>
      <c r="H48" s="6" t="n"/>
      <c r="I48" s="8">
        <f>IF(OR(F48="",G48=""),"",F48*G48)</f>
        <v/>
      </c>
      <c r="J48" s="6" t="n"/>
    </row>
    <row r="49">
      <c r="A49" s="5" t="n"/>
      <c r="B49" s="6">
        <f>IF(A49="","",IFERROR(INT((A49-DATE(2026,4,27))/7)+1,""))</f>
        <v/>
      </c>
      <c r="C49" s="6" t="n"/>
      <c r="D49" s="6" t="n"/>
      <c r="E49" s="6" t="n"/>
      <c r="F49" s="6" t="n"/>
      <c r="G49" s="7" t="n"/>
      <c r="H49" s="6" t="n"/>
      <c r="I49" s="8">
        <f>IF(OR(F49="",G49=""),"",F49*G49)</f>
        <v/>
      </c>
      <c r="J49" s="6" t="n"/>
    </row>
    <row r="50">
      <c r="A50" s="5" t="n"/>
      <c r="B50" s="6">
        <f>IF(A50="","",IFERROR(INT((A50-DATE(2026,4,27))/7)+1,""))</f>
        <v/>
      </c>
      <c r="C50" s="6" t="n"/>
      <c r="D50" s="6" t="n"/>
      <c r="E50" s="6" t="n"/>
      <c r="F50" s="6" t="n"/>
      <c r="G50" s="7" t="n"/>
      <c r="H50" s="6" t="n"/>
      <c r="I50" s="8">
        <f>IF(OR(F50="",G50=""),"",F50*G50)</f>
        <v/>
      </c>
      <c r="J50" s="6" t="n"/>
    </row>
    <row r="51">
      <c r="A51" s="5" t="n"/>
      <c r="B51" s="6">
        <f>IF(A51="","",IFERROR(INT((A51-DATE(2026,4,27))/7)+1,""))</f>
        <v/>
      </c>
      <c r="C51" s="6" t="n"/>
      <c r="D51" s="6" t="n"/>
      <c r="E51" s="6" t="n"/>
      <c r="F51" s="6" t="n"/>
      <c r="G51" s="7" t="n"/>
      <c r="H51" s="6" t="n"/>
      <c r="I51" s="8">
        <f>IF(OR(F51="",G51=""),"",F51*G51)</f>
        <v/>
      </c>
      <c r="J51" s="6" t="n"/>
    </row>
    <row r="52">
      <c r="A52" s="5" t="n"/>
      <c r="B52" s="6">
        <f>IF(A52="","",IFERROR(INT((A52-DATE(2026,4,27))/7)+1,""))</f>
        <v/>
      </c>
      <c r="C52" s="6" t="n"/>
      <c r="D52" s="6" t="n"/>
      <c r="E52" s="6" t="n"/>
      <c r="F52" s="6" t="n"/>
      <c r="G52" s="7" t="n"/>
      <c r="H52" s="6" t="n"/>
      <c r="I52" s="8">
        <f>IF(OR(F52="",G52=""),"",F52*G52)</f>
        <v/>
      </c>
      <c r="J52" s="6" t="n"/>
    </row>
    <row r="53">
      <c r="A53" s="5" t="n"/>
      <c r="B53" s="6">
        <f>IF(A53="","",IFERROR(INT((A53-DATE(2026,4,27))/7)+1,""))</f>
        <v/>
      </c>
      <c r="C53" s="6" t="n"/>
      <c r="D53" s="6" t="n"/>
      <c r="E53" s="6" t="n"/>
      <c r="F53" s="6" t="n"/>
      <c r="G53" s="7" t="n"/>
      <c r="H53" s="6" t="n"/>
      <c r="I53" s="8">
        <f>IF(OR(F53="",G53=""),"",F53*G53)</f>
        <v/>
      </c>
      <c r="J53" s="6" t="n"/>
    </row>
    <row r="54">
      <c r="A54" s="5" t="n"/>
      <c r="B54" s="6">
        <f>IF(A54="","",IFERROR(INT((A54-DATE(2026,4,27))/7)+1,""))</f>
        <v/>
      </c>
      <c r="C54" s="6" t="n"/>
      <c r="D54" s="6" t="n"/>
      <c r="E54" s="6" t="n"/>
      <c r="F54" s="6" t="n"/>
      <c r="G54" s="7" t="n"/>
      <c r="H54" s="6" t="n"/>
      <c r="I54" s="8">
        <f>IF(OR(F54="",G54=""),"",F54*G54)</f>
        <v/>
      </c>
      <c r="J54" s="6" t="n"/>
    </row>
    <row r="55">
      <c r="A55" s="5" t="n"/>
      <c r="B55" s="6">
        <f>IF(A55="","",IFERROR(INT((A55-DATE(2026,4,27))/7)+1,""))</f>
        <v/>
      </c>
      <c r="C55" s="6" t="n"/>
      <c r="D55" s="6" t="n"/>
      <c r="E55" s="6" t="n"/>
      <c r="F55" s="6" t="n"/>
      <c r="G55" s="7" t="n"/>
      <c r="H55" s="6" t="n"/>
      <c r="I55" s="8">
        <f>IF(OR(F55="",G55=""),"",F55*G55)</f>
        <v/>
      </c>
      <c r="J55" s="6" t="n"/>
    </row>
    <row r="56">
      <c r="A56" s="5" t="n"/>
      <c r="B56" s="6">
        <f>IF(A56="","",IFERROR(INT((A56-DATE(2026,4,27))/7)+1,""))</f>
        <v/>
      </c>
      <c r="C56" s="6" t="n"/>
      <c r="D56" s="6" t="n"/>
      <c r="E56" s="6" t="n"/>
      <c r="F56" s="6" t="n"/>
      <c r="G56" s="7" t="n"/>
      <c r="H56" s="6" t="n"/>
      <c r="I56" s="8">
        <f>IF(OR(F56="",G56=""),"",F56*G56)</f>
        <v/>
      </c>
      <c r="J56" s="6" t="n"/>
    </row>
    <row r="57">
      <c r="A57" s="5" t="n"/>
      <c r="B57" s="6">
        <f>IF(A57="","",IFERROR(INT((A57-DATE(2026,4,27))/7)+1,""))</f>
        <v/>
      </c>
      <c r="C57" s="6" t="n"/>
      <c r="D57" s="6" t="n"/>
      <c r="E57" s="6" t="n"/>
      <c r="F57" s="6" t="n"/>
      <c r="G57" s="7" t="n"/>
      <c r="H57" s="6" t="n"/>
      <c r="I57" s="8">
        <f>IF(OR(F57="",G57=""),"",F57*G57)</f>
        <v/>
      </c>
      <c r="J57" s="6" t="n"/>
    </row>
    <row r="58">
      <c r="A58" s="5" t="n"/>
      <c r="B58" s="6">
        <f>IF(A58="","",IFERROR(INT((A58-DATE(2026,4,27))/7)+1,""))</f>
        <v/>
      </c>
      <c r="C58" s="6" t="n"/>
      <c r="D58" s="6" t="n"/>
      <c r="E58" s="6" t="n"/>
      <c r="F58" s="6" t="n"/>
      <c r="G58" s="7" t="n"/>
      <c r="H58" s="6" t="n"/>
      <c r="I58" s="8">
        <f>IF(OR(F58="",G58=""),"",F58*G58)</f>
        <v/>
      </c>
      <c r="J58" s="6" t="n"/>
    </row>
    <row r="59">
      <c r="A59" s="5" t="n"/>
      <c r="B59" s="6">
        <f>IF(A59="","",IFERROR(INT((A59-DATE(2026,4,27))/7)+1,""))</f>
        <v/>
      </c>
      <c r="C59" s="6" t="n"/>
      <c r="D59" s="6" t="n"/>
      <c r="E59" s="6" t="n"/>
      <c r="F59" s="6" t="n"/>
      <c r="G59" s="7" t="n"/>
      <c r="H59" s="6" t="n"/>
      <c r="I59" s="8">
        <f>IF(OR(F59="",G59=""),"",F59*G59)</f>
        <v/>
      </c>
      <c r="J59" s="6" t="n"/>
    </row>
    <row r="60">
      <c r="A60" s="5" t="n"/>
      <c r="B60" s="6">
        <f>IF(A60="","",IFERROR(INT((A60-DATE(2026,4,27))/7)+1,""))</f>
        <v/>
      </c>
      <c r="C60" s="6" t="n"/>
      <c r="D60" s="6" t="n"/>
      <c r="E60" s="6" t="n"/>
      <c r="F60" s="6" t="n"/>
      <c r="G60" s="7" t="n"/>
      <c r="H60" s="6" t="n"/>
      <c r="I60" s="8">
        <f>IF(OR(F60="",G60=""),"",F60*G60)</f>
        <v/>
      </c>
      <c r="J60" s="6" t="n"/>
    </row>
    <row r="61">
      <c r="A61" s="5" t="n"/>
      <c r="B61" s="6">
        <f>IF(A61="","",IFERROR(INT((A61-DATE(2026,4,27))/7)+1,""))</f>
        <v/>
      </c>
      <c r="C61" s="6" t="n"/>
      <c r="D61" s="6" t="n"/>
      <c r="E61" s="6" t="n"/>
      <c r="F61" s="6" t="n"/>
      <c r="G61" s="7" t="n"/>
      <c r="H61" s="6" t="n"/>
      <c r="I61" s="8">
        <f>IF(OR(F61="",G61=""),"",F61*G61)</f>
        <v/>
      </c>
      <c r="J61" s="6" t="n"/>
    </row>
    <row r="62">
      <c r="A62" s="5" t="n"/>
      <c r="B62" s="6">
        <f>IF(A62="","",IFERROR(INT((A62-DATE(2026,4,27))/7)+1,""))</f>
        <v/>
      </c>
      <c r="C62" s="6" t="n"/>
      <c r="D62" s="6" t="n"/>
      <c r="E62" s="6" t="n"/>
      <c r="F62" s="6" t="n"/>
      <c r="G62" s="7" t="n"/>
      <c r="H62" s="6" t="n"/>
      <c r="I62" s="8">
        <f>IF(OR(F62="",G62=""),"",F62*G62)</f>
        <v/>
      </c>
      <c r="J62" s="6" t="n"/>
    </row>
    <row r="63">
      <c r="A63" s="5" t="n"/>
      <c r="B63" s="6">
        <f>IF(A63="","",IFERROR(INT((A63-DATE(2026,4,27))/7)+1,""))</f>
        <v/>
      </c>
      <c r="C63" s="6" t="n"/>
      <c r="D63" s="6" t="n"/>
      <c r="E63" s="6" t="n"/>
      <c r="F63" s="6" t="n"/>
      <c r="G63" s="7" t="n"/>
      <c r="H63" s="6" t="n"/>
      <c r="I63" s="8">
        <f>IF(OR(F63="",G63=""),"",F63*G63)</f>
        <v/>
      </c>
      <c r="J63" s="6" t="n"/>
    </row>
    <row r="64">
      <c r="A64" s="5" t="n"/>
      <c r="B64" s="6">
        <f>IF(A64="","",IFERROR(INT((A64-DATE(2026,4,27))/7)+1,""))</f>
        <v/>
      </c>
      <c r="C64" s="6" t="n"/>
      <c r="D64" s="6" t="n"/>
      <c r="E64" s="6" t="n"/>
      <c r="F64" s="6" t="n"/>
      <c r="G64" s="7" t="n"/>
      <c r="H64" s="6" t="n"/>
      <c r="I64" s="8">
        <f>IF(OR(F64="",G64=""),"",F64*G64)</f>
        <v/>
      </c>
      <c r="J64" s="6" t="n"/>
    </row>
    <row r="65">
      <c r="A65" s="5" t="n"/>
      <c r="B65" s="6">
        <f>IF(A65="","",IFERROR(INT((A65-DATE(2026,4,27))/7)+1,""))</f>
        <v/>
      </c>
      <c r="C65" s="6" t="n"/>
      <c r="D65" s="6" t="n"/>
      <c r="E65" s="6" t="n"/>
      <c r="F65" s="6" t="n"/>
      <c r="G65" s="7" t="n"/>
      <c r="H65" s="6" t="n"/>
      <c r="I65" s="8">
        <f>IF(OR(F65="",G65=""),"",F65*G65)</f>
        <v/>
      </c>
      <c r="J65" s="6" t="n"/>
    </row>
    <row r="66">
      <c r="A66" s="5" t="n"/>
      <c r="B66" s="6">
        <f>IF(A66="","",IFERROR(INT((A66-DATE(2026,4,27))/7)+1,""))</f>
        <v/>
      </c>
      <c r="C66" s="6" t="n"/>
      <c r="D66" s="6" t="n"/>
      <c r="E66" s="6" t="n"/>
      <c r="F66" s="6" t="n"/>
      <c r="G66" s="7" t="n"/>
      <c r="H66" s="6" t="n"/>
      <c r="I66" s="8">
        <f>IF(OR(F66="",G66=""),"",F66*G66)</f>
        <v/>
      </c>
      <c r="J66" s="6" t="n"/>
    </row>
    <row r="67">
      <c r="A67" s="5" t="n"/>
      <c r="B67" s="6">
        <f>IF(A67="","",IFERROR(INT((A67-DATE(2026,4,27))/7)+1,""))</f>
        <v/>
      </c>
      <c r="C67" s="6" t="n"/>
      <c r="D67" s="6" t="n"/>
      <c r="E67" s="6" t="n"/>
      <c r="F67" s="6" t="n"/>
      <c r="G67" s="7" t="n"/>
      <c r="H67" s="6" t="n"/>
      <c r="I67" s="8">
        <f>IF(OR(F67="",G67=""),"",F67*G67)</f>
        <v/>
      </c>
      <c r="J67" s="6" t="n"/>
    </row>
    <row r="68">
      <c r="A68" s="5" t="n"/>
      <c r="B68" s="6">
        <f>IF(A68="","",IFERROR(INT((A68-DATE(2026,4,27))/7)+1,""))</f>
        <v/>
      </c>
      <c r="C68" s="6" t="n"/>
      <c r="D68" s="6" t="n"/>
      <c r="E68" s="6" t="n"/>
      <c r="F68" s="6" t="n"/>
      <c r="G68" s="7" t="n"/>
      <c r="H68" s="6" t="n"/>
      <c r="I68" s="8">
        <f>IF(OR(F68="",G68=""),"",F68*G68)</f>
        <v/>
      </c>
      <c r="J68" s="6" t="n"/>
    </row>
    <row r="69">
      <c r="A69" s="5" t="n"/>
      <c r="B69" s="6">
        <f>IF(A69="","",IFERROR(INT((A69-DATE(2026,4,27))/7)+1,""))</f>
        <v/>
      </c>
      <c r="C69" s="6" t="n"/>
      <c r="D69" s="6" t="n"/>
      <c r="E69" s="6" t="n"/>
      <c r="F69" s="6" t="n"/>
      <c r="G69" s="7" t="n"/>
      <c r="H69" s="6" t="n"/>
      <c r="I69" s="8">
        <f>IF(OR(F69="",G69=""),"",F69*G69)</f>
        <v/>
      </c>
      <c r="J69" s="6" t="n"/>
    </row>
    <row r="70">
      <c r="A70" s="5" t="n"/>
      <c r="B70" s="6">
        <f>IF(A70="","",IFERROR(INT((A70-DATE(2026,4,27))/7)+1,""))</f>
        <v/>
      </c>
      <c r="C70" s="6" t="n"/>
      <c r="D70" s="6" t="n"/>
      <c r="E70" s="6" t="n"/>
      <c r="F70" s="6" t="n"/>
      <c r="G70" s="7" t="n"/>
      <c r="H70" s="6" t="n"/>
      <c r="I70" s="8">
        <f>IF(OR(F70="",G70=""),"",F70*G70)</f>
        <v/>
      </c>
      <c r="J70" s="6" t="n"/>
    </row>
    <row r="71">
      <c r="A71" s="5" t="n"/>
      <c r="B71" s="6">
        <f>IF(A71="","",IFERROR(INT((A71-DATE(2026,4,27))/7)+1,""))</f>
        <v/>
      </c>
      <c r="C71" s="6" t="n"/>
      <c r="D71" s="6" t="n"/>
      <c r="E71" s="6" t="n"/>
      <c r="F71" s="6" t="n"/>
      <c r="G71" s="7" t="n"/>
      <c r="H71" s="6" t="n"/>
      <c r="I71" s="8">
        <f>IF(OR(F71="",G71=""),"",F71*G71)</f>
        <v/>
      </c>
      <c r="J71" s="6" t="n"/>
    </row>
    <row r="72">
      <c r="A72" s="5" t="n"/>
      <c r="B72" s="6">
        <f>IF(A72="","",IFERROR(INT((A72-DATE(2026,4,27))/7)+1,""))</f>
        <v/>
      </c>
      <c r="C72" s="6" t="n"/>
      <c r="D72" s="6" t="n"/>
      <c r="E72" s="6" t="n"/>
      <c r="F72" s="6" t="n"/>
      <c r="G72" s="7" t="n"/>
      <c r="H72" s="6" t="n"/>
      <c r="I72" s="8">
        <f>IF(OR(F72="",G72=""),"",F72*G72)</f>
        <v/>
      </c>
      <c r="J72" s="6" t="n"/>
    </row>
    <row r="73">
      <c r="A73" s="5" t="n"/>
      <c r="B73" s="6">
        <f>IF(A73="","",IFERROR(INT((A73-DATE(2026,4,27))/7)+1,""))</f>
        <v/>
      </c>
      <c r="C73" s="6" t="n"/>
      <c r="D73" s="6" t="n"/>
      <c r="E73" s="6" t="n"/>
      <c r="F73" s="6" t="n"/>
      <c r="G73" s="7" t="n"/>
      <c r="H73" s="6" t="n"/>
      <c r="I73" s="8">
        <f>IF(OR(F73="",G73=""),"",F73*G73)</f>
        <v/>
      </c>
      <c r="J73" s="6" t="n"/>
    </row>
    <row r="74">
      <c r="A74" s="5" t="n"/>
      <c r="B74" s="6">
        <f>IF(A74="","",IFERROR(INT((A74-DATE(2026,4,27))/7)+1,""))</f>
        <v/>
      </c>
      <c r="C74" s="6" t="n"/>
      <c r="D74" s="6" t="n"/>
      <c r="E74" s="6" t="n"/>
      <c r="F74" s="6" t="n"/>
      <c r="G74" s="7" t="n"/>
      <c r="H74" s="6" t="n"/>
      <c r="I74" s="8">
        <f>IF(OR(F74="",G74=""),"",F74*G74)</f>
        <v/>
      </c>
      <c r="J74" s="6" t="n"/>
    </row>
    <row r="75">
      <c r="A75" s="5" t="n"/>
      <c r="B75" s="6">
        <f>IF(A75="","",IFERROR(INT((A75-DATE(2026,4,27))/7)+1,""))</f>
        <v/>
      </c>
      <c r="C75" s="6" t="n"/>
      <c r="D75" s="6" t="n"/>
      <c r="E75" s="6" t="n"/>
      <c r="F75" s="6" t="n"/>
      <c r="G75" s="7" t="n"/>
      <c r="H75" s="6" t="n"/>
      <c r="I75" s="8">
        <f>IF(OR(F75="",G75=""),"",F75*G75)</f>
        <v/>
      </c>
      <c r="J75" s="6" t="n"/>
    </row>
    <row r="76">
      <c r="A76" s="5" t="n"/>
      <c r="B76" s="6">
        <f>IF(A76="","",IFERROR(INT((A76-DATE(2026,4,27))/7)+1,""))</f>
        <v/>
      </c>
      <c r="C76" s="6" t="n"/>
      <c r="D76" s="6" t="n"/>
      <c r="E76" s="6" t="n"/>
      <c r="F76" s="6" t="n"/>
      <c r="G76" s="7" t="n"/>
      <c r="H76" s="6" t="n"/>
      <c r="I76" s="8">
        <f>IF(OR(F76="",G76=""),"",F76*G76)</f>
        <v/>
      </c>
      <c r="J76" s="6" t="n"/>
    </row>
    <row r="77">
      <c r="A77" s="5" t="n"/>
      <c r="B77" s="6">
        <f>IF(A77="","",IFERROR(INT((A77-DATE(2026,4,27))/7)+1,""))</f>
        <v/>
      </c>
      <c r="C77" s="6" t="n"/>
      <c r="D77" s="6" t="n"/>
      <c r="E77" s="6" t="n"/>
      <c r="F77" s="6" t="n"/>
      <c r="G77" s="7" t="n"/>
      <c r="H77" s="6" t="n"/>
      <c r="I77" s="8">
        <f>IF(OR(F77="",G77=""),"",F77*G77)</f>
        <v/>
      </c>
      <c r="J77" s="6" t="n"/>
    </row>
    <row r="78">
      <c r="A78" s="5" t="n"/>
      <c r="B78" s="6">
        <f>IF(A78="","",IFERROR(INT((A78-DATE(2026,4,27))/7)+1,""))</f>
        <v/>
      </c>
      <c r="C78" s="6" t="n"/>
      <c r="D78" s="6" t="n"/>
      <c r="E78" s="6" t="n"/>
      <c r="F78" s="6" t="n"/>
      <c r="G78" s="7" t="n"/>
      <c r="H78" s="6" t="n"/>
      <c r="I78" s="8">
        <f>IF(OR(F78="",G78=""),"",F78*G78)</f>
        <v/>
      </c>
      <c r="J78" s="6" t="n"/>
    </row>
    <row r="79">
      <c r="A79" s="5" t="n"/>
      <c r="B79" s="6">
        <f>IF(A79="","",IFERROR(INT((A79-DATE(2026,4,27))/7)+1,""))</f>
        <v/>
      </c>
      <c r="C79" s="6" t="n"/>
      <c r="D79" s="6" t="n"/>
      <c r="E79" s="6" t="n"/>
      <c r="F79" s="6" t="n"/>
      <c r="G79" s="7" t="n"/>
      <c r="H79" s="6" t="n"/>
      <c r="I79" s="8">
        <f>IF(OR(F79="",G79=""),"",F79*G79)</f>
        <v/>
      </c>
      <c r="J79" s="6" t="n"/>
    </row>
    <row r="80">
      <c r="A80" s="5" t="n"/>
      <c r="B80" s="6">
        <f>IF(A80="","",IFERROR(INT((A80-DATE(2026,4,27))/7)+1,""))</f>
        <v/>
      </c>
      <c r="C80" s="6" t="n"/>
      <c r="D80" s="6" t="n"/>
      <c r="E80" s="6" t="n"/>
      <c r="F80" s="6" t="n"/>
      <c r="G80" s="7" t="n"/>
      <c r="H80" s="6" t="n"/>
      <c r="I80" s="8">
        <f>IF(OR(F80="",G80=""),"",F80*G80)</f>
        <v/>
      </c>
      <c r="J80" s="6" t="n"/>
    </row>
    <row r="81">
      <c r="A81" s="5" t="n"/>
      <c r="B81" s="6">
        <f>IF(A81="","",IFERROR(INT((A81-DATE(2026,4,27))/7)+1,""))</f>
        <v/>
      </c>
      <c r="C81" s="6" t="n"/>
      <c r="D81" s="6" t="n"/>
      <c r="E81" s="6" t="n"/>
      <c r="F81" s="6" t="n"/>
      <c r="G81" s="7" t="n"/>
      <c r="H81" s="6" t="n"/>
      <c r="I81" s="8">
        <f>IF(OR(F81="",G81=""),"",F81*G81)</f>
        <v/>
      </c>
      <c r="J81" s="6" t="n"/>
    </row>
    <row r="82">
      <c r="A82" s="5" t="n"/>
      <c r="B82" s="6">
        <f>IF(A82="","",IFERROR(INT((A82-DATE(2026,4,27))/7)+1,""))</f>
        <v/>
      </c>
      <c r="C82" s="6" t="n"/>
      <c r="D82" s="6" t="n"/>
      <c r="E82" s="6" t="n"/>
      <c r="F82" s="6" t="n"/>
      <c r="G82" s="7" t="n"/>
      <c r="H82" s="6" t="n"/>
      <c r="I82" s="8">
        <f>IF(OR(F82="",G82=""),"",F82*G82)</f>
        <v/>
      </c>
      <c r="J82" s="6" t="n"/>
    </row>
    <row r="83">
      <c r="A83" s="5" t="n"/>
      <c r="B83" s="6">
        <f>IF(A83="","",IFERROR(INT((A83-DATE(2026,4,27))/7)+1,""))</f>
        <v/>
      </c>
      <c r="C83" s="6" t="n"/>
      <c r="D83" s="6" t="n"/>
      <c r="E83" s="6" t="n"/>
      <c r="F83" s="6" t="n"/>
      <c r="G83" s="7" t="n"/>
      <c r="H83" s="6" t="n"/>
      <c r="I83" s="8">
        <f>IF(OR(F83="",G83=""),"",F83*G83)</f>
        <v/>
      </c>
      <c r="J83" s="6" t="n"/>
    </row>
    <row r="84">
      <c r="A84" s="5" t="n"/>
      <c r="B84" s="6">
        <f>IF(A84="","",IFERROR(INT((A84-DATE(2026,4,27))/7)+1,""))</f>
        <v/>
      </c>
      <c r="C84" s="6" t="n"/>
      <c r="D84" s="6" t="n"/>
      <c r="E84" s="6" t="n"/>
      <c r="F84" s="6" t="n"/>
      <c r="G84" s="7" t="n"/>
      <c r="H84" s="6" t="n"/>
      <c r="I84" s="8">
        <f>IF(OR(F84="",G84=""),"",F84*G84)</f>
        <v/>
      </c>
      <c r="J84" s="6" t="n"/>
    </row>
    <row r="85">
      <c r="A85" s="5" t="n"/>
      <c r="B85" s="6">
        <f>IF(A85="","",IFERROR(INT((A85-DATE(2026,4,27))/7)+1,""))</f>
        <v/>
      </c>
      <c r="C85" s="6" t="n"/>
      <c r="D85" s="6" t="n"/>
      <c r="E85" s="6" t="n"/>
      <c r="F85" s="6" t="n"/>
      <c r="G85" s="7" t="n"/>
      <c r="H85" s="6" t="n"/>
      <c r="I85" s="8">
        <f>IF(OR(F85="",G85=""),"",F85*G85)</f>
        <v/>
      </c>
      <c r="J85" s="6" t="n"/>
    </row>
    <row r="86">
      <c r="A86" s="5" t="n"/>
      <c r="B86" s="6">
        <f>IF(A86="","",IFERROR(INT((A86-DATE(2026,4,27))/7)+1,""))</f>
        <v/>
      </c>
      <c r="C86" s="6" t="n"/>
      <c r="D86" s="6" t="n"/>
      <c r="E86" s="6" t="n"/>
      <c r="F86" s="6" t="n"/>
      <c r="G86" s="7" t="n"/>
      <c r="H86" s="6" t="n"/>
      <c r="I86" s="8">
        <f>IF(OR(F86="",G86=""),"",F86*G86)</f>
        <v/>
      </c>
      <c r="J86" s="6" t="n"/>
    </row>
    <row r="87">
      <c r="A87" s="5" t="n"/>
      <c r="B87" s="6">
        <f>IF(A87="","",IFERROR(INT((A87-DATE(2026,4,27))/7)+1,""))</f>
        <v/>
      </c>
      <c r="C87" s="6" t="n"/>
      <c r="D87" s="6" t="n"/>
      <c r="E87" s="6" t="n"/>
      <c r="F87" s="6" t="n"/>
      <c r="G87" s="7" t="n"/>
      <c r="H87" s="6" t="n"/>
      <c r="I87" s="8">
        <f>IF(OR(F87="",G87=""),"",F87*G87)</f>
        <v/>
      </c>
      <c r="J87" s="6" t="n"/>
    </row>
    <row r="88">
      <c r="A88" s="5" t="n"/>
      <c r="B88" s="6">
        <f>IF(A88="","",IFERROR(INT((A88-DATE(2026,4,27))/7)+1,""))</f>
        <v/>
      </c>
      <c r="C88" s="6" t="n"/>
      <c r="D88" s="6" t="n"/>
      <c r="E88" s="6" t="n"/>
      <c r="F88" s="6" t="n"/>
      <c r="G88" s="7" t="n"/>
      <c r="H88" s="6" t="n"/>
      <c r="I88" s="8">
        <f>IF(OR(F88="",G88=""),"",F88*G88)</f>
        <v/>
      </c>
      <c r="J88" s="6" t="n"/>
    </row>
    <row r="89">
      <c r="A89" s="5" t="n"/>
      <c r="B89" s="6">
        <f>IF(A89="","",IFERROR(INT((A89-DATE(2026,4,27))/7)+1,""))</f>
        <v/>
      </c>
      <c r="C89" s="6" t="n"/>
      <c r="D89" s="6" t="n"/>
      <c r="E89" s="6" t="n"/>
      <c r="F89" s="6" t="n"/>
      <c r="G89" s="7" t="n"/>
      <c r="H89" s="6" t="n"/>
      <c r="I89" s="8">
        <f>IF(OR(F89="",G89=""),"",F89*G89)</f>
        <v/>
      </c>
      <c r="J89" s="6" t="n"/>
    </row>
    <row r="90">
      <c r="A90" s="5" t="n"/>
      <c r="B90" s="6">
        <f>IF(A90="","",IFERROR(INT((A90-DATE(2026,4,27))/7)+1,""))</f>
        <v/>
      </c>
      <c r="C90" s="6" t="n"/>
      <c r="D90" s="6" t="n"/>
      <c r="E90" s="6" t="n"/>
      <c r="F90" s="6" t="n"/>
      <c r="G90" s="7" t="n"/>
      <c r="H90" s="6" t="n"/>
      <c r="I90" s="8">
        <f>IF(OR(F90="",G90=""),"",F90*G90)</f>
        <v/>
      </c>
      <c r="J90" s="6" t="n"/>
    </row>
    <row r="91">
      <c r="A91" s="5" t="n"/>
      <c r="B91" s="6">
        <f>IF(A91="","",IFERROR(INT((A91-DATE(2026,4,27))/7)+1,""))</f>
        <v/>
      </c>
      <c r="C91" s="6" t="n"/>
      <c r="D91" s="6" t="n"/>
      <c r="E91" s="6" t="n"/>
      <c r="F91" s="6" t="n"/>
      <c r="G91" s="7" t="n"/>
      <c r="H91" s="6" t="n"/>
      <c r="I91" s="8">
        <f>IF(OR(F91="",G91=""),"",F91*G91)</f>
        <v/>
      </c>
      <c r="J91" s="6" t="n"/>
    </row>
    <row r="92">
      <c r="A92" s="5" t="n"/>
      <c r="B92" s="6">
        <f>IF(A92="","",IFERROR(INT((A92-DATE(2026,4,27))/7)+1,""))</f>
        <v/>
      </c>
      <c r="C92" s="6" t="n"/>
      <c r="D92" s="6" t="n"/>
      <c r="E92" s="6" t="n"/>
      <c r="F92" s="6" t="n"/>
      <c r="G92" s="7" t="n"/>
      <c r="H92" s="6" t="n"/>
      <c r="I92" s="8">
        <f>IF(OR(F92="",G92=""),"",F92*G92)</f>
        <v/>
      </c>
      <c r="J92" s="6" t="n"/>
    </row>
    <row r="93">
      <c r="A93" s="5" t="n"/>
      <c r="B93" s="6">
        <f>IF(A93="","",IFERROR(INT((A93-DATE(2026,4,27))/7)+1,""))</f>
        <v/>
      </c>
      <c r="C93" s="6" t="n"/>
      <c r="D93" s="6" t="n"/>
      <c r="E93" s="6" t="n"/>
      <c r="F93" s="6" t="n"/>
      <c r="G93" s="7" t="n"/>
      <c r="H93" s="6" t="n"/>
      <c r="I93" s="8">
        <f>IF(OR(F93="",G93=""),"",F93*G93)</f>
        <v/>
      </c>
      <c r="J93" s="6" t="n"/>
    </row>
    <row r="94">
      <c r="A94" s="5" t="n"/>
      <c r="B94" s="6">
        <f>IF(A94="","",IFERROR(INT((A94-DATE(2026,4,27))/7)+1,""))</f>
        <v/>
      </c>
      <c r="C94" s="6" t="n"/>
      <c r="D94" s="6" t="n"/>
      <c r="E94" s="6" t="n"/>
      <c r="F94" s="6" t="n"/>
      <c r="G94" s="7" t="n"/>
      <c r="H94" s="6" t="n"/>
      <c r="I94" s="8">
        <f>IF(OR(F94="",G94=""),"",F94*G94)</f>
        <v/>
      </c>
      <c r="J94" s="6" t="n"/>
    </row>
    <row r="95">
      <c r="A95" s="5" t="n"/>
      <c r="B95" s="6">
        <f>IF(A95="","",IFERROR(INT((A95-DATE(2026,4,27))/7)+1,""))</f>
        <v/>
      </c>
      <c r="C95" s="6" t="n"/>
      <c r="D95" s="6" t="n"/>
      <c r="E95" s="6" t="n"/>
      <c r="F95" s="6" t="n"/>
      <c r="G95" s="7" t="n"/>
      <c r="H95" s="6" t="n"/>
      <c r="I95" s="8">
        <f>IF(OR(F95="",G95=""),"",F95*G95)</f>
        <v/>
      </c>
      <c r="J95" s="6" t="n"/>
    </row>
    <row r="96">
      <c r="A96" s="5" t="n"/>
      <c r="B96" s="6">
        <f>IF(A96="","",IFERROR(INT((A96-DATE(2026,4,27))/7)+1,""))</f>
        <v/>
      </c>
      <c r="C96" s="6" t="n"/>
      <c r="D96" s="6" t="n"/>
      <c r="E96" s="6" t="n"/>
      <c r="F96" s="6" t="n"/>
      <c r="G96" s="7" t="n"/>
      <c r="H96" s="6" t="n"/>
      <c r="I96" s="8">
        <f>IF(OR(F96="",G96=""),"",F96*G96)</f>
        <v/>
      </c>
      <c r="J96" s="6" t="n"/>
    </row>
    <row r="97">
      <c r="A97" s="5" t="n"/>
      <c r="B97" s="6">
        <f>IF(A97="","",IFERROR(INT((A97-DATE(2026,4,27))/7)+1,""))</f>
        <v/>
      </c>
      <c r="C97" s="6" t="n"/>
      <c r="D97" s="6" t="n"/>
      <c r="E97" s="6" t="n"/>
      <c r="F97" s="6" t="n"/>
      <c r="G97" s="7" t="n"/>
      <c r="H97" s="6" t="n"/>
      <c r="I97" s="8">
        <f>IF(OR(F97="",G97=""),"",F97*G97)</f>
        <v/>
      </c>
      <c r="J97" s="6" t="n"/>
    </row>
    <row r="98">
      <c r="A98" s="5" t="n"/>
      <c r="B98" s="6">
        <f>IF(A98="","",IFERROR(INT((A98-DATE(2026,4,27))/7)+1,""))</f>
        <v/>
      </c>
      <c r="C98" s="6" t="n"/>
      <c r="D98" s="6" t="n"/>
      <c r="E98" s="6" t="n"/>
      <c r="F98" s="6" t="n"/>
      <c r="G98" s="7" t="n"/>
      <c r="H98" s="6" t="n"/>
      <c r="I98" s="8">
        <f>IF(OR(F98="",G98=""),"",F98*G98)</f>
        <v/>
      </c>
      <c r="J98" s="6" t="n"/>
    </row>
    <row r="99">
      <c r="A99" s="5" t="n"/>
      <c r="B99" s="6">
        <f>IF(A99="","",IFERROR(INT((A99-DATE(2026,4,27))/7)+1,""))</f>
        <v/>
      </c>
      <c r="C99" s="6" t="n"/>
      <c r="D99" s="6" t="n"/>
      <c r="E99" s="6" t="n"/>
      <c r="F99" s="6" t="n"/>
      <c r="G99" s="7" t="n"/>
      <c r="H99" s="6" t="n"/>
      <c r="I99" s="8">
        <f>IF(OR(F99="",G99=""),"",F99*G99)</f>
        <v/>
      </c>
      <c r="J99" s="6" t="n"/>
    </row>
    <row r="100">
      <c r="A100" s="5" t="n"/>
      <c r="B100" s="6">
        <f>IF(A100="","",IFERROR(INT((A100-DATE(2026,4,27))/7)+1,""))</f>
        <v/>
      </c>
      <c r="C100" s="6" t="n"/>
      <c r="D100" s="6" t="n"/>
      <c r="E100" s="6" t="n"/>
      <c r="F100" s="6" t="n"/>
      <c r="G100" s="7" t="n"/>
      <c r="H100" s="6" t="n"/>
      <c r="I100" s="8">
        <f>IF(OR(F100="",G100=""),"",F100*G100)</f>
        <v/>
      </c>
      <c r="J100" s="6" t="n"/>
    </row>
    <row r="101">
      <c r="A101" s="5" t="n"/>
      <c r="B101" s="6">
        <f>IF(A101="","",IFERROR(INT((A101-DATE(2026,4,27))/7)+1,""))</f>
        <v/>
      </c>
      <c r="C101" s="6" t="n"/>
      <c r="D101" s="6" t="n"/>
      <c r="E101" s="6" t="n"/>
      <c r="F101" s="6" t="n"/>
      <c r="G101" s="7" t="n"/>
      <c r="H101" s="6" t="n"/>
      <c r="I101" s="8">
        <f>IF(OR(F101="",G101=""),"",F101*G101)</f>
        <v/>
      </c>
      <c r="J101" s="6" t="n"/>
    </row>
    <row r="102">
      <c r="A102" s="5" t="n"/>
      <c r="B102" s="6">
        <f>IF(A102="","",IFERROR(INT((A102-DATE(2026,4,27))/7)+1,""))</f>
        <v/>
      </c>
      <c r="C102" s="6" t="n"/>
      <c r="D102" s="6" t="n"/>
      <c r="E102" s="6" t="n"/>
      <c r="F102" s="6" t="n"/>
      <c r="G102" s="7" t="n"/>
      <c r="H102" s="6" t="n"/>
      <c r="I102" s="8">
        <f>IF(OR(F102="",G102=""),"",F102*G102)</f>
        <v/>
      </c>
      <c r="J102" s="6" t="n"/>
    </row>
    <row r="103">
      <c r="A103" s="5" t="n"/>
      <c r="B103" s="6">
        <f>IF(A103="","",IFERROR(INT((A103-DATE(2026,4,27))/7)+1,""))</f>
        <v/>
      </c>
      <c r="C103" s="6" t="n"/>
      <c r="D103" s="6" t="n"/>
      <c r="E103" s="6" t="n"/>
      <c r="F103" s="6" t="n"/>
      <c r="G103" s="7" t="n"/>
      <c r="H103" s="6" t="n"/>
      <c r="I103" s="8">
        <f>IF(OR(F103="",G103=""),"",F103*G103)</f>
        <v/>
      </c>
      <c r="J103" s="6" t="n"/>
    </row>
    <row r="104">
      <c r="A104" s="5" t="n"/>
      <c r="B104" s="6">
        <f>IF(A104="","",IFERROR(INT((A104-DATE(2026,4,27))/7)+1,""))</f>
        <v/>
      </c>
      <c r="C104" s="6" t="n"/>
      <c r="D104" s="6" t="n"/>
      <c r="E104" s="6" t="n"/>
      <c r="F104" s="6" t="n"/>
      <c r="G104" s="7" t="n"/>
      <c r="H104" s="6" t="n"/>
      <c r="I104" s="8">
        <f>IF(OR(F104="",G104=""),"",F104*G104)</f>
        <v/>
      </c>
      <c r="J104" s="6" t="n"/>
    </row>
    <row r="105">
      <c r="A105" s="5" t="n"/>
      <c r="B105" s="6">
        <f>IF(A105="","",IFERROR(INT((A105-DATE(2026,4,27))/7)+1,""))</f>
        <v/>
      </c>
      <c r="C105" s="6" t="n"/>
      <c r="D105" s="6" t="n"/>
      <c r="E105" s="6" t="n"/>
      <c r="F105" s="6" t="n"/>
      <c r="G105" s="7" t="n"/>
      <c r="H105" s="6" t="n"/>
      <c r="I105" s="8">
        <f>IF(OR(F105="",G105=""),"",F105*G105)</f>
        <v/>
      </c>
      <c r="J105" s="6" t="n"/>
    </row>
    <row r="106">
      <c r="A106" s="5" t="n"/>
      <c r="B106" s="6">
        <f>IF(A106="","",IFERROR(INT((A106-DATE(2026,4,27))/7)+1,""))</f>
        <v/>
      </c>
      <c r="C106" s="6" t="n"/>
      <c r="D106" s="6" t="n"/>
      <c r="E106" s="6" t="n"/>
      <c r="F106" s="6" t="n"/>
      <c r="G106" s="7" t="n"/>
      <c r="H106" s="6" t="n"/>
      <c r="I106" s="8">
        <f>IF(OR(F106="",G106=""),"",F106*G106)</f>
        <v/>
      </c>
      <c r="J106" s="6" t="n"/>
    </row>
    <row r="107">
      <c r="A107" s="5" t="n"/>
      <c r="B107" s="6">
        <f>IF(A107="","",IFERROR(INT((A107-DATE(2026,4,27))/7)+1,""))</f>
        <v/>
      </c>
      <c r="C107" s="6" t="n"/>
      <c r="D107" s="6" t="n"/>
      <c r="E107" s="6" t="n"/>
      <c r="F107" s="6" t="n"/>
      <c r="G107" s="7" t="n"/>
      <c r="H107" s="6" t="n"/>
      <c r="I107" s="8">
        <f>IF(OR(F107="",G107=""),"",F107*G107)</f>
        <v/>
      </c>
      <c r="J107" s="6" t="n"/>
    </row>
    <row r="108">
      <c r="A108" s="5" t="n"/>
      <c r="B108" s="6">
        <f>IF(A108="","",IFERROR(INT((A108-DATE(2026,4,27))/7)+1,""))</f>
        <v/>
      </c>
      <c r="C108" s="6" t="n"/>
      <c r="D108" s="6" t="n"/>
      <c r="E108" s="6" t="n"/>
      <c r="F108" s="6" t="n"/>
      <c r="G108" s="7" t="n"/>
      <c r="H108" s="6" t="n"/>
      <c r="I108" s="8">
        <f>IF(OR(F108="",G108=""),"",F108*G108)</f>
        <v/>
      </c>
      <c r="J108" s="6" t="n"/>
    </row>
    <row r="109">
      <c r="A109" s="5" t="n"/>
      <c r="B109" s="6">
        <f>IF(A109="","",IFERROR(INT((A109-DATE(2026,4,27))/7)+1,""))</f>
        <v/>
      </c>
      <c r="C109" s="6" t="n"/>
      <c r="D109" s="6" t="n"/>
      <c r="E109" s="6" t="n"/>
      <c r="F109" s="6" t="n"/>
      <c r="G109" s="7" t="n"/>
      <c r="H109" s="6" t="n"/>
      <c r="I109" s="8">
        <f>IF(OR(F109="",G109=""),"",F109*G109)</f>
        <v/>
      </c>
      <c r="J109" s="6" t="n"/>
    </row>
    <row r="110">
      <c r="A110" s="5" t="n"/>
      <c r="B110" s="6">
        <f>IF(A110="","",IFERROR(INT((A110-DATE(2026,4,27))/7)+1,""))</f>
        <v/>
      </c>
      <c r="C110" s="6" t="n"/>
      <c r="D110" s="6" t="n"/>
      <c r="E110" s="6" t="n"/>
      <c r="F110" s="6" t="n"/>
      <c r="G110" s="7" t="n"/>
      <c r="H110" s="6" t="n"/>
      <c r="I110" s="8">
        <f>IF(OR(F110="",G110=""),"",F110*G110)</f>
        <v/>
      </c>
      <c r="J110" s="6" t="n"/>
    </row>
    <row r="111">
      <c r="A111" s="5" t="n"/>
      <c r="B111" s="6">
        <f>IF(A111="","",IFERROR(INT((A111-DATE(2026,4,27))/7)+1,""))</f>
        <v/>
      </c>
      <c r="C111" s="6" t="n"/>
      <c r="D111" s="6" t="n"/>
      <c r="E111" s="6" t="n"/>
      <c r="F111" s="6" t="n"/>
      <c r="G111" s="7" t="n"/>
      <c r="H111" s="6" t="n"/>
      <c r="I111" s="8">
        <f>IF(OR(F111="",G111=""),"",F111*G111)</f>
        <v/>
      </c>
      <c r="J111" s="6" t="n"/>
    </row>
    <row r="112">
      <c r="A112" s="5" t="n"/>
      <c r="B112" s="6">
        <f>IF(A112="","",IFERROR(INT((A112-DATE(2026,4,27))/7)+1,""))</f>
        <v/>
      </c>
      <c r="C112" s="6" t="n"/>
      <c r="D112" s="6" t="n"/>
      <c r="E112" s="6" t="n"/>
      <c r="F112" s="6" t="n"/>
      <c r="G112" s="7" t="n"/>
      <c r="H112" s="6" t="n"/>
      <c r="I112" s="8">
        <f>IF(OR(F112="",G112=""),"",F112*G112)</f>
        <v/>
      </c>
      <c r="J112" s="6" t="n"/>
    </row>
    <row r="113">
      <c r="A113" s="5" t="n"/>
      <c r="B113" s="6">
        <f>IF(A113="","",IFERROR(INT((A113-DATE(2026,4,27))/7)+1,""))</f>
        <v/>
      </c>
      <c r="C113" s="6" t="n"/>
      <c r="D113" s="6" t="n"/>
      <c r="E113" s="6" t="n"/>
      <c r="F113" s="6" t="n"/>
      <c r="G113" s="7" t="n"/>
      <c r="H113" s="6" t="n"/>
      <c r="I113" s="8">
        <f>IF(OR(F113="",G113=""),"",F113*G113)</f>
        <v/>
      </c>
      <c r="J113" s="6" t="n"/>
    </row>
    <row r="114">
      <c r="A114" s="5" t="n"/>
      <c r="B114" s="6">
        <f>IF(A114="","",IFERROR(INT((A114-DATE(2026,4,27))/7)+1,""))</f>
        <v/>
      </c>
      <c r="C114" s="6" t="n"/>
      <c r="D114" s="6" t="n"/>
      <c r="E114" s="6" t="n"/>
      <c r="F114" s="6" t="n"/>
      <c r="G114" s="7" t="n"/>
      <c r="H114" s="6" t="n"/>
      <c r="I114" s="8">
        <f>IF(OR(F114="",G114=""),"",F114*G114)</f>
        <v/>
      </c>
      <c r="J114" s="6" t="n"/>
    </row>
    <row r="115">
      <c r="A115" s="5" t="n"/>
      <c r="B115" s="6">
        <f>IF(A115="","",IFERROR(INT((A115-DATE(2026,4,27))/7)+1,""))</f>
        <v/>
      </c>
      <c r="C115" s="6" t="n"/>
      <c r="D115" s="6" t="n"/>
      <c r="E115" s="6" t="n"/>
      <c r="F115" s="6" t="n"/>
      <c r="G115" s="7" t="n"/>
      <c r="H115" s="6" t="n"/>
      <c r="I115" s="8">
        <f>IF(OR(F115="",G115=""),"",F115*G115)</f>
        <v/>
      </c>
      <c r="J115" s="6" t="n"/>
    </row>
    <row r="116">
      <c r="A116" s="5" t="n"/>
      <c r="B116" s="6">
        <f>IF(A116="","",IFERROR(INT((A116-DATE(2026,4,27))/7)+1,""))</f>
        <v/>
      </c>
      <c r="C116" s="6" t="n"/>
      <c r="D116" s="6" t="n"/>
      <c r="E116" s="6" t="n"/>
      <c r="F116" s="6" t="n"/>
      <c r="G116" s="7" t="n"/>
      <c r="H116" s="6" t="n"/>
      <c r="I116" s="8">
        <f>IF(OR(F116="",G116=""),"",F116*G116)</f>
        <v/>
      </c>
      <c r="J116" s="6" t="n"/>
    </row>
    <row r="117">
      <c r="A117" s="5" t="n"/>
      <c r="B117" s="6">
        <f>IF(A117="","",IFERROR(INT((A117-DATE(2026,4,27))/7)+1,""))</f>
        <v/>
      </c>
      <c r="C117" s="6" t="n"/>
      <c r="D117" s="6" t="n"/>
      <c r="E117" s="6" t="n"/>
      <c r="F117" s="6" t="n"/>
      <c r="G117" s="7" t="n"/>
      <c r="H117" s="6" t="n"/>
      <c r="I117" s="8">
        <f>IF(OR(F117="",G117=""),"",F117*G117)</f>
        <v/>
      </c>
      <c r="J117" s="6" t="n"/>
    </row>
    <row r="118">
      <c r="A118" s="5" t="n"/>
      <c r="B118" s="6">
        <f>IF(A118="","",IFERROR(INT((A118-DATE(2026,4,27))/7)+1,""))</f>
        <v/>
      </c>
      <c r="C118" s="6" t="n"/>
      <c r="D118" s="6" t="n"/>
      <c r="E118" s="6" t="n"/>
      <c r="F118" s="6" t="n"/>
      <c r="G118" s="7" t="n"/>
      <c r="H118" s="6" t="n"/>
      <c r="I118" s="8">
        <f>IF(OR(F118="",G118=""),"",F118*G118)</f>
        <v/>
      </c>
      <c r="J118" s="6" t="n"/>
    </row>
    <row r="119">
      <c r="A119" s="5" t="n"/>
      <c r="B119" s="6">
        <f>IF(A119="","",IFERROR(INT((A119-DATE(2026,4,27))/7)+1,""))</f>
        <v/>
      </c>
      <c r="C119" s="6" t="n"/>
      <c r="D119" s="6" t="n"/>
      <c r="E119" s="6" t="n"/>
      <c r="F119" s="6" t="n"/>
      <c r="G119" s="7" t="n"/>
      <c r="H119" s="6" t="n"/>
      <c r="I119" s="8">
        <f>IF(OR(F119="",G119=""),"",F119*G119)</f>
        <v/>
      </c>
      <c r="J119" s="6" t="n"/>
    </row>
    <row r="120">
      <c r="A120" s="5" t="n"/>
      <c r="B120" s="6">
        <f>IF(A120="","",IFERROR(INT((A120-DATE(2026,4,27))/7)+1,""))</f>
        <v/>
      </c>
      <c r="C120" s="6" t="n"/>
      <c r="D120" s="6" t="n"/>
      <c r="E120" s="6" t="n"/>
      <c r="F120" s="6" t="n"/>
      <c r="G120" s="7" t="n"/>
      <c r="H120" s="6" t="n"/>
      <c r="I120" s="8">
        <f>IF(OR(F120="",G120=""),"",F120*G120)</f>
        <v/>
      </c>
      <c r="J120" s="6" t="n"/>
    </row>
    <row r="121">
      <c r="A121" s="5" t="n"/>
      <c r="B121" s="6">
        <f>IF(A121="","",IFERROR(INT((A121-DATE(2026,4,27))/7)+1,""))</f>
        <v/>
      </c>
      <c r="C121" s="6" t="n"/>
      <c r="D121" s="6" t="n"/>
      <c r="E121" s="6" t="n"/>
      <c r="F121" s="6" t="n"/>
      <c r="G121" s="7" t="n"/>
      <c r="H121" s="6" t="n"/>
      <c r="I121" s="8">
        <f>IF(OR(F121="",G121=""),"",F121*G121)</f>
        <v/>
      </c>
      <c r="J121" s="6" t="n"/>
    </row>
    <row r="122">
      <c r="A122" s="5" t="n"/>
      <c r="B122" s="6">
        <f>IF(A122="","",IFERROR(INT((A122-DATE(2026,4,27))/7)+1,""))</f>
        <v/>
      </c>
      <c r="C122" s="6" t="n"/>
      <c r="D122" s="6" t="n"/>
      <c r="E122" s="6" t="n"/>
      <c r="F122" s="6" t="n"/>
      <c r="G122" s="7" t="n"/>
      <c r="H122" s="6" t="n"/>
      <c r="I122" s="8">
        <f>IF(OR(F122="",G122=""),"",F122*G122)</f>
        <v/>
      </c>
      <c r="J122" s="6" t="n"/>
    </row>
    <row r="123">
      <c r="A123" s="5" t="n"/>
      <c r="B123" s="6">
        <f>IF(A123="","",IFERROR(INT((A123-DATE(2026,4,27))/7)+1,""))</f>
        <v/>
      </c>
      <c r="C123" s="6" t="n"/>
      <c r="D123" s="6" t="n"/>
      <c r="E123" s="6" t="n"/>
      <c r="F123" s="6" t="n"/>
      <c r="G123" s="7" t="n"/>
      <c r="H123" s="6" t="n"/>
      <c r="I123" s="8">
        <f>IF(OR(F123="",G123=""),"",F123*G123)</f>
        <v/>
      </c>
      <c r="J123" s="6" t="n"/>
    </row>
    <row r="124">
      <c r="A124" s="5" t="n"/>
      <c r="B124" s="6">
        <f>IF(A124="","",IFERROR(INT((A124-DATE(2026,4,27))/7)+1,""))</f>
        <v/>
      </c>
      <c r="C124" s="6" t="n"/>
      <c r="D124" s="6" t="n"/>
      <c r="E124" s="6" t="n"/>
      <c r="F124" s="6" t="n"/>
      <c r="G124" s="7" t="n"/>
      <c r="H124" s="6" t="n"/>
      <c r="I124" s="8">
        <f>IF(OR(F124="",G124=""),"",F124*G124)</f>
        <v/>
      </c>
      <c r="J124" s="6" t="n"/>
    </row>
    <row r="125">
      <c r="A125" s="5" t="n"/>
      <c r="B125" s="6">
        <f>IF(A125="","",IFERROR(INT((A125-DATE(2026,4,27))/7)+1,""))</f>
        <v/>
      </c>
      <c r="C125" s="6" t="n"/>
      <c r="D125" s="6" t="n"/>
      <c r="E125" s="6" t="n"/>
      <c r="F125" s="6" t="n"/>
      <c r="G125" s="7" t="n"/>
      <c r="H125" s="6" t="n"/>
      <c r="I125" s="8">
        <f>IF(OR(F125="",G125=""),"",F125*G125)</f>
        <v/>
      </c>
      <c r="J125" s="6" t="n"/>
    </row>
    <row r="126">
      <c r="A126" s="5" t="n"/>
      <c r="B126" s="6">
        <f>IF(A126="","",IFERROR(INT((A126-DATE(2026,4,27))/7)+1,""))</f>
        <v/>
      </c>
      <c r="C126" s="6" t="n"/>
      <c r="D126" s="6" t="n"/>
      <c r="E126" s="6" t="n"/>
      <c r="F126" s="6" t="n"/>
      <c r="G126" s="7" t="n"/>
      <c r="H126" s="6" t="n"/>
      <c r="I126" s="8">
        <f>IF(OR(F126="",G126=""),"",F126*G126)</f>
        <v/>
      </c>
      <c r="J126" s="6" t="n"/>
    </row>
    <row r="127">
      <c r="A127" s="5" t="n"/>
      <c r="B127" s="6">
        <f>IF(A127="","",IFERROR(INT((A127-DATE(2026,4,27))/7)+1,""))</f>
        <v/>
      </c>
      <c r="C127" s="6" t="n"/>
      <c r="D127" s="6" t="n"/>
      <c r="E127" s="6" t="n"/>
      <c r="F127" s="6" t="n"/>
      <c r="G127" s="7" t="n"/>
      <c r="H127" s="6" t="n"/>
      <c r="I127" s="8">
        <f>IF(OR(F127="",G127=""),"",F127*G127)</f>
        <v/>
      </c>
      <c r="J127" s="6" t="n"/>
    </row>
    <row r="128">
      <c r="A128" s="5" t="n"/>
      <c r="B128" s="6">
        <f>IF(A128="","",IFERROR(INT((A128-DATE(2026,4,27))/7)+1,""))</f>
        <v/>
      </c>
      <c r="C128" s="6" t="n"/>
      <c r="D128" s="6" t="n"/>
      <c r="E128" s="6" t="n"/>
      <c r="F128" s="6" t="n"/>
      <c r="G128" s="7" t="n"/>
      <c r="H128" s="6" t="n"/>
      <c r="I128" s="8">
        <f>IF(OR(F128="",G128=""),"",F128*G128)</f>
        <v/>
      </c>
      <c r="J128" s="6" t="n"/>
    </row>
    <row r="129">
      <c r="A129" s="5" t="n"/>
      <c r="B129" s="6">
        <f>IF(A129="","",IFERROR(INT((A129-DATE(2026,4,27))/7)+1,""))</f>
        <v/>
      </c>
      <c r="C129" s="6" t="n"/>
      <c r="D129" s="6" t="n"/>
      <c r="E129" s="6" t="n"/>
      <c r="F129" s="6" t="n"/>
      <c r="G129" s="7" t="n"/>
      <c r="H129" s="6" t="n"/>
      <c r="I129" s="8">
        <f>IF(OR(F129="",G129=""),"",F129*G129)</f>
        <v/>
      </c>
      <c r="J129" s="6" t="n"/>
    </row>
    <row r="130">
      <c r="A130" s="5" t="n"/>
      <c r="B130" s="6">
        <f>IF(A130="","",IFERROR(INT((A130-DATE(2026,4,27))/7)+1,""))</f>
        <v/>
      </c>
      <c r="C130" s="6" t="n"/>
      <c r="D130" s="6" t="n"/>
      <c r="E130" s="6" t="n"/>
      <c r="F130" s="6" t="n"/>
      <c r="G130" s="7" t="n"/>
      <c r="H130" s="6" t="n"/>
      <c r="I130" s="8">
        <f>IF(OR(F130="",G130=""),"",F130*G130)</f>
        <v/>
      </c>
      <c r="J130" s="6" t="n"/>
    </row>
    <row r="131">
      <c r="A131" s="5" t="n"/>
      <c r="B131" s="6">
        <f>IF(A131="","",IFERROR(INT((A131-DATE(2026,4,27))/7)+1,""))</f>
        <v/>
      </c>
      <c r="C131" s="6" t="n"/>
      <c r="D131" s="6" t="n"/>
      <c r="E131" s="6" t="n"/>
      <c r="F131" s="6" t="n"/>
      <c r="G131" s="7" t="n"/>
      <c r="H131" s="6" t="n"/>
      <c r="I131" s="8">
        <f>IF(OR(F131="",G131=""),"",F131*G131)</f>
        <v/>
      </c>
      <c r="J131" s="6" t="n"/>
    </row>
    <row r="132">
      <c r="A132" s="5" t="n"/>
      <c r="B132" s="6">
        <f>IF(A132="","",IFERROR(INT((A132-DATE(2026,4,27))/7)+1,""))</f>
        <v/>
      </c>
      <c r="C132" s="6" t="n"/>
      <c r="D132" s="6" t="n"/>
      <c r="E132" s="6" t="n"/>
      <c r="F132" s="6" t="n"/>
      <c r="G132" s="7" t="n"/>
      <c r="H132" s="6" t="n"/>
      <c r="I132" s="8">
        <f>IF(OR(F132="",G132=""),"",F132*G132)</f>
        <v/>
      </c>
      <c r="J132" s="6" t="n"/>
    </row>
    <row r="133">
      <c r="A133" s="5" t="n"/>
      <c r="B133" s="6">
        <f>IF(A133="","",IFERROR(INT((A133-DATE(2026,4,27))/7)+1,""))</f>
        <v/>
      </c>
      <c r="C133" s="6" t="n"/>
      <c r="D133" s="6" t="n"/>
      <c r="E133" s="6" t="n"/>
      <c r="F133" s="6" t="n"/>
      <c r="G133" s="7" t="n"/>
      <c r="H133" s="6" t="n"/>
      <c r="I133" s="8">
        <f>IF(OR(F133="",G133=""),"",F133*G133)</f>
        <v/>
      </c>
      <c r="J133" s="6" t="n"/>
    </row>
    <row r="134">
      <c r="A134" s="5" t="n"/>
      <c r="B134" s="6">
        <f>IF(A134="","",IFERROR(INT((A134-DATE(2026,4,27))/7)+1,""))</f>
        <v/>
      </c>
      <c r="C134" s="6" t="n"/>
      <c r="D134" s="6" t="n"/>
      <c r="E134" s="6" t="n"/>
      <c r="F134" s="6" t="n"/>
      <c r="G134" s="7" t="n"/>
      <c r="H134" s="6" t="n"/>
      <c r="I134" s="8">
        <f>IF(OR(F134="",G134=""),"",F134*G134)</f>
        <v/>
      </c>
      <c r="J134" s="6" t="n"/>
    </row>
    <row r="135">
      <c r="A135" s="5" t="n"/>
      <c r="B135" s="6">
        <f>IF(A135="","",IFERROR(INT((A135-DATE(2026,4,27))/7)+1,""))</f>
        <v/>
      </c>
      <c r="C135" s="6" t="n"/>
      <c r="D135" s="6" t="n"/>
      <c r="E135" s="6" t="n"/>
      <c r="F135" s="6" t="n"/>
      <c r="G135" s="7" t="n"/>
      <c r="H135" s="6" t="n"/>
      <c r="I135" s="8">
        <f>IF(OR(F135="",G135=""),"",F135*G135)</f>
        <v/>
      </c>
      <c r="J135" s="6" t="n"/>
    </row>
    <row r="136">
      <c r="A136" s="5" t="n"/>
      <c r="B136" s="6">
        <f>IF(A136="","",IFERROR(INT((A136-DATE(2026,4,27))/7)+1,""))</f>
        <v/>
      </c>
      <c r="C136" s="6" t="n"/>
      <c r="D136" s="6" t="n"/>
      <c r="E136" s="6" t="n"/>
      <c r="F136" s="6" t="n"/>
      <c r="G136" s="7" t="n"/>
      <c r="H136" s="6" t="n"/>
      <c r="I136" s="8">
        <f>IF(OR(F136="",G136=""),"",F136*G136)</f>
        <v/>
      </c>
      <c r="J136" s="6" t="n"/>
    </row>
    <row r="137">
      <c r="A137" s="5" t="n"/>
      <c r="B137" s="6">
        <f>IF(A137="","",IFERROR(INT((A137-DATE(2026,4,27))/7)+1,""))</f>
        <v/>
      </c>
      <c r="C137" s="6" t="n"/>
      <c r="D137" s="6" t="n"/>
      <c r="E137" s="6" t="n"/>
      <c r="F137" s="6" t="n"/>
      <c r="G137" s="7" t="n"/>
      <c r="H137" s="6" t="n"/>
      <c r="I137" s="8">
        <f>IF(OR(F137="",G137=""),"",F137*G137)</f>
        <v/>
      </c>
      <c r="J137" s="6" t="n"/>
    </row>
    <row r="138">
      <c r="A138" s="5" t="n"/>
      <c r="B138" s="6">
        <f>IF(A138="","",IFERROR(INT((A138-DATE(2026,4,27))/7)+1,""))</f>
        <v/>
      </c>
      <c r="C138" s="6" t="n"/>
      <c r="D138" s="6" t="n"/>
      <c r="E138" s="6" t="n"/>
      <c r="F138" s="6" t="n"/>
      <c r="G138" s="7" t="n"/>
      <c r="H138" s="6" t="n"/>
      <c r="I138" s="8">
        <f>IF(OR(F138="",G138=""),"",F138*G138)</f>
        <v/>
      </c>
      <c r="J138" s="6" t="n"/>
    </row>
    <row r="139">
      <c r="A139" s="5" t="n"/>
      <c r="B139" s="6">
        <f>IF(A139="","",IFERROR(INT((A139-DATE(2026,4,27))/7)+1,""))</f>
        <v/>
      </c>
      <c r="C139" s="6" t="n"/>
      <c r="D139" s="6" t="n"/>
      <c r="E139" s="6" t="n"/>
      <c r="F139" s="6" t="n"/>
      <c r="G139" s="7" t="n"/>
      <c r="H139" s="6" t="n"/>
      <c r="I139" s="8">
        <f>IF(OR(F139="",G139=""),"",F139*G139)</f>
        <v/>
      </c>
      <c r="J139" s="6" t="n"/>
    </row>
    <row r="140">
      <c r="A140" s="5" t="n"/>
      <c r="B140" s="6">
        <f>IF(A140="","",IFERROR(INT((A140-DATE(2026,4,27))/7)+1,""))</f>
        <v/>
      </c>
      <c r="C140" s="6" t="n"/>
      <c r="D140" s="6" t="n"/>
      <c r="E140" s="6" t="n"/>
      <c r="F140" s="6" t="n"/>
      <c r="G140" s="7" t="n"/>
      <c r="H140" s="6" t="n"/>
      <c r="I140" s="8">
        <f>IF(OR(F140="",G140=""),"",F140*G140)</f>
        <v/>
      </c>
      <c r="J140" s="6" t="n"/>
    </row>
    <row r="141">
      <c r="A141" s="5" t="n"/>
      <c r="B141" s="6">
        <f>IF(A141="","",IFERROR(INT((A141-DATE(2026,4,27))/7)+1,""))</f>
        <v/>
      </c>
      <c r="C141" s="6" t="n"/>
      <c r="D141" s="6" t="n"/>
      <c r="E141" s="6" t="n"/>
      <c r="F141" s="6" t="n"/>
      <c r="G141" s="7" t="n"/>
      <c r="H141" s="6" t="n"/>
      <c r="I141" s="8">
        <f>IF(OR(F141="",G141=""),"",F141*G141)</f>
        <v/>
      </c>
      <c r="J141" s="6" t="n"/>
    </row>
    <row r="142">
      <c r="A142" s="5" t="n"/>
      <c r="B142" s="6">
        <f>IF(A142="","",IFERROR(INT((A142-DATE(2026,4,27))/7)+1,""))</f>
        <v/>
      </c>
      <c r="C142" s="6" t="n"/>
      <c r="D142" s="6" t="n"/>
      <c r="E142" s="6" t="n"/>
      <c r="F142" s="6" t="n"/>
      <c r="G142" s="7" t="n"/>
      <c r="H142" s="6" t="n"/>
      <c r="I142" s="8">
        <f>IF(OR(F142="",G142=""),"",F142*G142)</f>
        <v/>
      </c>
      <c r="J142" s="6" t="n"/>
    </row>
    <row r="143">
      <c r="A143" s="5" t="n"/>
      <c r="B143" s="6">
        <f>IF(A143="","",IFERROR(INT((A143-DATE(2026,4,27))/7)+1,""))</f>
        <v/>
      </c>
      <c r="C143" s="6" t="n"/>
      <c r="D143" s="6" t="n"/>
      <c r="E143" s="6" t="n"/>
      <c r="F143" s="6" t="n"/>
      <c r="G143" s="7" t="n"/>
      <c r="H143" s="6" t="n"/>
      <c r="I143" s="8">
        <f>IF(OR(F143="",G143=""),"",F143*G143)</f>
        <v/>
      </c>
      <c r="J143" s="6" t="n"/>
    </row>
    <row r="144">
      <c r="A144" s="5" t="n"/>
      <c r="B144" s="6">
        <f>IF(A144="","",IFERROR(INT((A144-DATE(2026,4,27))/7)+1,""))</f>
        <v/>
      </c>
      <c r="C144" s="6" t="n"/>
      <c r="D144" s="6" t="n"/>
      <c r="E144" s="6" t="n"/>
      <c r="F144" s="6" t="n"/>
      <c r="G144" s="7" t="n"/>
      <c r="H144" s="6" t="n"/>
      <c r="I144" s="8">
        <f>IF(OR(F144="",G144=""),"",F144*G144)</f>
        <v/>
      </c>
      <c r="J144" s="6" t="n"/>
    </row>
    <row r="145">
      <c r="A145" s="5" t="n"/>
      <c r="B145" s="6">
        <f>IF(A145="","",IFERROR(INT((A145-DATE(2026,4,27))/7)+1,""))</f>
        <v/>
      </c>
      <c r="C145" s="6" t="n"/>
      <c r="D145" s="6" t="n"/>
      <c r="E145" s="6" t="n"/>
      <c r="F145" s="6" t="n"/>
      <c r="G145" s="7" t="n"/>
      <c r="H145" s="6" t="n"/>
      <c r="I145" s="8">
        <f>IF(OR(F145="",G145=""),"",F145*G145)</f>
        <v/>
      </c>
      <c r="J145" s="6" t="n"/>
    </row>
    <row r="146">
      <c r="A146" s="5" t="n"/>
      <c r="B146" s="6">
        <f>IF(A146="","",IFERROR(INT((A146-DATE(2026,4,27))/7)+1,""))</f>
        <v/>
      </c>
      <c r="C146" s="6" t="n"/>
      <c r="D146" s="6" t="n"/>
      <c r="E146" s="6" t="n"/>
      <c r="F146" s="6" t="n"/>
      <c r="G146" s="7" t="n"/>
      <c r="H146" s="6" t="n"/>
      <c r="I146" s="8">
        <f>IF(OR(F146="",G146=""),"",F146*G146)</f>
        <v/>
      </c>
      <c r="J146" s="6" t="n"/>
    </row>
    <row r="147">
      <c r="A147" s="5" t="n"/>
      <c r="B147" s="6">
        <f>IF(A147="","",IFERROR(INT((A147-DATE(2026,4,27))/7)+1,""))</f>
        <v/>
      </c>
      <c r="C147" s="6" t="n"/>
      <c r="D147" s="6" t="n"/>
      <c r="E147" s="6" t="n"/>
      <c r="F147" s="6" t="n"/>
      <c r="G147" s="7" t="n"/>
      <c r="H147" s="6" t="n"/>
      <c r="I147" s="8">
        <f>IF(OR(F147="",G147=""),"",F147*G147)</f>
        <v/>
      </c>
      <c r="J147" s="6" t="n"/>
    </row>
    <row r="148">
      <c r="A148" s="5" t="n"/>
      <c r="B148" s="6">
        <f>IF(A148="","",IFERROR(INT((A148-DATE(2026,4,27))/7)+1,""))</f>
        <v/>
      </c>
      <c r="C148" s="6" t="n"/>
      <c r="D148" s="6" t="n"/>
      <c r="E148" s="6" t="n"/>
      <c r="F148" s="6" t="n"/>
      <c r="G148" s="7" t="n"/>
      <c r="H148" s="6" t="n"/>
      <c r="I148" s="8">
        <f>IF(OR(F148="",G148=""),"",F148*G148)</f>
        <v/>
      </c>
      <c r="J148" s="6" t="n"/>
    </row>
    <row r="149">
      <c r="A149" s="5" t="n"/>
      <c r="B149" s="6">
        <f>IF(A149="","",IFERROR(INT((A149-DATE(2026,4,27))/7)+1,""))</f>
        <v/>
      </c>
      <c r="C149" s="6" t="n"/>
      <c r="D149" s="6" t="n"/>
      <c r="E149" s="6" t="n"/>
      <c r="F149" s="6" t="n"/>
      <c r="G149" s="7" t="n"/>
      <c r="H149" s="6" t="n"/>
      <c r="I149" s="8">
        <f>IF(OR(F149="",G149=""),"",F149*G149)</f>
        <v/>
      </c>
      <c r="J149" s="6" t="n"/>
    </row>
    <row r="150">
      <c r="A150" s="5" t="n"/>
      <c r="B150" s="6">
        <f>IF(A150="","",IFERROR(INT((A150-DATE(2026,4,27))/7)+1,""))</f>
        <v/>
      </c>
      <c r="C150" s="6" t="n"/>
      <c r="D150" s="6" t="n"/>
      <c r="E150" s="6" t="n"/>
      <c r="F150" s="6" t="n"/>
      <c r="G150" s="7" t="n"/>
      <c r="H150" s="6" t="n"/>
      <c r="I150" s="8">
        <f>IF(OR(F150="",G150=""),"",F150*G150)</f>
        <v/>
      </c>
      <c r="J150" s="6" t="n"/>
    </row>
    <row r="151">
      <c r="A151" s="5" t="n"/>
      <c r="B151" s="6">
        <f>IF(A151="","",IFERROR(INT((A151-DATE(2026,4,27))/7)+1,""))</f>
        <v/>
      </c>
      <c r="C151" s="6" t="n"/>
      <c r="D151" s="6" t="n"/>
      <c r="E151" s="6" t="n"/>
      <c r="F151" s="6" t="n"/>
      <c r="G151" s="7" t="n"/>
      <c r="H151" s="6" t="n"/>
      <c r="I151" s="8">
        <f>IF(OR(F151="",G151=""),"",F151*G151)</f>
        <v/>
      </c>
      <c r="J151" s="6" t="n"/>
    </row>
    <row r="152">
      <c r="A152" s="5" t="n"/>
      <c r="B152" s="6">
        <f>IF(A152="","",IFERROR(INT((A152-DATE(2026,4,27))/7)+1,""))</f>
        <v/>
      </c>
      <c r="C152" s="6" t="n"/>
      <c r="D152" s="6" t="n"/>
      <c r="E152" s="6" t="n"/>
      <c r="F152" s="6" t="n"/>
      <c r="G152" s="7" t="n"/>
      <c r="H152" s="6" t="n"/>
      <c r="I152" s="8">
        <f>IF(OR(F152="",G152=""),"",F152*G152)</f>
        <v/>
      </c>
      <c r="J152" s="6" t="n"/>
    </row>
    <row r="153">
      <c r="A153" s="5" t="n"/>
      <c r="B153" s="6">
        <f>IF(A153="","",IFERROR(INT((A153-DATE(2026,4,27))/7)+1,""))</f>
        <v/>
      </c>
      <c r="C153" s="6" t="n"/>
      <c r="D153" s="6" t="n"/>
      <c r="E153" s="6" t="n"/>
      <c r="F153" s="6" t="n"/>
      <c r="G153" s="7" t="n"/>
      <c r="H153" s="6" t="n"/>
      <c r="I153" s="8">
        <f>IF(OR(F153="",G153=""),"",F153*G153)</f>
        <v/>
      </c>
      <c r="J153" s="6" t="n"/>
    </row>
    <row r="154">
      <c r="A154" s="5" t="n"/>
      <c r="B154" s="6">
        <f>IF(A154="","",IFERROR(INT((A154-DATE(2026,4,27))/7)+1,""))</f>
        <v/>
      </c>
      <c r="C154" s="6" t="n"/>
      <c r="D154" s="6" t="n"/>
      <c r="E154" s="6" t="n"/>
      <c r="F154" s="6" t="n"/>
      <c r="G154" s="7" t="n"/>
      <c r="H154" s="6" t="n"/>
      <c r="I154" s="8">
        <f>IF(OR(F154="",G154=""),"",F154*G154)</f>
        <v/>
      </c>
      <c r="J154" s="6" t="n"/>
    </row>
    <row r="155">
      <c r="A155" s="5" t="n"/>
      <c r="B155" s="6">
        <f>IF(A155="","",IFERROR(INT((A155-DATE(2026,4,27))/7)+1,""))</f>
        <v/>
      </c>
      <c r="C155" s="6" t="n"/>
      <c r="D155" s="6" t="n"/>
      <c r="E155" s="6" t="n"/>
      <c r="F155" s="6" t="n"/>
      <c r="G155" s="7" t="n"/>
      <c r="H155" s="6" t="n"/>
      <c r="I155" s="8">
        <f>IF(OR(F155="",G155=""),"",F155*G155)</f>
        <v/>
      </c>
      <c r="J155" s="6" t="n"/>
    </row>
    <row r="156">
      <c r="A156" s="5" t="n"/>
      <c r="B156" s="6">
        <f>IF(A156="","",IFERROR(INT((A156-DATE(2026,4,27))/7)+1,""))</f>
        <v/>
      </c>
      <c r="C156" s="6" t="n"/>
      <c r="D156" s="6" t="n"/>
      <c r="E156" s="6" t="n"/>
      <c r="F156" s="6" t="n"/>
      <c r="G156" s="7" t="n"/>
      <c r="H156" s="6" t="n"/>
      <c r="I156" s="8">
        <f>IF(OR(F156="",G156=""),"",F156*G156)</f>
        <v/>
      </c>
      <c r="J156" s="6" t="n"/>
    </row>
    <row r="157">
      <c r="A157" s="5" t="n"/>
      <c r="B157" s="6">
        <f>IF(A157="","",IFERROR(INT((A157-DATE(2026,4,27))/7)+1,""))</f>
        <v/>
      </c>
      <c r="C157" s="6" t="n"/>
      <c r="D157" s="6" t="n"/>
      <c r="E157" s="6" t="n"/>
      <c r="F157" s="6" t="n"/>
      <c r="G157" s="7" t="n"/>
      <c r="H157" s="6" t="n"/>
      <c r="I157" s="8">
        <f>IF(OR(F157="",G157=""),"",F157*G157)</f>
        <v/>
      </c>
      <c r="J157" s="6" t="n"/>
    </row>
    <row r="158">
      <c r="A158" s="5" t="n"/>
      <c r="B158" s="6">
        <f>IF(A158="","",IFERROR(INT((A158-DATE(2026,4,27))/7)+1,""))</f>
        <v/>
      </c>
      <c r="C158" s="6" t="n"/>
      <c r="D158" s="6" t="n"/>
      <c r="E158" s="6" t="n"/>
      <c r="F158" s="6" t="n"/>
      <c r="G158" s="7" t="n"/>
      <c r="H158" s="6" t="n"/>
      <c r="I158" s="8">
        <f>IF(OR(F158="",G158=""),"",F158*G158)</f>
        <v/>
      </c>
      <c r="J158" s="6" t="n"/>
    </row>
    <row r="159">
      <c r="A159" s="5" t="n"/>
      <c r="B159" s="6">
        <f>IF(A159="","",IFERROR(INT((A159-DATE(2026,4,27))/7)+1,""))</f>
        <v/>
      </c>
      <c r="C159" s="6" t="n"/>
      <c r="D159" s="6" t="n"/>
      <c r="E159" s="6" t="n"/>
      <c r="F159" s="6" t="n"/>
      <c r="G159" s="7" t="n"/>
      <c r="H159" s="6" t="n"/>
      <c r="I159" s="8">
        <f>IF(OR(F159="",G159=""),"",F159*G159)</f>
        <v/>
      </c>
      <c r="J159" s="6" t="n"/>
    </row>
    <row r="160">
      <c r="A160" s="5" t="n"/>
      <c r="B160" s="6">
        <f>IF(A160="","",IFERROR(INT((A160-DATE(2026,4,27))/7)+1,""))</f>
        <v/>
      </c>
      <c r="C160" s="6" t="n"/>
      <c r="D160" s="6" t="n"/>
      <c r="E160" s="6" t="n"/>
      <c r="F160" s="6" t="n"/>
      <c r="G160" s="7" t="n"/>
      <c r="H160" s="6" t="n"/>
      <c r="I160" s="8">
        <f>IF(OR(F160="",G160=""),"",F160*G160)</f>
        <v/>
      </c>
      <c r="J160" s="6" t="n"/>
    </row>
    <row r="161">
      <c r="A161" s="5" t="n"/>
      <c r="B161" s="6">
        <f>IF(A161="","",IFERROR(INT((A161-DATE(2026,4,27))/7)+1,""))</f>
        <v/>
      </c>
      <c r="C161" s="6" t="n"/>
      <c r="D161" s="6" t="n"/>
      <c r="E161" s="6" t="n"/>
      <c r="F161" s="6" t="n"/>
      <c r="G161" s="7" t="n"/>
      <c r="H161" s="6" t="n"/>
      <c r="I161" s="8">
        <f>IF(OR(F161="",G161=""),"",F161*G161)</f>
        <v/>
      </c>
      <c r="J161" s="6" t="n"/>
    </row>
    <row r="162">
      <c r="A162" s="5" t="n"/>
      <c r="B162" s="6">
        <f>IF(A162="","",IFERROR(INT((A162-DATE(2026,4,27))/7)+1,""))</f>
        <v/>
      </c>
      <c r="C162" s="6" t="n"/>
      <c r="D162" s="6" t="n"/>
      <c r="E162" s="6" t="n"/>
      <c r="F162" s="6" t="n"/>
      <c r="G162" s="7" t="n"/>
      <c r="H162" s="6" t="n"/>
      <c r="I162" s="8">
        <f>IF(OR(F162="",G162=""),"",F162*G162)</f>
        <v/>
      </c>
      <c r="J162" s="6" t="n"/>
    </row>
    <row r="163">
      <c r="A163" s="5" t="n"/>
      <c r="B163" s="6">
        <f>IF(A163="","",IFERROR(INT((A163-DATE(2026,4,27))/7)+1,""))</f>
        <v/>
      </c>
      <c r="C163" s="6" t="n"/>
      <c r="D163" s="6" t="n"/>
      <c r="E163" s="6" t="n"/>
      <c r="F163" s="6" t="n"/>
      <c r="G163" s="7" t="n"/>
      <c r="H163" s="6" t="n"/>
      <c r="I163" s="8">
        <f>IF(OR(F163="",G163=""),"",F163*G163)</f>
        <v/>
      </c>
      <c r="J163" s="6" t="n"/>
    </row>
    <row r="164">
      <c r="A164" s="5" t="n"/>
      <c r="B164" s="6">
        <f>IF(A164="","",IFERROR(INT((A164-DATE(2026,4,27))/7)+1,""))</f>
        <v/>
      </c>
      <c r="C164" s="6" t="n"/>
      <c r="D164" s="6" t="n"/>
      <c r="E164" s="6" t="n"/>
      <c r="F164" s="6" t="n"/>
      <c r="G164" s="7" t="n"/>
      <c r="H164" s="6" t="n"/>
      <c r="I164" s="8">
        <f>IF(OR(F164="",G164=""),"",F164*G164)</f>
        <v/>
      </c>
      <c r="J164" s="6" t="n"/>
    </row>
    <row r="165">
      <c r="A165" s="5" t="n"/>
      <c r="B165" s="6">
        <f>IF(A165="","",IFERROR(INT((A165-DATE(2026,4,27))/7)+1,""))</f>
        <v/>
      </c>
      <c r="C165" s="6" t="n"/>
      <c r="D165" s="6" t="n"/>
      <c r="E165" s="6" t="n"/>
      <c r="F165" s="6" t="n"/>
      <c r="G165" s="7" t="n"/>
      <c r="H165" s="6" t="n"/>
      <c r="I165" s="8">
        <f>IF(OR(F165="",G165=""),"",F165*G165)</f>
        <v/>
      </c>
      <c r="J165" s="6" t="n"/>
    </row>
    <row r="166">
      <c r="A166" s="5" t="n"/>
      <c r="B166" s="6">
        <f>IF(A166="","",IFERROR(INT((A166-DATE(2026,4,27))/7)+1,""))</f>
        <v/>
      </c>
      <c r="C166" s="6" t="n"/>
      <c r="D166" s="6" t="n"/>
      <c r="E166" s="6" t="n"/>
      <c r="F166" s="6" t="n"/>
      <c r="G166" s="7" t="n"/>
      <c r="H166" s="6" t="n"/>
      <c r="I166" s="8">
        <f>IF(OR(F166="",G166=""),"",F166*G166)</f>
        <v/>
      </c>
      <c r="J166" s="6" t="n"/>
    </row>
    <row r="167">
      <c r="A167" s="5" t="n"/>
      <c r="B167" s="6">
        <f>IF(A167="","",IFERROR(INT((A167-DATE(2026,4,27))/7)+1,""))</f>
        <v/>
      </c>
      <c r="C167" s="6" t="n"/>
      <c r="D167" s="6" t="n"/>
      <c r="E167" s="6" t="n"/>
      <c r="F167" s="6" t="n"/>
      <c r="G167" s="7" t="n"/>
      <c r="H167" s="6" t="n"/>
      <c r="I167" s="8">
        <f>IF(OR(F167="",G167=""),"",F167*G167)</f>
        <v/>
      </c>
      <c r="J167" s="6" t="n"/>
    </row>
    <row r="168">
      <c r="A168" s="5" t="n"/>
      <c r="B168" s="6">
        <f>IF(A168="","",IFERROR(INT((A168-DATE(2026,4,27))/7)+1,""))</f>
        <v/>
      </c>
      <c r="C168" s="6" t="n"/>
      <c r="D168" s="6" t="n"/>
      <c r="E168" s="6" t="n"/>
      <c r="F168" s="6" t="n"/>
      <c r="G168" s="7" t="n"/>
      <c r="H168" s="6" t="n"/>
      <c r="I168" s="8">
        <f>IF(OR(F168="",G168=""),"",F168*G168)</f>
        <v/>
      </c>
      <c r="J168" s="6" t="n"/>
    </row>
    <row r="169">
      <c r="A169" s="5" t="n"/>
      <c r="B169" s="6">
        <f>IF(A169="","",IFERROR(INT((A169-DATE(2026,4,27))/7)+1,""))</f>
        <v/>
      </c>
      <c r="C169" s="6" t="n"/>
      <c r="D169" s="6" t="n"/>
      <c r="E169" s="6" t="n"/>
      <c r="F169" s="6" t="n"/>
      <c r="G169" s="7" t="n"/>
      <c r="H169" s="6" t="n"/>
      <c r="I169" s="8">
        <f>IF(OR(F169="",G169=""),"",F169*G169)</f>
        <v/>
      </c>
      <c r="J169" s="6" t="n"/>
    </row>
    <row r="170">
      <c r="A170" s="5" t="n"/>
      <c r="B170" s="6">
        <f>IF(A170="","",IFERROR(INT((A170-DATE(2026,4,27))/7)+1,""))</f>
        <v/>
      </c>
      <c r="C170" s="6" t="n"/>
      <c r="D170" s="6" t="n"/>
      <c r="E170" s="6" t="n"/>
      <c r="F170" s="6" t="n"/>
      <c r="G170" s="7" t="n"/>
      <c r="H170" s="6" t="n"/>
      <c r="I170" s="8">
        <f>IF(OR(F170="",G170=""),"",F170*G170)</f>
        <v/>
      </c>
      <c r="J170" s="6" t="n"/>
    </row>
    <row r="171">
      <c r="A171" s="5" t="n"/>
      <c r="B171" s="6">
        <f>IF(A171="","",IFERROR(INT((A171-DATE(2026,4,27))/7)+1,""))</f>
        <v/>
      </c>
      <c r="C171" s="6" t="n"/>
      <c r="D171" s="6" t="n"/>
      <c r="E171" s="6" t="n"/>
      <c r="F171" s="6" t="n"/>
      <c r="G171" s="7" t="n"/>
      <c r="H171" s="6" t="n"/>
      <c r="I171" s="8">
        <f>IF(OR(F171="",G171=""),"",F171*G171)</f>
        <v/>
      </c>
      <c r="J171" s="6" t="n"/>
    </row>
    <row r="172">
      <c r="A172" s="5" t="n"/>
      <c r="B172" s="6">
        <f>IF(A172="","",IFERROR(INT((A172-DATE(2026,4,27))/7)+1,""))</f>
        <v/>
      </c>
      <c r="C172" s="6" t="n"/>
      <c r="D172" s="6" t="n"/>
      <c r="E172" s="6" t="n"/>
      <c r="F172" s="6" t="n"/>
      <c r="G172" s="7" t="n"/>
      <c r="H172" s="6" t="n"/>
      <c r="I172" s="8">
        <f>IF(OR(F172="",G172=""),"",F172*G172)</f>
        <v/>
      </c>
      <c r="J172" s="6" t="n"/>
    </row>
    <row r="173">
      <c r="A173" s="5" t="n"/>
      <c r="B173" s="6">
        <f>IF(A173="","",IFERROR(INT((A173-DATE(2026,4,27))/7)+1,""))</f>
        <v/>
      </c>
      <c r="C173" s="6" t="n"/>
      <c r="D173" s="6" t="n"/>
      <c r="E173" s="6" t="n"/>
      <c r="F173" s="6" t="n"/>
      <c r="G173" s="7" t="n"/>
      <c r="H173" s="6" t="n"/>
      <c r="I173" s="8">
        <f>IF(OR(F173="",G173=""),"",F173*G173)</f>
        <v/>
      </c>
      <c r="J173" s="6" t="n"/>
    </row>
    <row r="174">
      <c r="A174" s="5" t="n"/>
      <c r="B174" s="6">
        <f>IF(A174="","",IFERROR(INT((A174-DATE(2026,4,27))/7)+1,""))</f>
        <v/>
      </c>
      <c r="C174" s="6" t="n"/>
      <c r="D174" s="6" t="n"/>
      <c r="E174" s="6" t="n"/>
      <c r="F174" s="6" t="n"/>
      <c r="G174" s="7" t="n"/>
      <c r="H174" s="6" t="n"/>
      <c r="I174" s="8">
        <f>IF(OR(F174="",G174=""),"",F174*G174)</f>
        <v/>
      </c>
      <c r="J174" s="6" t="n"/>
    </row>
    <row r="175">
      <c r="A175" s="5" t="n"/>
      <c r="B175" s="6">
        <f>IF(A175="","",IFERROR(INT((A175-DATE(2026,4,27))/7)+1,""))</f>
        <v/>
      </c>
      <c r="C175" s="6" t="n"/>
      <c r="D175" s="6" t="n"/>
      <c r="E175" s="6" t="n"/>
      <c r="F175" s="6" t="n"/>
      <c r="G175" s="7" t="n"/>
      <c r="H175" s="6" t="n"/>
      <c r="I175" s="8">
        <f>IF(OR(F175="",G175=""),"",F175*G175)</f>
        <v/>
      </c>
      <c r="J175" s="6" t="n"/>
    </row>
    <row r="176">
      <c r="A176" s="5" t="n"/>
      <c r="B176" s="6">
        <f>IF(A176="","",IFERROR(INT((A176-DATE(2026,4,27))/7)+1,""))</f>
        <v/>
      </c>
      <c r="C176" s="6" t="n"/>
      <c r="D176" s="6" t="n"/>
      <c r="E176" s="6" t="n"/>
      <c r="F176" s="6" t="n"/>
      <c r="G176" s="7" t="n"/>
      <c r="H176" s="6" t="n"/>
      <c r="I176" s="8">
        <f>IF(OR(F176="",G176=""),"",F176*G176)</f>
        <v/>
      </c>
      <c r="J176" s="6" t="n"/>
    </row>
    <row r="177">
      <c r="A177" s="5" t="n"/>
      <c r="B177" s="6">
        <f>IF(A177="","",IFERROR(INT((A177-DATE(2026,4,27))/7)+1,""))</f>
        <v/>
      </c>
      <c r="C177" s="6" t="n"/>
      <c r="D177" s="6" t="n"/>
      <c r="E177" s="6" t="n"/>
      <c r="F177" s="6" t="n"/>
      <c r="G177" s="7" t="n"/>
      <c r="H177" s="6" t="n"/>
      <c r="I177" s="8">
        <f>IF(OR(F177="",G177=""),"",F177*G177)</f>
        <v/>
      </c>
      <c r="J177" s="6" t="n"/>
    </row>
    <row r="178">
      <c r="A178" s="5" t="n"/>
      <c r="B178" s="6">
        <f>IF(A178="","",IFERROR(INT((A178-DATE(2026,4,27))/7)+1,""))</f>
        <v/>
      </c>
      <c r="C178" s="6" t="n"/>
      <c r="D178" s="6" t="n"/>
      <c r="E178" s="6" t="n"/>
      <c r="F178" s="6" t="n"/>
      <c r="G178" s="7" t="n"/>
      <c r="H178" s="6" t="n"/>
      <c r="I178" s="8">
        <f>IF(OR(F178="",G178=""),"",F178*G178)</f>
        <v/>
      </c>
      <c r="J178" s="6" t="n"/>
    </row>
    <row r="179">
      <c r="A179" s="5" t="n"/>
      <c r="B179" s="6">
        <f>IF(A179="","",IFERROR(INT((A179-DATE(2026,4,27))/7)+1,""))</f>
        <v/>
      </c>
      <c r="C179" s="6" t="n"/>
      <c r="D179" s="6" t="n"/>
      <c r="E179" s="6" t="n"/>
      <c r="F179" s="6" t="n"/>
      <c r="G179" s="7" t="n"/>
      <c r="H179" s="6" t="n"/>
      <c r="I179" s="8">
        <f>IF(OR(F179="",G179=""),"",F179*G179)</f>
        <v/>
      </c>
      <c r="J179" s="6" t="n"/>
    </row>
    <row r="180">
      <c r="A180" s="5" t="n"/>
      <c r="B180" s="6">
        <f>IF(A180="","",IFERROR(INT((A180-DATE(2026,4,27))/7)+1,""))</f>
        <v/>
      </c>
      <c r="C180" s="6" t="n"/>
      <c r="D180" s="6" t="n"/>
      <c r="E180" s="6" t="n"/>
      <c r="F180" s="6" t="n"/>
      <c r="G180" s="7" t="n"/>
      <c r="H180" s="6" t="n"/>
      <c r="I180" s="8">
        <f>IF(OR(F180="",G180=""),"",F180*G180)</f>
        <v/>
      </c>
      <c r="J180" s="6" t="n"/>
    </row>
    <row r="181">
      <c r="A181" s="5" t="n"/>
      <c r="B181" s="6">
        <f>IF(A181="","",IFERROR(INT((A181-DATE(2026,4,27))/7)+1,""))</f>
        <v/>
      </c>
      <c r="C181" s="6" t="n"/>
      <c r="D181" s="6" t="n"/>
      <c r="E181" s="6" t="n"/>
      <c r="F181" s="6" t="n"/>
      <c r="G181" s="7" t="n"/>
      <c r="H181" s="6" t="n"/>
      <c r="I181" s="8">
        <f>IF(OR(F181="",G181=""),"",F181*G181)</f>
        <v/>
      </c>
      <c r="J181" s="6" t="n"/>
    </row>
    <row r="182">
      <c r="A182" s="5" t="n"/>
      <c r="B182" s="6">
        <f>IF(A182="","",IFERROR(INT((A182-DATE(2026,4,27))/7)+1,""))</f>
        <v/>
      </c>
      <c r="C182" s="6" t="n"/>
      <c r="D182" s="6" t="n"/>
      <c r="E182" s="6" t="n"/>
      <c r="F182" s="6" t="n"/>
      <c r="G182" s="7" t="n"/>
      <c r="H182" s="6" t="n"/>
      <c r="I182" s="8">
        <f>IF(OR(F182="",G182=""),"",F182*G182)</f>
        <v/>
      </c>
      <c r="J182" s="6" t="n"/>
    </row>
    <row r="183">
      <c r="A183" s="5" t="n"/>
      <c r="B183" s="6">
        <f>IF(A183="","",IFERROR(INT((A183-DATE(2026,4,27))/7)+1,""))</f>
        <v/>
      </c>
      <c r="C183" s="6" t="n"/>
      <c r="D183" s="6" t="n"/>
      <c r="E183" s="6" t="n"/>
      <c r="F183" s="6" t="n"/>
      <c r="G183" s="7" t="n"/>
      <c r="H183" s="6" t="n"/>
      <c r="I183" s="8">
        <f>IF(OR(F183="",G183=""),"",F183*G183)</f>
        <v/>
      </c>
      <c r="J183" s="6" t="n"/>
    </row>
    <row r="184">
      <c r="A184" s="5" t="n"/>
      <c r="B184" s="6">
        <f>IF(A184="","",IFERROR(INT((A184-DATE(2026,4,27))/7)+1,""))</f>
        <v/>
      </c>
      <c r="C184" s="6" t="n"/>
      <c r="D184" s="6" t="n"/>
      <c r="E184" s="6" t="n"/>
      <c r="F184" s="6" t="n"/>
      <c r="G184" s="7" t="n"/>
      <c r="H184" s="6" t="n"/>
      <c r="I184" s="8">
        <f>IF(OR(F184="",G184=""),"",F184*G184)</f>
        <v/>
      </c>
      <c r="J184" s="6" t="n"/>
    </row>
    <row r="185">
      <c r="A185" s="5" t="n"/>
      <c r="B185" s="6">
        <f>IF(A185="","",IFERROR(INT((A185-DATE(2026,4,27))/7)+1,""))</f>
        <v/>
      </c>
      <c r="C185" s="6" t="n"/>
      <c r="D185" s="6" t="n"/>
      <c r="E185" s="6" t="n"/>
      <c r="F185" s="6" t="n"/>
      <c r="G185" s="7" t="n"/>
      <c r="H185" s="6" t="n"/>
      <c r="I185" s="8">
        <f>IF(OR(F185="",G185=""),"",F185*G185)</f>
        <v/>
      </c>
      <c r="J185" s="6" t="n"/>
    </row>
    <row r="186">
      <c r="A186" s="5" t="n"/>
      <c r="B186" s="6">
        <f>IF(A186="","",IFERROR(INT((A186-DATE(2026,4,27))/7)+1,""))</f>
        <v/>
      </c>
      <c r="C186" s="6" t="n"/>
      <c r="D186" s="6" t="n"/>
      <c r="E186" s="6" t="n"/>
      <c r="F186" s="6" t="n"/>
      <c r="G186" s="7" t="n"/>
      <c r="H186" s="6" t="n"/>
      <c r="I186" s="8">
        <f>IF(OR(F186="",G186=""),"",F186*G186)</f>
        <v/>
      </c>
      <c r="J186" s="6" t="n"/>
    </row>
    <row r="187">
      <c r="A187" s="5" t="n"/>
      <c r="B187" s="6">
        <f>IF(A187="","",IFERROR(INT((A187-DATE(2026,4,27))/7)+1,""))</f>
        <v/>
      </c>
      <c r="C187" s="6" t="n"/>
      <c r="D187" s="6" t="n"/>
      <c r="E187" s="6" t="n"/>
      <c r="F187" s="6" t="n"/>
      <c r="G187" s="7" t="n"/>
      <c r="H187" s="6" t="n"/>
      <c r="I187" s="8">
        <f>IF(OR(F187="",G187=""),"",F187*G187)</f>
        <v/>
      </c>
      <c r="J187" s="6" t="n"/>
    </row>
    <row r="188">
      <c r="A188" s="5" t="n"/>
      <c r="B188" s="6">
        <f>IF(A188="","",IFERROR(INT((A188-DATE(2026,4,27))/7)+1,""))</f>
        <v/>
      </c>
      <c r="C188" s="6" t="n"/>
      <c r="D188" s="6" t="n"/>
      <c r="E188" s="6" t="n"/>
      <c r="F188" s="6" t="n"/>
      <c r="G188" s="7" t="n"/>
      <c r="H188" s="6" t="n"/>
      <c r="I188" s="8">
        <f>IF(OR(F188="",G188=""),"",F188*G188)</f>
        <v/>
      </c>
      <c r="J188" s="6" t="n"/>
    </row>
    <row r="189">
      <c r="A189" s="5" t="n"/>
      <c r="B189" s="6">
        <f>IF(A189="","",IFERROR(INT((A189-DATE(2026,4,27))/7)+1,""))</f>
        <v/>
      </c>
      <c r="C189" s="6" t="n"/>
      <c r="D189" s="6" t="n"/>
      <c r="E189" s="6" t="n"/>
      <c r="F189" s="6" t="n"/>
      <c r="G189" s="7" t="n"/>
      <c r="H189" s="6" t="n"/>
      <c r="I189" s="8">
        <f>IF(OR(F189="",G189=""),"",F189*G189)</f>
        <v/>
      </c>
      <c r="J189" s="6" t="n"/>
    </row>
    <row r="190">
      <c r="A190" s="5" t="n"/>
      <c r="B190" s="6">
        <f>IF(A190="","",IFERROR(INT((A190-DATE(2026,4,27))/7)+1,""))</f>
        <v/>
      </c>
      <c r="C190" s="6" t="n"/>
      <c r="D190" s="6" t="n"/>
      <c r="E190" s="6" t="n"/>
      <c r="F190" s="6" t="n"/>
      <c r="G190" s="7" t="n"/>
      <c r="H190" s="6" t="n"/>
      <c r="I190" s="8">
        <f>IF(OR(F190="",G190=""),"",F190*G190)</f>
        <v/>
      </c>
      <c r="J190" s="6" t="n"/>
    </row>
    <row r="191">
      <c r="A191" s="5" t="n"/>
      <c r="B191" s="6">
        <f>IF(A191="","",IFERROR(INT((A191-DATE(2026,4,27))/7)+1,""))</f>
        <v/>
      </c>
      <c r="C191" s="6" t="n"/>
      <c r="D191" s="6" t="n"/>
      <c r="E191" s="6" t="n"/>
      <c r="F191" s="6" t="n"/>
      <c r="G191" s="7" t="n"/>
      <c r="H191" s="6" t="n"/>
      <c r="I191" s="8">
        <f>IF(OR(F191="",G191=""),"",F191*G191)</f>
        <v/>
      </c>
      <c r="J191" s="6" t="n"/>
    </row>
    <row r="192">
      <c r="A192" s="5" t="n"/>
      <c r="B192" s="6">
        <f>IF(A192="","",IFERROR(INT((A192-DATE(2026,4,27))/7)+1,""))</f>
        <v/>
      </c>
      <c r="C192" s="6" t="n"/>
      <c r="D192" s="6" t="n"/>
      <c r="E192" s="6" t="n"/>
      <c r="F192" s="6" t="n"/>
      <c r="G192" s="7" t="n"/>
      <c r="H192" s="6" t="n"/>
      <c r="I192" s="8">
        <f>IF(OR(F192="",G192=""),"",F192*G192)</f>
        <v/>
      </c>
      <c r="J192" s="6" t="n"/>
    </row>
    <row r="193">
      <c r="A193" s="5" t="n"/>
      <c r="B193" s="6">
        <f>IF(A193="","",IFERROR(INT((A193-DATE(2026,4,27))/7)+1,""))</f>
        <v/>
      </c>
      <c r="C193" s="6" t="n"/>
      <c r="D193" s="6" t="n"/>
      <c r="E193" s="6" t="n"/>
      <c r="F193" s="6" t="n"/>
      <c r="G193" s="7" t="n"/>
      <c r="H193" s="6" t="n"/>
      <c r="I193" s="8">
        <f>IF(OR(F193="",G193=""),"",F193*G193)</f>
        <v/>
      </c>
      <c r="J193" s="6" t="n"/>
    </row>
    <row r="194">
      <c r="A194" s="5" t="n"/>
      <c r="B194" s="6">
        <f>IF(A194="","",IFERROR(INT((A194-DATE(2026,4,27))/7)+1,""))</f>
        <v/>
      </c>
      <c r="C194" s="6" t="n"/>
      <c r="D194" s="6" t="n"/>
      <c r="E194" s="6" t="n"/>
      <c r="F194" s="6" t="n"/>
      <c r="G194" s="7" t="n"/>
      <c r="H194" s="6" t="n"/>
      <c r="I194" s="8">
        <f>IF(OR(F194="",G194=""),"",F194*G194)</f>
        <v/>
      </c>
      <c r="J194" s="6" t="n"/>
    </row>
    <row r="195">
      <c r="A195" s="5" t="n"/>
      <c r="B195" s="6">
        <f>IF(A195="","",IFERROR(INT((A195-DATE(2026,4,27))/7)+1,""))</f>
        <v/>
      </c>
      <c r="C195" s="6" t="n"/>
      <c r="D195" s="6" t="n"/>
      <c r="E195" s="6" t="n"/>
      <c r="F195" s="6" t="n"/>
      <c r="G195" s="7" t="n"/>
      <c r="H195" s="6" t="n"/>
      <c r="I195" s="8">
        <f>IF(OR(F195="",G195=""),"",F195*G195)</f>
        <v/>
      </c>
      <c r="J195" s="6" t="n"/>
    </row>
    <row r="196">
      <c r="A196" s="5" t="n"/>
      <c r="B196" s="6">
        <f>IF(A196="","",IFERROR(INT((A196-DATE(2026,4,27))/7)+1,""))</f>
        <v/>
      </c>
      <c r="C196" s="6" t="n"/>
      <c r="D196" s="6" t="n"/>
      <c r="E196" s="6" t="n"/>
      <c r="F196" s="6" t="n"/>
      <c r="G196" s="7" t="n"/>
      <c r="H196" s="6" t="n"/>
      <c r="I196" s="8">
        <f>IF(OR(F196="",G196=""),"",F196*G196)</f>
        <v/>
      </c>
      <c r="J196" s="6" t="n"/>
    </row>
    <row r="197">
      <c r="A197" s="5" t="n"/>
      <c r="B197" s="6">
        <f>IF(A197="","",IFERROR(INT((A197-DATE(2026,4,27))/7)+1,""))</f>
        <v/>
      </c>
      <c r="C197" s="6" t="n"/>
      <c r="D197" s="6" t="n"/>
      <c r="E197" s="6" t="n"/>
      <c r="F197" s="6" t="n"/>
      <c r="G197" s="7" t="n"/>
      <c r="H197" s="6" t="n"/>
      <c r="I197" s="8">
        <f>IF(OR(F197="",G197=""),"",F197*G197)</f>
        <v/>
      </c>
      <c r="J197" s="6" t="n"/>
    </row>
    <row r="198">
      <c r="A198" s="5" t="n"/>
      <c r="B198" s="6">
        <f>IF(A198="","",IFERROR(INT((A198-DATE(2026,4,27))/7)+1,""))</f>
        <v/>
      </c>
      <c r="C198" s="6" t="n"/>
      <c r="D198" s="6" t="n"/>
      <c r="E198" s="6" t="n"/>
      <c r="F198" s="6" t="n"/>
      <c r="G198" s="7" t="n"/>
      <c r="H198" s="6" t="n"/>
      <c r="I198" s="8">
        <f>IF(OR(F198="",G198=""),"",F198*G198)</f>
        <v/>
      </c>
      <c r="J198" s="6" t="n"/>
    </row>
    <row r="199">
      <c r="A199" s="5" t="n"/>
      <c r="B199" s="6">
        <f>IF(A199="","",IFERROR(INT((A199-DATE(2026,4,27))/7)+1,""))</f>
        <v/>
      </c>
      <c r="C199" s="6" t="n"/>
      <c r="D199" s="6" t="n"/>
      <c r="E199" s="6" t="n"/>
      <c r="F199" s="6" t="n"/>
      <c r="G199" s="7" t="n"/>
      <c r="H199" s="6" t="n"/>
      <c r="I199" s="8">
        <f>IF(OR(F199="",G199=""),"",F199*G199)</f>
        <v/>
      </c>
      <c r="J199" s="6" t="n"/>
    </row>
    <row r="200">
      <c r="A200" s="5" t="n"/>
      <c r="B200" s="6">
        <f>IF(A200="","",IFERROR(INT((A200-DATE(2026,4,27))/7)+1,""))</f>
        <v/>
      </c>
      <c r="C200" s="6" t="n"/>
      <c r="D200" s="6" t="n"/>
      <c r="E200" s="6" t="n"/>
      <c r="F200" s="6" t="n"/>
      <c r="G200" s="7" t="n"/>
      <c r="H200" s="6" t="n"/>
      <c r="I200" s="8">
        <f>IF(OR(F200="",G200=""),"",F200*G200)</f>
        <v/>
      </c>
      <c r="J200" s="6" t="n"/>
    </row>
    <row r="201">
      <c r="A201" s="5" t="n"/>
      <c r="B201" s="6">
        <f>IF(A201="","",IFERROR(INT((A201-DATE(2026,4,27))/7)+1,""))</f>
        <v/>
      </c>
      <c r="C201" s="6" t="n"/>
      <c r="D201" s="6" t="n"/>
      <c r="E201" s="6" t="n"/>
      <c r="F201" s="6" t="n"/>
      <c r="G201" s="7" t="n"/>
      <c r="H201" s="6" t="n"/>
      <c r="I201" s="8">
        <f>IF(OR(F201="",G201=""),"",F201*G201)</f>
        <v/>
      </c>
      <c r="J201" s="6" t="n"/>
    </row>
    <row r="202">
      <c r="A202" s="5" t="n"/>
      <c r="B202" s="6">
        <f>IF(A202="","",IFERROR(INT((A202-DATE(2026,4,27))/7)+1,""))</f>
        <v/>
      </c>
      <c r="C202" s="6" t="n"/>
      <c r="D202" s="6" t="n"/>
      <c r="E202" s="6" t="n"/>
      <c r="F202" s="6" t="n"/>
      <c r="G202" s="7" t="n"/>
      <c r="H202" s="6" t="n"/>
      <c r="I202" s="8">
        <f>IF(OR(F202="",G202=""),"",F202*G202)</f>
        <v/>
      </c>
      <c r="J202" s="6" t="n"/>
    </row>
    <row r="203">
      <c r="A203" s="5" t="n"/>
      <c r="B203" s="6">
        <f>IF(A203="","",IFERROR(INT((A203-DATE(2026,4,27))/7)+1,""))</f>
        <v/>
      </c>
      <c r="C203" s="6" t="n"/>
      <c r="D203" s="6" t="n"/>
      <c r="E203" s="6" t="n"/>
      <c r="F203" s="6" t="n"/>
      <c r="G203" s="7" t="n"/>
      <c r="H203" s="6" t="n"/>
      <c r="I203" s="8">
        <f>IF(OR(F203="",G203=""),"",F203*G203)</f>
        <v/>
      </c>
      <c r="J203" s="6" t="n"/>
    </row>
    <row r="204">
      <c r="A204" s="5" t="n"/>
      <c r="B204" s="6">
        <f>IF(A204="","",IFERROR(INT((A204-DATE(2026,4,27))/7)+1,""))</f>
        <v/>
      </c>
      <c r="C204" s="6" t="n"/>
      <c r="D204" s="6" t="n"/>
      <c r="E204" s="6" t="n"/>
      <c r="F204" s="6" t="n"/>
      <c r="G204" s="7" t="n"/>
      <c r="H204" s="6" t="n"/>
      <c r="I204" s="8">
        <f>IF(OR(F204="",G204=""),"",F204*G204)</f>
        <v/>
      </c>
      <c r="J204" s="6" t="n"/>
    </row>
    <row r="205">
      <c r="A205" s="5" t="n"/>
      <c r="B205" s="6">
        <f>IF(A205="","",IFERROR(INT((A205-DATE(2026,4,27))/7)+1,""))</f>
        <v/>
      </c>
      <c r="C205" s="6" t="n"/>
      <c r="D205" s="6" t="n"/>
      <c r="E205" s="6" t="n"/>
      <c r="F205" s="6" t="n"/>
      <c r="G205" s="7" t="n"/>
      <c r="H205" s="6" t="n"/>
      <c r="I205" s="8">
        <f>IF(OR(F205="",G205=""),"",F205*G205)</f>
        <v/>
      </c>
      <c r="J205" s="6" t="n"/>
    </row>
    <row r="206">
      <c r="A206" s="5" t="n"/>
      <c r="B206" s="6">
        <f>IF(A206="","",IFERROR(INT((A206-DATE(2026,4,27))/7)+1,""))</f>
        <v/>
      </c>
      <c r="C206" s="6" t="n"/>
      <c r="D206" s="6" t="n"/>
      <c r="E206" s="6" t="n"/>
      <c r="F206" s="6" t="n"/>
      <c r="G206" s="7" t="n"/>
      <c r="H206" s="6" t="n"/>
      <c r="I206" s="8">
        <f>IF(OR(F206="",G206=""),"",F206*G206)</f>
        <v/>
      </c>
      <c r="J206" s="6" t="n"/>
    </row>
    <row r="207">
      <c r="A207" s="5" t="n"/>
      <c r="B207" s="6">
        <f>IF(A207="","",IFERROR(INT((A207-DATE(2026,4,27))/7)+1,""))</f>
        <v/>
      </c>
      <c r="C207" s="6" t="n"/>
      <c r="D207" s="6" t="n"/>
      <c r="E207" s="6" t="n"/>
      <c r="F207" s="6" t="n"/>
      <c r="G207" s="7" t="n"/>
      <c r="H207" s="6" t="n"/>
      <c r="I207" s="8">
        <f>IF(OR(F207="",G207=""),"",F207*G207)</f>
        <v/>
      </c>
      <c r="J207" s="6" t="n"/>
    </row>
    <row r="208">
      <c r="A208" s="5" t="n"/>
      <c r="B208" s="6">
        <f>IF(A208="","",IFERROR(INT((A208-DATE(2026,4,27))/7)+1,""))</f>
        <v/>
      </c>
      <c r="C208" s="6" t="n"/>
      <c r="D208" s="6" t="n"/>
      <c r="E208" s="6" t="n"/>
      <c r="F208" s="6" t="n"/>
      <c r="G208" s="7" t="n"/>
      <c r="H208" s="6" t="n"/>
      <c r="I208" s="8">
        <f>IF(OR(F208="",G208=""),"",F208*G208)</f>
        <v/>
      </c>
      <c r="J208" s="6" t="n"/>
    </row>
    <row r="209">
      <c r="A209" s="5" t="n"/>
      <c r="B209" s="6">
        <f>IF(A209="","",IFERROR(INT((A209-DATE(2026,4,27))/7)+1,""))</f>
        <v/>
      </c>
      <c r="C209" s="6" t="n"/>
      <c r="D209" s="6" t="n"/>
      <c r="E209" s="6" t="n"/>
      <c r="F209" s="6" t="n"/>
      <c r="G209" s="7" t="n"/>
      <c r="H209" s="6" t="n"/>
      <c r="I209" s="8">
        <f>IF(OR(F209="",G209=""),"",F209*G209)</f>
        <v/>
      </c>
      <c r="J209" s="6" t="n"/>
    </row>
    <row r="210">
      <c r="A210" s="5" t="n"/>
      <c r="B210" s="6">
        <f>IF(A210="","",IFERROR(INT((A210-DATE(2026,4,27))/7)+1,""))</f>
        <v/>
      </c>
      <c r="C210" s="6" t="n"/>
      <c r="D210" s="6" t="n"/>
      <c r="E210" s="6" t="n"/>
      <c r="F210" s="6" t="n"/>
      <c r="G210" s="7" t="n"/>
      <c r="H210" s="6" t="n"/>
      <c r="I210" s="8">
        <f>IF(OR(F210="",G210=""),"",F210*G210)</f>
        <v/>
      </c>
      <c r="J210" s="6" t="n"/>
    </row>
    <row r="211">
      <c r="A211" s="5" t="n"/>
      <c r="B211" s="6">
        <f>IF(A211="","",IFERROR(INT((A211-DATE(2026,4,27))/7)+1,""))</f>
        <v/>
      </c>
      <c r="C211" s="6" t="n"/>
      <c r="D211" s="6" t="n"/>
      <c r="E211" s="6" t="n"/>
      <c r="F211" s="6" t="n"/>
      <c r="G211" s="7" t="n"/>
      <c r="H211" s="6" t="n"/>
      <c r="I211" s="8">
        <f>IF(OR(F211="",G211=""),"",F211*G211)</f>
        <v/>
      </c>
      <c r="J211" s="6" t="n"/>
    </row>
    <row r="212">
      <c r="A212" s="5" t="n"/>
      <c r="B212" s="6">
        <f>IF(A212="","",IFERROR(INT((A212-DATE(2026,4,27))/7)+1,""))</f>
        <v/>
      </c>
      <c r="C212" s="6" t="n"/>
      <c r="D212" s="6" t="n"/>
      <c r="E212" s="6" t="n"/>
      <c r="F212" s="6" t="n"/>
      <c r="G212" s="7" t="n"/>
      <c r="H212" s="6" t="n"/>
      <c r="I212" s="8">
        <f>IF(OR(F212="",G212=""),"",F212*G212)</f>
        <v/>
      </c>
      <c r="J212" s="6" t="n"/>
    </row>
    <row r="213">
      <c r="A213" s="5" t="n"/>
      <c r="B213" s="6">
        <f>IF(A213="","",IFERROR(INT((A213-DATE(2026,4,27))/7)+1,""))</f>
        <v/>
      </c>
      <c r="C213" s="6" t="n"/>
      <c r="D213" s="6" t="n"/>
      <c r="E213" s="6" t="n"/>
      <c r="F213" s="6" t="n"/>
      <c r="G213" s="7" t="n"/>
      <c r="H213" s="6" t="n"/>
      <c r="I213" s="8">
        <f>IF(OR(F213="",G213=""),"",F213*G213)</f>
        <v/>
      </c>
      <c r="J213" s="6" t="n"/>
    </row>
    <row r="214">
      <c r="A214" s="5" t="n"/>
      <c r="B214" s="6">
        <f>IF(A214="","",IFERROR(INT((A214-DATE(2026,4,27))/7)+1,""))</f>
        <v/>
      </c>
      <c r="C214" s="6" t="n"/>
      <c r="D214" s="6" t="n"/>
      <c r="E214" s="6" t="n"/>
      <c r="F214" s="6" t="n"/>
      <c r="G214" s="7" t="n"/>
      <c r="H214" s="6" t="n"/>
      <c r="I214" s="8">
        <f>IF(OR(F214="",G214=""),"",F214*G214)</f>
        <v/>
      </c>
      <c r="J214" s="6" t="n"/>
    </row>
    <row r="215">
      <c r="A215" s="5" t="n"/>
      <c r="B215" s="6">
        <f>IF(A215="","",IFERROR(INT((A215-DATE(2026,4,27))/7)+1,""))</f>
        <v/>
      </c>
      <c r="C215" s="6" t="n"/>
      <c r="D215" s="6" t="n"/>
      <c r="E215" s="6" t="n"/>
      <c r="F215" s="6" t="n"/>
      <c r="G215" s="7" t="n"/>
      <c r="H215" s="6" t="n"/>
      <c r="I215" s="8">
        <f>IF(OR(F215="",G215=""),"",F215*G215)</f>
        <v/>
      </c>
      <c r="J215" s="6" t="n"/>
    </row>
    <row r="216">
      <c r="A216" s="5" t="n"/>
      <c r="B216" s="6">
        <f>IF(A216="","",IFERROR(INT((A216-DATE(2026,4,27))/7)+1,""))</f>
        <v/>
      </c>
      <c r="C216" s="6" t="n"/>
      <c r="D216" s="6" t="n"/>
      <c r="E216" s="6" t="n"/>
      <c r="F216" s="6" t="n"/>
      <c r="G216" s="7" t="n"/>
      <c r="H216" s="6" t="n"/>
      <c r="I216" s="8">
        <f>IF(OR(F216="",G216=""),"",F216*G216)</f>
        <v/>
      </c>
      <c r="J216" s="6" t="n"/>
    </row>
    <row r="217">
      <c r="A217" s="5" t="n"/>
      <c r="B217" s="6">
        <f>IF(A217="","",IFERROR(INT((A217-DATE(2026,4,27))/7)+1,""))</f>
        <v/>
      </c>
      <c r="C217" s="6" t="n"/>
      <c r="D217" s="6" t="n"/>
      <c r="E217" s="6" t="n"/>
      <c r="F217" s="6" t="n"/>
      <c r="G217" s="7" t="n"/>
      <c r="H217" s="6" t="n"/>
      <c r="I217" s="8">
        <f>IF(OR(F217="",G217=""),"",F217*G217)</f>
        <v/>
      </c>
      <c r="J217" s="6" t="n"/>
    </row>
    <row r="218">
      <c r="A218" s="5" t="n"/>
      <c r="B218" s="6">
        <f>IF(A218="","",IFERROR(INT((A218-DATE(2026,4,27))/7)+1,""))</f>
        <v/>
      </c>
      <c r="C218" s="6" t="n"/>
      <c r="D218" s="6" t="n"/>
      <c r="E218" s="6" t="n"/>
      <c r="F218" s="6" t="n"/>
      <c r="G218" s="7" t="n"/>
      <c r="H218" s="6" t="n"/>
      <c r="I218" s="8">
        <f>IF(OR(F218="",G218=""),"",F218*G218)</f>
        <v/>
      </c>
      <c r="J218" s="6" t="n"/>
    </row>
    <row r="219">
      <c r="A219" s="5" t="n"/>
      <c r="B219" s="6">
        <f>IF(A219="","",IFERROR(INT((A219-DATE(2026,4,27))/7)+1,""))</f>
        <v/>
      </c>
      <c r="C219" s="6" t="n"/>
      <c r="D219" s="6" t="n"/>
      <c r="E219" s="6" t="n"/>
      <c r="F219" s="6" t="n"/>
      <c r="G219" s="7" t="n"/>
      <c r="H219" s="6" t="n"/>
      <c r="I219" s="8">
        <f>IF(OR(F219="",G219=""),"",F219*G219)</f>
        <v/>
      </c>
      <c r="J219" s="6" t="n"/>
    </row>
    <row r="220">
      <c r="A220" s="5" t="n"/>
      <c r="B220" s="6">
        <f>IF(A220="","",IFERROR(INT((A220-DATE(2026,4,27))/7)+1,""))</f>
        <v/>
      </c>
      <c r="C220" s="6" t="n"/>
      <c r="D220" s="6" t="n"/>
      <c r="E220" s="6" t="n"/>
      <c r="F220" s="6" t="n"/>
      <c r="G220" s="7" t="n"/>
      <c r="H220" s="6" t="n"/>
      <c r="I220" s="8">
        <f>IF(OR(F220="",G220=""),"",F220*G220)</f>
        <v/>
      </c>
      <c r="J220" s="6" t="n"/>
    </row>
    <row r="221">
      <c r="A221" s="5" t="n"/>
      <c r="B221" s="6">
        <f>IF(A221="","",IFERROR(INT((A221-DATE(2026,4,27))/7)+1,""))</f>
        <v/>
      </c>
      <c r="C221" s="6" t="n"/>
      <c r="D221" s="6" t="n"/>
      <c r="E221" s="6" t="n"/>
      <c r="F221" s="6" t="n"/>
      <c r="G221" s="7" t="n"/>
      <c r="H221" s="6" t="n"/>
      <c r="I221" s="8">
        <f>IF(OR(F221="",G221=""),"",F221*G221)</f>
        <v/>
      </c>
      <c r="J221" s="6" t="n"/>
    </row>
    <row r="222">
      <c r="A222" s="5" t="n"/>
      <c r="B222" s="6">
        <f>IF(A222="","",IFERROR(INT((A222-DATE(2026,4,27))/7)+1,""))</f>
        <v/>
      </c>
      <c r="C222" s="6" t="n"/>
      <c r="D222" s="6" t="n"/>
      <c r="E222" s="6" t="n"/>
      <c r="F222" s="6" t="n"/>
      <c r="G222" s="7" t="n"/>
      <c r="H222" s="6" t="n"/>
      <c r="I222" s="8">
        <f>IF(OR(F222="",G222=""),"",F222*G222)</f>
        <v/>
      </c>
      <c r="J222" s="6" t="n"/>
    </row>
    <row r="223">
      <c r="A223" s="5" t="n"/>
      <c r="B223" s="6">
        <f>IF(A223="","",IFERROR(INT((A223-DATE(2026,4,27))/7)+1,""))</f>
        <v/>
      </c>
      <c r="C223" s="6" t="n"/>
      <c r="D223" s="6" t="n"/>
      <c r="E223" s="6" t="n"/>
      <c r="F223" s="6" t="n"/>
      <c r="G223" s="7" t="n"/>
      <c r="H223" s="6" t="n"/>
      <c r="I223" s="8">
        <f>IF(OR(F223="",G223=""),"",F223*G223)</f>
        <v/>
      </c>
      <c r="J223" s="6" t="n"/>
    </row>
    <row r="224">
      <c r="A224" s="5" t="n"/>
      <c r="B224" s="6">
        <f>IF(A224="","",IFERROR(INT((A224-DATE(2026,4,27))/7)+1,""))</f>
        <v/>
      </c>
      <c r="C224" s="6" t="n"/>
      <c r="D224" s="6" t="n"/>
      <c r="E224" s="6" t="n"/>
      <c r="F224" s="6" t="n"/>
      <c r="G224" s="7" t="n"/>
      <c r="H224" s="6" t="n"/>
      <c r="I224" s="8">
        <f>IF(OR(F224="",G224=""),"",F224*G224)</f>
        <v/>
      </c>
      <c r="J224" s="6" t="n"/>
    </row>
    <row r="225">
      <c r="A225" s="5" t="n"/>
      <c r="B225" s="6">
        <f>IF(A225="","",IFERROR(INT((A225-DATE(2026,4,27))/7)+1,""))</f>
        <v/>
      </c>
      <c r="C225" s="6" t="n"/>
      <c r="D225" s="6" t="n"/>
      <c r="E225" s="6" t="n"/>
      <c r="F225" s="6" t="n"/>
      <c r="G225" s="7" t="n"/>
      <c r="H225" s="6" t="n"/>
      <c r="I225" s="8">
        <f>IF(OR(F225="",G225=""),"",F225*G225)</f>
        <v/>
      </c>
      <c r="J225" s="6" t="n"/>
    </row>
    <row r="226">
      <c r="A226" s="5" t="n"/>
      <c r="B226" s="6">
        <f>IF(A226="","",IFERROR(INT((A226-DATE(2026,4,27))/7)+1,""))</f>
        <v/>
      </c>
      <c r="C226" s="6" t="n"/>
      <c r="D226" s="6" t="n"/>
      <c r="E226" s="6" t="n"/>
      <c r="F226" s="6" t="n"/>
      <c r="G226" s="7" t="n"/>
      <c r="H226" s="6" t="n"/>
      <c r="I226" s="8">
        <f>IF(OR(F226="",G226=""),"",F226*G226)</f>
        <v/>
      </c>
      <c r="J226" s="6" t="n"/>
    </row>
    <row r="227">
      <c r="A227" s="5" t="n"/>
      <c r="B227" s="6">
        <f>IF(A227="","",IFERROR(INT((A227-DATE(2026,4,27))/7)+1,""))</f>
        <v/>
      </c>
      <c r="C227" s="6" t="n"/>
      <c r="D227" s="6" t="n"/>
      <c r="E227" s="6" t="n"/>
      <c r="F227" s="6" t="n"/>
      <c r="G227" s="7" t="n"/>
      <c r="H227" s="6" t="n"/>
      <c r="I227" s="8">
        <f>IF(OR(F227="",G227=""),"",F227*G227)</f>
        <v/>
      </c>
      <c r="J227" s="6" t="n"/>
    </row>
    <row r="228">
      <c r="A228" s="5" t="n"/>
      <c r="B228" s="6">
        <f>IF(A228="","",IFERROR(INT((A228-DATE(2026,4,27))/7)+1,""))</f>
        <v/>
      </c>
      <c r="C228" s="6" t="n"/>
      <c r="D228" s="6" t="n"/>
      <c r="E228" s="6" t="n"/>
      <c r="F228" s="6" t="n"/>
      <c r="G228" s="7" t="n"/>
      <c r="H228" s="6" t="n"/>
      <c r="I228" s="8">
        <f>IF(OR(F228="",G228=""),"",F228*G228)</f>
        <v/>
      </c>
      <c r="J228" s="6" t="n"/>
    </row>
    <row r="229">
      <c r="A229" s="5" t="n"/>
      <c r="B229" s="6">
        <f>IF(A229="","",IFERROR(INT((A229-DATE(2026,4,27))/7)+1,""))</f>
        <v/>
      </c>
      <c r="C229" s="6" t="n"/>
      <c r="D229" s="6" t="n"/>
      <c r="E229" s="6" t="n"/>
      <c r="F229" s="6" t="n"/>
      <c r="G229" s="7" t="n"/>
      <c r="H229" s="6" t="n"/>
      <c r="I229" s="8">
        <f>IF(OR(F229="",G229=""),"",F229*G229)</f>
        <v/>
      </c>
      <c r="J229" s="6" t="n"/>
    </row>
    <row r="230">
      <c r="A230" s="5" t="n"/>
      <c r="B230" s="6">
        <f>IF(A230="","",IFERROR(INT((A230-DATE(2026,4,27))/7)+1,""))</f>
        <v/>
      </c>
      <c r="C230" s="6" t="n"/>
      <c r="D230" s="6" t="n"/>
      <c r="E230" s="6" t="n"/>
      <c r="F230" s="6" t="n"/>
      <c r="G230" s="7" t="n"/>
      <c r="H230" s="6" t="n"/>
      <c r="I230" s="8">
        <f>IF(OR(F230="",G230=""),"",F230*G230)</f>
        <v/>
      </c>
      <c r="J230" s="6" t="n"/>
    </row>
    <row r="231">
      <c r="A231" s="5" t="n"/>
      <c r="B231" s="6">
        <f>IF(A231="","",IFERROR(INT((A231-DATE(2026,4,27))/7)+1,""))</f>
        <v/>
      </c>
      <c r="C231" s="6" t="n"/>
      <c r="D231" s="6" t="n"/>
      <c r="E231" s="6" t="n"/>
      <c r="F231" s="6" t="n"/>
      <c r="G231" s="7" t="n"/>
      <c r="H231" s="6" t="n"/>
      <c r="I231" s="8">
        <f>IF(OR(F231="",G231=""),"",F231*G231)</f>
        <v/>
      </c>
      <c r="J231" s="6" t="n"/>
    </row>
    <row r="232">
      <c r="A232" s="5" t="n"/>
      <c r="B232" s="6">
        <f>IF(A232="","",IFERROR(INT((A232-DATE(2026,4,27))/7)+1,""))</f>
        <v/>
      </c>
      <c r="C232" s="6" t="n"/>
      <c r="D232" s="6" t="n"/>
      <c r="E232" s="6" t="n"/>
      <c r="F232" s="6" t="n"/>
      <c r="G232" s="7" t="n"/>
      <c r="H232" s="6" t="n"/>
      <c r="I232" s="8">
        <f>IF(OR(F232="",G232=""),"",F232*G232)</f>
        <v/>
      </c>
      <c r="J232" s="6" t="n"/>
    </row>
    <row r="233">
      <c r="A233" s="5" t="n"/>
      <c r="B233" s="6">
        <f>IF(A233="","",IFERROR(INT((A233-DATE(2026,4,27))/7)+1,""))</f>
        <v/>
      </c>
      <c r="C233" s="6" t="n"/>
      <c r="D233" s="6" t="n"/>
      <c r="E233" s="6" t="n"/>
      <c r="F233" s="6" t="n"/>
      <c r="G233" s="7" t="n"/>
      <c r="H233" s="6" t="n"/>
      <c r="I233" s="8">
        <f>IF(OR(F233="",G233=""),"",F233*G233)</f>
        <v/>
      </c>
      <c r="J233" s="6" t="n"/>
    </row>
    <row r="234">
      <c r="A234" s="5" t="n"/>
      <c r="B234" s="6">
        <f>IF(A234="","",IFERROR(INT((A234-DATE(2026,4,27))/7)+1,""))</f>
        <v/>
      </c>
      <c r="C234" s="6" t="n"/>
      <c r="D234" s="6" t="n"/>
      <c r="E234" s="6" t="n"/>
      <c r="F234" s="6" t="n"/>
      <c r="G234" s="7" t="n"/>
      <c r="H234" s="6" t="n"/>
      <c r="I234" s="8">
        <f>IF(OR(F234="",G234=""),"",F234*G234)</f>
        <v/>
      </c>
      <c r="J234" s="6" t="n"/>
    </row>
    <row r="235">
      <c r="A235" s="5" t="n"/>
      <c r="B235" s="6">
        <f>IF(A235="","",IFERROR(INT((A235-DATE(2026,4,27))/7)+1,""))</f>
        <v/>
      </c>
      <c r="C235" s="6" t="n"/>
      <c r="D235" s="6" t="n"/>
      <c r="E235" s="6" t="n"/>
      <c r="F235" s="6" t="n"/>
      <c r="G235" s="7" t="n"/>
      <c r="H235" s="6" t="n"/>
      <c r="I235" s="8">
        <f>IF(OR(F235="",G235=""),"",F235*G235)</f>
        <v/>
      </c>
      <c r="J235" s="6" t="n"/>
    </row>
    <row r="236">
      <c r="A236" s="5" t="n"/>
      <c r="B236" s="6">
        <f>IF(A236="","",IFERROR(INT((A236-DATE(2026,4,27))/7)+1,""))</f>
        <v/>
      </c>
      <c r="C236" s="6" t="n"/>
      <c r="D236" s="6" t="n"/>
      <c r="E236" s="6" t="n"/>
      <c r="F236" s="6" t="n"/>
      <c r="G236" s="7" t="n"/>
      <c r="H236" s="6" t="n"/>
      <c r="I236" s="8">
        <f>IF(OR(F236="",G236=""),"",F236*G236)</f>
        <v/>
      </c>
      <c r="J236" s="6" t="n"/>
    </row>
    <row r="237">
      <c r="A237" s="5" t="n"/>
      <c r="B237" s="6">
        <f>IF(A237="","",IFERROR(INT((A237-DATE(2026,4,27))/7)+1,""))</f>
        <v/>
      </c>
      <c r="C237" s="6" t="n"/>
      <c r="D237" s="6" t="n"/>
      <c r="E237" s="6" t="n"/>
      <c r="F237" s="6" t="n"/>
      <c r="G237" s="7" t="n"/>
      <c r="H237" s="6" t="n"/>
      <c r="I237" s="8">
        <f>IF(OR(F237="",G237=""),"",F237*G237)</f>
        <v/>
      </c>
      <c r="J237" s="6" t="n"/>
    </row>
    <row r="238">
      <c r="A238" s="5" t="n"/>
      <c r="B238" s="6">
        <f>IF(A238="","",IFERROR(INT((A238-DATE(2026,4,27))/7)+1,""))</f>
        <v/>
      </c>
      <c r="C238" s="6" t="n"/>
      <c r="D238" s="6" t="n"/>
      <c r="E238" s="6" t="n"/>
      <c r="F238" s="6" t="n"/>
      <c r="G238" s="7" t="n"/>
      <c r="H238" s="6" t="n"/>
      <c r="I238" s="8">
        <f>IF(OR(F238="",G238=""),"",F238*G238)</f>
        <v/>
      </c>
      <c r="J238" s="6" t="n"/>
    </row>
    <row r="239">
      <c r="A239" s="5" t="n"/>
      <c r="B239" s="6">
        <f>IF(A239="","",IFERROR(INT((A239-DATE(2026,4,27))/7)+1,""))</f>
        <v/>
      </c>
      <c r="C239" s="6" t="n"/>
      <c r="D239" s="6" t="n"/>
      <c r="E239" s="6" t="n"/>
      <c r="F239" s="6" t="n"/>
      <c r="G239" s="7" t="n"/>
      <c r="H239" s="6" t="n"/>
      <c r="I239" s="8">
        <f>IF(OR(F239="",G239=""),"",F239*G239)</f>
        <v/>
      </c>
      <c r="J239" s="6" t="n"/>
    </row>
    <row r="240">
      <c r="A240" s="5" t="n"/>
      <c r="B240" s="6">
        <f>IF(A240="","",IFERROR(INT((A240-DATE(2026,4,27))/7)+1,""))</f>
        <v/>
      </c>
      <c r="C240" s="6" t="n"/>
      <c r="D240" s="6" t="n"/>
      <c r="E240" s="6" t="n"/>
      <c r="F240" s="6" t="n"/>
      <c r="G240" s="7" t="n"/>
      <c r="H240" s="6" t="n"/>
      <c r="I240" s="8">
        <f>IF(OR(F240="",G240=""),"",F240*G240)</f>
        <v/>
      </c>
      <c r="J240" s="6" t="n"/>
    </row>
    <row r="241">
      <c r="A241" s="5" t="n"/>
      <c r="B241" s="6">
        <f>IF(A241="","",IFERROR(INT((A241-DATE(2026,4,27))/7)+1,""))</f>
        <v/>
      </c>
      <c r="C241" s="6" t="n"/>
      <c r="D241" s="6" t="n"/>
      <c r="E241" s="6" t="n"/>
      <c r="F241" s="6" t="n"/>
      <c r="G241" s="7" t="n"/>
      <c r="H241" s="6" t="n"/>
      <c r="I241" s="8">
        <f>IF(OR(F241="",G241=""),"",F241*G241)</f>
        <v/>
      </c>
      <c r="J241" s="6" t="n"/>
    </row>
    <row r="242">
      <c r="A242" s="5" t="n"/>
      <c r="B242" s="6">
        <f>IF(A242="","",IFERROR(INT((A242-DATE(2026,4,27))/7)+1,""))</f>
        <v/>
      </c>
      <c r="C242" s="6" t="n"/>
      <c r="D242" s="6" t="n"/>
      <c r="E242" s="6" t="n"/>
      <c r="F242" s="6" t="n"/>
      <c r="G242" s="7" t="n"/>
      <c r="H242" s="6" t="n"/>
      <c r="I242" s="8">
        <f>IF(OR(F242="",G242=""),"",F242*G242)</f>
        <v/>
      </c>
      <c r="J242" s="6" t="n"/>
    </row>
    <row r="243">
      <c r="A243" s="5" t="n"/>
      <c r="B243" s="6">
        <f>IF(A243="","",IFERROR(INT((A243-DATE(2026,4,27))/7)+1,""))</f>
        <v/>
      </c>
      <c r="C243" s="6" t="n"/>
      <c r="D243" s="6" t="n"/>
      <c r="E243" s="6" t="n"/>
      <c r="F243" s="6" t="n"/>
      <c r="G243" s="7" t="n"/>
      <c r="H243" s="6" t="n"/>
      <c r="I243" s="8">
        <f>IF(OR(F243="",G243=""),"",F243*G243)</f>
        <v/>
      </c>
      <c r="J243" s="6" t="n"/>
    </row>
    <row r="244">
      <c r="A244" s="5" t="n"/>
      <c r="B244" s="6">
        <f>IF(A244="","",IFERROR(INT((A244-DATE(2026,4,27))/7)+1,""))</f>
        <v/>
      </c>
      <c r="C244" s="6" t="n"/>
      <c r="D244" s="6" t="n"/>
      <c r="E244" s="6" t="n"/>
      <c r="F244" s="6" t="n"/>
      <c r="G244" s="7" t="n"/>
      <c r="H244" s="6" t="n"/>
      <c r="I244" s="8">
        <f>IF(OR(F244="",G244=""),"",F244*G244)</f>
        <v/>
      </c>
      <c r="J244" s="6" t="n"/>
    </row>
    <row r="245">
      <c r="A245" s="5" t="n"/>
      <c r="B245" s="6">
        <f>IF(A245="","",IFERROR(INT((A245-DATE(2026,4,27))/7)+1,""))</f>
        <v/>
      </c>
      <c r="C245" s="6" t="n"/>
      <c r="D245" s="6" t="n"/>
      <c r="E245" s="6" t="n"/>
      <c r="F245" s="6" t="n"/>
      <c r="G245" s="7" t="n"/>
      <c r="H245" s="6" t="n"/>
      <c r="I245" s="8">
        <f>IF(OR(F245="",G245=""),"",F245*G245)</f>
        <v/>
      </c>
      <c r="J245" s="6" t="n"/>
    </row>
    <row r="246">
      <c r="A246" s="5" t="n"/>
      <c r="B246" s="6">
        <f>IF(A246="","",IFERROR(INT((A246-DATE(2026,4,27))/7)+1,""))</f>
        <v/>
      </c>
      <c r="C246" s="6" t="n"/>
      <c r="D246" s="6" t="n"/>
      <c r="E246" s="6" t="n"/>
      <c r="F246" s="6" t="n"/>
      <c r="G246" s="7" t="n"/>
      <c r="H246" s="6" t="n"/>
      <c r="I246" s="8">
        <f>IF(OR(F246="",G246=""),"",F246*G246)</f>
        <v/>
      </c>
      <c r="J246" s="6" t="n"/>
    </row>
    <row r="247">
      <c r="A247" s="5" t="n"/>
      <c r="B247" s="6">
        <f>IF(A247="","",IFERROR(INT((A247-DATE(2026,4,27))/7)+1,""))</f>
        <v/>
      </c>
      <c r="C247" s="6" t="n"/>
      <c r="D247" s="6" t="n"/>
      <c r="E247" s="6" t="n"/>
      <c r="F247" s="6" t="n"/>
      <c r="G247" s="7" t="n"/>
      <c r="H247" s="6" t="n"/>
      <c r="I247" s="8">
        <f>IF(OR(F247="",G247=""),"",F247*G247)</f>
        <v/>
      </c>
      <c r="J247" s="6" t="n"/>
    </row>
    <row r="248">
      <c r="A248" s="5" t="n"/>
      <c r="B248" s="6">
        <f>IF(A248="","",IFERROR(INT((A248-DATE(2026,4,27))/7)+1,""))</f>
        <v/>
      </c>
      <c r="C248" s="6" t="n"/>
      <c r="D248" s="6" t="n"/>
      <c r="E248" s="6" t="n"/>
      <c r="F248" s="6" t="n"/>
      <c r="G248" s="7" t="n"/>
      <c r="H248" s="6" t="n"/>
      <c r="I248" s="8">
        <f>IF(OR(F248="",G248=""),"",F248*G248)</f>
        <v/>
      </c>
      <c r="J248" s="6" t="n"/>
    </row>
    <row r="249">
      <c r="A249" s="5" t="n"/>
      <c r="B249" s="6">
        <f>IF(A249="","",IFERROR(INT((A249-DATE(2026,4,27))/7)+1,""))</f>
        <v/>
      </c>
      <c r="C249" s="6" t="n"/>
      <c r="D249" s="6" t="n"/>
      <c r="E249" s="6" t="n"/>
      <c r="F249" s="6" t="n"/>
      <c r="G249" s="7" t="n"/>
      <c r="H249" s="6" t="n"/>
      <c r="I249" s="8">
        <f>IF(OR(F249="",G249=""),"",F249*G249)</f>
        <v/>
      </c>
      <c r="J249" s="6" t="n"/>
    </row>
    <row r="250">
      <c r="A250" s="5" t="n"/>
      <c r="B250" s="6">
        <f>IF(A250="","",IFERROR(INT((A250-DATE(2026,4,27))/7)+1,""))</f>
        <v/>
      </c>
      <c r="C250" s="6" t="n"/>
      <c r="D250" s="6" t="n"/>
      <c r="E250" s="6" t="n"/>
      <c r="F250" s="6" t="n"/>
      <c r="G250" s="7" t="n"/>
      <c r="H250" s="6" t="n"/>
      <c r="I250" s="8">
        <f>IF(OR(F250="",G250=""),"",F250*G250)</f>
        <v/>
      </c>
      <c r="J250" s="6" t="n"/>
    </row>
    <row r="251">
      <c r="A251" s="5" t="n"/>
      <c r="B251" s="6">
        <f>IF(A251="","",IFERROR(INT((A251-DATE(2026,4,27))/7)+1,""))</f>
        <v/>
      </c>
      <c r="C251" s="6" t="n"/>
      <c r="D251" s="6" t="n"/>
      <c r="E251" s="6" t="n"/>
      <c r="F251" s="6" t="n"/>
      <c r="G251" s="7" t="n"/>
      <c r="H251" s="6" t="n"/>
      <c r="I251" s="8">
        <f>IF(OR(F251="",G251=""),"",F251*G251)</f>
        <v/>
      </c>
      <c r="J251" s="6" t="n"/>
    </row>
    <row r="252">
      <c r="A252" s="5" t="n"/>
      <c r="B252" s="6">
        <f>IF(A252="","",IFERROR(INT((A252-DATE(2026,4,27))/7)+1,""))</f>
        <v/>
      </c>
      <c r="C252" s="6" t="n"/>
      <c r="D252" s="6" t="n"/>
      <c r="E252" s="6" t="n"/>
      <c r="F252" s="6" t="n"/>
      <c r="G252" s="7" t="n"/>
      <c r="H252" s="6" t="n"/>
      <c r="I252" s="8">
        <f>IF(OR(F252="",G252=""),"",F252*G252)</f>
        <v/>
      </c>
      <c r="J252" s="6" t="n"/>
    </row>
    <row r="253">
      <c r="A253" s="5" t="n"/>
      <c r="B253" s="6">
        <f>IF(A253="","",IFERROR(INT((A253-DATE(2026,4,27))/7)+1,""))</f>
        <v/>
      </c>
      <c r="C253" s="6" t="n"/>
      <c r="D253" s="6" t="n"/>
      <c r="E253" s="6" t="n"/>
      <c r="F253" s="6" t="n"/>
      <c r="G253" s="7" t="n"/>
      <c r="H253" s="6" t="n"/>
      <c r="I253" s="8">
        <f>IF(OR(F253="",G253=""),"",F253*G253)</f>
        <v/>
      </c>
      <c r="J253" s="6" t="n"/>
    </row>
    <row r="254">
      <c r="A254" s="5" t="n"/>
      <c r="B254" s="6">
        <f>IF(A254="","",IFERROR(INT((A254-DATE(2026,4,27))/7)+1,""))</f>
        <v/>
      </c>
      <c r="C254" s="6" t="n"/>
      <c r="D254" s="6" t="n"/>
      <c r="E254" s="6" t="n"/>
      <c r="F254" s="6" t="n"/>
      <c r="G254" s="7" t="n"/>
      <c r="H254" s="6" t="n"/>
      <c r="I254" s="8">
        <f>IF(OR(F254="",G254=""),"",F254*G254)</f>
        <v/>
      </c>
      <c r="J254" s="6" t="n"/>
    </row>
    <row r="255">
      <c r="A255" s="5" t="n"/>
      <c r="B255" s="6">
        <f>IF(A255="","",IFERROR(INT((A255-DATE(2026,4,27))/7)+1,""))</f>
        <v/>
      </c>
      <c r="C255" s="6" t="n"/>
      <c r="D255" s="6" t="n"/>
      <c r="E255" s="6" t="n"/>
      <c r="F255" s="6" t="n"/>
      <c r="G255" s="7" t="n"/>
      <c r="H255" s="6" t="n"/>
      <c r="I255" s="8">
        <f>IF(OR(F255="",G255=""),"",F255*G255)</f>
        <v/>
      </c>
      <c r="J255" s="6" t="n"/>
    </row>
    <row r="256">
      <c r="A256" s="5" t="n"/>
      <c r="B256" s="6">
        <f>IF(A256="","",IFERROR(INT((A256-DATE(2026,4,27))/7)+1,""))</f>
        <v/>
      </c>
      <c r="C256" s="6" t="n"/>
      <c r="D256" s="6" t="n"/>
      <c r="E256" s="6" t="n"/>
      <c r="F256" s="6" t="n"/>
      <c r="G256" s="7" t="n"/>
      <c r="H256" s="6" t="n"/>
      <c r="I256" s="8">
        <f>IF(OR(F256="",G256=""),"",F256*G256)</f>
        <v/>
      </c>
      <c r="J256" s="6" t="n"/>
    </row>
    <row r="257">
      <c r="A257" s="5" t="n"/>
      <c r="B257" s="6">
        <f>IF(A257="","",IFERROR(INT((A257-DATE(2026,4,27))/7)+1,""))</f>
        <v/>
      </c>
      <c r="C257" s="6" t="n"/>
      <c r="D257" s="6" t="n"/>
      <c r="E257" s="6" t="n"/>
      <c r="F257" s="6" t="n"/>
      <c r="G257" s="7" t="n"/>
      <c r="H257" s="6" t="n"/>
      <c r="I257" s="8">
        <f>IF(OR(F257="",G257=""),"",F257*G257)</f>
        <v/>
      </c>
      <c r="J257" s="6" t="n"/>
    </row>
    <row r="258">
      <c r="A258" s="5" t="n"/>
      <c r="B258" s="6">
        <f>IF(A258="","",IFERROR(INT((A258-DATE(2026,4,27))/7)+1,""))</f>
        <v/>
      </c>
      <c r="C258" s="6" t="n"/>
      <c r="D258" s="6" t="n"/>
      <c r="E258" s="6" t="n"/>
      <c r="F258" s="6" t="n"/>
      <c r="G258" s="7" t="n"/>
      <c r="H258" s="6" t="n"/>
      <c r="I258" s="8">
        <f>IF(OR(F258="",G258=""),"",F258*G258)</f>
        <v/>
      </c>
      <c r="J258" s="6" t="n"/>
    </row>
    <row r="259">
      <c r="A259" s="5" t="n"/>
      <c r="B259" s="6">
        <f>IF(A259="","",IFERROR(INT((A259-DATE(2026,4,27))/7)+1,""))</f>
        <v/>
      </c>
      <c r="C259" s="6" t="n"/>
      <c r="D259" s="6" t="n"/>
      <c r="E259" s="6" t="n"/>
      <c r="F259" s="6" t="n"/>
      <c r="G259" s="7" t="n"/>
      <c r="H259" s="6" t="n"/>
      <c r="I259" s="8">
        <f>IF(OR(F259="",G259=""),"",F259*G259)</f>
        <v/>
      </c>
      <c r="J259" s="6" t="n"/>
    </row>
    <row r="260">
      <c r="A260" s="5" t="n"/>
      <c r="B260" s="6">
        <f>IF(A260="","",IFERROR(INT((A260-DATE(2026,4,27))/7)+1,""))</f>
        <v/>
      </c>
      <c r="C260" s="6" t="n"/>
      <c r="D260" s="6" t="n"/>
      <c r="E260" s="6" t="n"/>
      <c r="F260" s="6" t="n"/>
      <c r="G260" s="7" t="n"/>
      <c r="H260" s="6" t="n"/>
      <c r="I260" s="8">
        <f>IF(OR(F260="",G260=""),"",F260*G260)</f>
        <v/>
      </c>
      <c r="J260" s="6" t="n"/>
    </row>
    <row r="261">
      <c r="A261" s="5" t="n"/>
      <c r="B261" s="6">
        <f>IF(A261="","",IFERROR(INT((A261-DATE(2026,4,27))/7)+1,""))</f>
        <v/>
      </c>
      <c r="C261" s="6" t="n"/>
      <c r="D261" s="6" t="n"/>
      <c r="E261" s="6" t="n"/>
      <c r="F261" s="6" t="n"/>
      <c r="G261" s="7" t="n"/>
      <c r="H261" s="6" t="n"/>
      <c r="I261" s="8">
        <f>IF(OR(F261="",G261=""),"",F261*G261)</f>
        <v/>
      </c>
      <c r="J261" s="6" t="n"/>
    </row>
    <row r="262">
      <c r="A262" s="5" t="n"/>
      <c r="B262" s="6">
        <f>IF(A262="","",IFERROR(INT((A262-DATE(2026,4,27))/7)+1,""))</f>
        <v/>
      </c>
      <c r="C262" s="6" t="n"/>
      <c r="D262" s="6" t="n"/>
      <c r="E262" s="6" t="n"/>
      <c r="F262" s="6" t="n"/>
      <c r="G262" s="7" t="n"/>
      <c r="H262" s="6" t="n"/>
      <c r="I262" s="8">
        <f>IF(OR(F262="",G262=""),"",F262*G262)</f>
        <v/>
      </c>
      <c r="J262" s="6" t="n"/>
    </row>
    <row r="263">
      <c r="A263" s="5" t="n"/>
      <c r="B263" s="6">
        <f>IF(A263="","",IFERROR(INT((A263-DATE(2026,4,27))/7)+1,""))</f>
        <v/>
      </c>
      <c r="C263" s="6" t="n"/>
      <c r="D263" s="6" t="n"/>
      <c r="E263" s="6" t="n"/>
      <c r="F263" s="6" t="n"/>
      <c r="G263" s="7" t="n"/>
      <c r="H263" s="6" t="n"/>
      <c r="I263" s="8">
        <f>IF(OR(F263="",G263=""),"",F263*G263)</f>
        <v/>
      </c>
      <c r="J263" s="6" t="n"/>
    </row>
    <row r="264">
      <c r="A264" s="5" t="n"/>
      <c r="B264" s="6">
        <f>IF(A264="","",IFERROR(INT((A264-DATE(2026,4,27))/7)+1,""))</f>
        <v/>
      </c>
      <c r="C264" s="6" t="n"/>
      <c r="D264" s="6" t="n"/>
      <c r="E264" s="6" t="n"/>
      <c r="F264" s="6" t="n"/>
      <c r="G264" s="7" t="n"/>
      <c r="H264" s="6" t="n"/>
      <c r="I264" s="8">
        <f>IF(OR(F264="",G264=""),"",F264*G264)</f>
        <v/>
      </c>
      <c r="J264" s="6" t="n"/>
    </row>
    <row r="265">
      <c r="A265" s="5" t="n"/>
      <c r="B265" s="6">
        <f>IF(A265="","",IFERROR(INT((A265-DATE(2026,4,27))/7)+1,""))</f>
        <v/>
      </c>
      <c r="C265" s="6" t="n"/>
      <c r="D265" s="6" t="n"/>
      <c r="E265" s="6" t="n"/>
      <c r="F265" s="6" t="n"/>
      <c r="G265" s="7" t="n"/>
      <c r="H265" s="6" t="n"/>
      <c r="I265" s="8">
        <f>IF(OR(F265="",G265=""),"",F265*G265)</f>
        <v/>
      </c>
      <c r="J265" s="6" t="n"/>
    </row>
    <row r="266">
      <c r="A266" s="5" t="n"/>
      <c r="B266" s="6">
        <f>IF(A266="","",IFERROR(INT((A266-DATE(2026,4,27))/7)+1,""))</f>
        <v/>
      </c>
      <c r="C266" s="6" t="n"/>
      <c r="D266" s="6" t="n"/>
      <c r="E266" s="6" t="n"/>
      <c r="F266" s="6" t="n"/>
      <c r="G266" s="7" t="n"/>
      <c r="H266" s="6" t="n"/>
      <c r="I266" s="8">
        <f>IF(OR(F266="",G266=""),"",F266*G266)</f>
        <v/>
      </c>
      <c r="J266" s="6" t="n"/>
    </row>
    <row r="267">
      <c r="A267" s="5" t="n"/>
      <c r="B267" s="6">
        <f>IF(A267="","",IFERROR(INT((A267-DATE(2026,4,27))/7)+1,""))</f>
        <v/>
      </c>
      <c r="C267" s="6" t="n"/>
      <c r="D267" s="6" t="n"/>
      <c r="E267" s="6" t="n"/>
      <c r="F267" s="6" t="n"/>
      <c r="G267" s="7" t="n"/>
      <c r="H267" s="6" t="n"/>
      <c r="I267" s="8">
        <f>IF(OR(F267="",G267=""),"",F267*G267)</f>
        <v/>
      </c>
      <c r="J267" s="6" t="n"/>
    </row>
    <row r="268">
      <c r="A268" s="5" t="n"/>
      <c r="B268" s="6">
        <f>IF(A268="","",IFERROR(INT((A268-DATE(2026,4,27))/7)+1,""))</f>
        <v/>
      </c>
      <c r="C268" s="6" t="n"/>
      <c r="D268" s="6" t="n"/>
      <c r="E268" s="6" t="n"/>
      <c r="F268" s="6" t="n"/>
      <c r="G268" s="7" t="n"/>
      <c r="H268" s="6" t="n"/>
      <c r="I268" s="8">
        <f>IF(OR(F268="",G268=""),"",F268*G268)</f>
        <v/>
      </c>
      <c r="J268" s="6" t="n"/>
    </row>
    <row r="269">
      <c r="A269" s="5" t="n"/>
      <c r="B269" s="6">
        <f>IF(A269="","",IFERROR(INT((A269-DATE(2026,4,27))/7)+1,""))</f>
        <v/>
      </c>
      <c r="C269" s="6" t="n"/>
      <c r="D269" s="6" t="n"/>
      <c r="E269" s="6" t="n"/>
      <c r="F269" s="6" t="n"/>
      <c r="G269" s="7" t="n"/>
      <c r="H269" s="6" t="n"/>
      <c r="I269" s="8">
        <f>IF(OR(F269="",G269=""),"",F269*G269)</f>
        <v/>
      </c>
      <c r="J269" s="6" t="n"/>
    </row>
    <row r="270">
      <c r="A270" s="5" t="n"/>
      <c r="B270" s="6">
        <f>IF(A270="","",IFERROR(INT((A270-DATE(2026,4,27))/7)+1,""))</f>
        <v/>
      </c>
      <c r="C270" s="6" t="n"/>
      <c r="D270" s="6" t="n"/>
      <c r="E270" s="6" t="n"/>
      <c r="F270" s="6" t="n"/>
      <c r="G270" s="7" t="n"/>
      <c r="H270" s="6" t="n"/>
      <c r="I270" s="8">
        <f>IF(OR(F270="",G270=""),"",F270*G270)</f>
        <v/>
      </c>
      <c r="J270" s="6" t="n"/>
    </row>
    <row r="271">
      <c r="A271" s="5" t="n"/>
      <c r="B271" s="6">
        <f>IF(A271="","",IFERROR(INT((A271-DATE(2026,4,27))/7)+1,""))</f>
        <v/>
      </c>
      <c r="C271" s="6" t="n"/>
      <c r="D271" s="6" t="n"/>
      <c r="E271" s="6" t="n"/>
      <c r="F271" s="6" t="n"/>
      <c r="G271" s="7" t="n"/>
      <c r="H271" s="6" t="n"/>
      <c r="I271" s="8">
        <f>IF(OR(F271="",G271=""),"",F271*G271)</f>
        <v/>
      </c>
      <c r="J271" s="6" t="n"/>
    </row>
    <row r="272">
      <c r="A272" s="5" t="n"/>
      <c r="B272" s="6">
        <f>IF(A272="","",IFERROR(INT((A272-DATE(2026,4,27))/7)+1,""))</f>
        <v/>
      </c>
      <c r="C272" s="6" t="n"/>
      <c r="D272" s="6" t="n"/>
      <c r="E272" s="6" t="n"/>
      <c r="F272" s="6" t="n"/>
      <c r="G272" s="7" t="n"/>
      <c r="H272" s="6" t="n"/>
      <c r="I272" s="8">
        <f>IF(OR(F272="",G272=""),"",F272*G272)</f>
        <v/>
      </c>
      <c r="J272" s="6" t="n"/>
    </row>
    <row r="273">
      <c r="A273" s="5" t="n"/>
      <c r="B273" s="6">
        <f>IF(A273="","",IFERROR(INT((A273-DATE(2026,4,27))/7)+1,""))</f>
        <v/>
      </c>
      <c r="C273" s="6" t="n"/>
      <c r="D273" s="6" t="n"/>
      <c r="E273" s="6" t="n"/>
      <c r="F273" s="6" t="n"/>
      <c r="G273" s="7" t="n"/>
      <c r="H273" s="6" t="n"/>
      <c r="I273" s="8">
        <f>IF(OR(F273="",G273=""),"",F273*G273)</f>
        <v/>
      </c>
      <c r="J273" s="6" t="n"/>
    </row>
    <row r="274">
      <c r="A274" s="5" t="n"/>
      <c r="B274" s="6">
        <f>IF(A274="","",IFERROR(INT((A274-DATE(2026,4,27))/7)+1,""))</f>
        <v/>
      </c>
      <c r="C274" s="6" t="n"/>
      <c r="D274" s="6" t="n"/>
      <c r="E274" s="6" t="n"/>
      <c r="F274" s="6" t="n"/>
      <c r="G274" s="7" t="n"/>
      <c r="H274" s="6" t="n"/>
      <c r="I274" s="8">
        <f>IF(OR(F274="",G274=""),"",F274*G274)</f>
        <v/>
      </c>
      <c r="J274" s="6" t="n"/>
    </row>
    <row r="275">
      <c r="A275" s="5" t="n"/>
      <c r="B275" s="6">
        <f>IF(A275="","",IFERROR(INT((A275-DATE(2026,4,27))/7)+1,""))</f>
        <v/>
      </c>
      <c r="C275" s="6" t="n"/>
      <c r="D275" s="6" t="n"/>
      <c r="E275" s="6" t="n"/>
      <c r="F275" s="6" t="n"/>
      <c r="G275" s="7" t="n"/>
      <c r="H275" s="6" t="n"/>
      <c r="I275" s="8">
        <f>IF(OR(F275="",G275=""),"",F275*G275)</f>
        <v/>
      </c>
      <c r="J275" s="6" t="n"/>
    </row>
    <row r="276">
      <c r="A276" s="5" t="n"/>
      <c r="B276" s="6">
        <f>IF(A276="","",IFERROR(INT((A276-DATE(2026,4,27))/7)+1,""))</f>
        <v/>
      </c>
      <c r="C276" s="6" t="n"/>
      <c r="D276" s="6" t="n"/>
      <c r="E276" s="6" t="n"/>
      <c r="F276" s="6" t="n"/>
      <c r="G276" s="7" t="n"/>
      <c r="H276" s="6" t="n"/>
      <c r="I276" s="8">
        <f>IF(OR(F276="",G276=""),"",F276*G276)</f>
        <v/>
      </c>
      <c r="J276" s="6" t="n"/>
    </row>
    <row r="277">
      <c r="A277" s="5" t="n"/>
      <c r="B277" s="6">
        <f>IF(A277="","",IFERROR(INT((A277-DATE(2026,4,27))/7)+1,""))</f>
        <v/>
      </c>
      <c r="C277" s="6" t="n"/>
      <c r="D277" s="6" t="n"/>
      <c r="E277" s="6" t="n"/>
      <c r="F277" s="6" t="n"/>
      <c r="G277" s="7" t="n"/>
      <c r="H277" s="6" t="n"/>
      <c r="I277" s="8">
        <f>IF(OR(F277="",G277=""),"",F277*G277)</f>
        <v/>
      </c>
      <c r="J277" s="6" t="n"/>
    </row>
    <row r="278">
      <c r="A278" s="5" t="n"/>
      <c r="B278" s="6">
        <f>IF(A278="","",IFERROR(INT((A278-DATE(2026,4,27))/7)+1,""))</f>
        <v/>
      </c>
      <c r="C278" s="6" t="n"/>
      <c r="D278" s="6" t="n"/>
      <c r="E278" s="6" t="n"/>
      <c r="F278" s="6" t="n"/>
      <c r="G278" s="7" t="n"/>
      <c r="H278" s="6" t="n"/>
      <c r="I278" s="8">
        <f>IF(OR(F278="",G278=""),"",F278*G278)</f>
        <v/>
      </c>
      <c r="J278" s="6" t="n"/>
    </row>
    <row r="279">
      <c r="A279" s="5" t="n"/>
      <c r="B279" s="6">
        <f>IF(A279="","",IFERROR(INT((A279-DATE(2026,4,27))/7)+1,""))</f>
        <v/>
      </c>
      <c r="C279" s="6" t="n"/>
      <c r="D279" s="6" t="n"/>
      <c r="E279" s="6" t="n"/>
      <c r="F279" s="6" t="n"/>
      <c r="G279" s="7" t="n"/>
      <c r="H279" s="6" t="n"/>
      <c r="I279" s="8">
        <f>IF(OR(F279="",G279=""),"",F279*G279)</f>
        <v/>
      </c>
      <c r="J279" s="6" t="n"/>
    </row>
    <row r="280">
      <c r="A280" s="5" t="n"/>
      <c r="B280" s="6">
        <f>IF(A280="","",IFERROR(INT((A280-DATE(2026,4,27))/7)+1,""))</f>
        <v/>
      </c>
      <c r="C280" s="6" t="n"/>
      <c r="D280" s="6" t="n"/>
      <c r="E280" s="6" t="n"/>
      <c r="F280" s="6" t="n"/>
      <c r="G280" s="7" t="n"/>
      <c r="H280" s="6" t="n"/>
      <c r="I280" s="8">
        <f>IF(OR(F280="",G280=""),"",F280*G280)</f>
        <v/>
      </c>
      <c r="J280" s="6" t="n"/>
    </row>
    <row r="281">
      <c r="A281" s="5" t="n"/>
      <c r="B281" s="6">
        <f>IF(A281="","",IFERROR(INT((A281-DATE(2026,4,27))/7)+1,""))</f>
        <v/>
      </c>
      <c r="C281" s="6" t="n"/>
      <c r="D281" s="6" t="n"/>
      <c r="E281" s="6" t="n"/>
      <c r="F281" s="6" t="n"/>
      <c r="G281" s="7" t="n"/>
      <c r="H281" s="6" t="n"/>
      <c r="I281" s="8">
        <f>IF(OR(F281="",G281=""),"",F281*G281)</f>
        <v/>
      </c>
      <c r="J281" s="6" t="n"/>
    </row>
    <row r="282">
      <c r="A282" s="5" t="n"/>
      <c r="B282" s="6">
        <f>IF(A282="","",IFERROR(INT((A282-DATE(2026,4,27))/7)+1,""))</f>
        <v/>
      </c>
      <c r="C282" s="6" t="n"/>
      <c r="D282" s="6" t="n"/>
      <c r="E282" s="6" t="n"/>
      <c r="F282" s="6" t="n"/>
      <c r="G282" s="7" t="n"/>
      <c r="H282" s="6" t="n"/>
      <c r="I282" s="8">
        <f>IF(OR(F282="",G282=""),"",F282*G282)</f>
        <v/>
      </c>
      <c r="J282" s="6" t="n"/>
    </row>
    <row r="283">
      <c r="A283" s="5" t="n"/>
      <c r="B283" s="6">
        <f>IF(A283="","",IFERROR(INT((A283-DATE(2026,4,27))/7)+1,""))</f>
        <v/>
      </c>
      <c r="C283" s="6" t="n"/>
      <c r="D283" s="6" t="n"/>
      <c r="E283" s="6" t="n"/>
      <c r="F283" s="6" t="n"/>
      <c r="G283" s="7" t="n"/>
      <c r="H283" s="6" t="n"/>
      <c r="I283" s="8">
        <f>IF(OR(F283="",G283=""),"",F283*G283)</f>
        <v/>
      </c>
      <c r="J283" s="6" t="n"/>
    </row>
    <row r="284">
      <c r="A284" s="5" t="n"/>
      <c r="B284" s="6">
        <f>IF(A284="","",IFERROR(INT((A284-DATE(2026,4,27))/7)+1,""))</f>
        <v/>
      </c>
      <c r="C284" s="6" t="n"/>
      <c r="D284" s="6" t="n"/>
      <c r="E284" s="6" t="n"/>
      <c r="F284" s="6" t="n"/>
      <c r="G284" s="7" t="n"/>
      <c r="H284" s="6" t="n"/>
      <c r="I284" s="8">
        <f>IF(OR(F284="",G284=""),"",F284*G284)</f>
        <v/>
      </c>
      <c r="J284" s="6" t="n"/>
    </row>
    <row r="285">
      <c r="A285" s="5" t="n"/>
      <c r="B285" s="6">
        <f>IF(A285="","",IFERROR(INT((A285-DATE(2026,4,27))/7)+1,""))</f>
        <v/>
      </c>
      <c r="C285" s="6" t="n"/>
      <c r="D285" s="6" t="n"/>
      <c r="E285" s="6" t="n"/>
      <c r="F285" s="6" t="n"/>
      <c r="G285" s="7" t="n"/>
      <c r="H285" s="6" t="n"/>
      <c r="I285" s="8">
        <f>IF(OR(F285="",G285=""),"",F285*G285)</f>
        <v/>
      </c>
      <c r="J285" s="6" t="n"/>
    </row>
    <row r="286">
      <c r="A286" s="5" t="n"/>
      <c r="B286" s="6">
        <f>IF(A286="","",IFERROR(INT((A286-DATE(2026,4,27))/7)+1,""))</f>
        <v/>
      </c>
      <c r="C286" s="6" t="n"/>
      <c r="D286" s="6" t="n"/>
      <c r="E286" s="6" t="n"/>
      <c r="F286" s="6" t="n"/>
      <c r="G286" s="7" t="n"/>
      <c r="H286" s="6" t="n"/>
      <c r="I286" s="8">
        <f>IF(OR(F286="",G286=""),"",F286*G286)</f>
        <v/>
      </c>
      <c r="J286" s="6" t="n"/>
    </row>
    <row r="287">
      <c r="A287" s="5" t="n"/>
      <c r="B287" s="6">
        <f>IF(A287="","",IFERROR(INT((A287-DATE(2026,4,27))/7)+1,""))</f>
        <v/>
      </c>
      <c r="C287" s="6" t="n"/>
      <c r="D287" s="6" t="n"/>
      <c r="E287" s="6" t="n"/>
      <c r="F287" s="6" t="n"/>
      <c r="G287" s="7" t="n"/>
      <c r="H287" s="6" t="n"/>
      <c r="I287" s="8">
        <f>IF(OR(F287="",G287=""),"",F287*G287)</f>
        <v/>
      </c>
      <c r="J287" s="6" t="n"/>
    </row>
    <row r="288">
      <c r="A288" s="5" t="n"/>
      <c r="B288" s="6">
        <f>IF(A288="","",IFERROR(INT((A288-DATE(2026,4,27))/7)+1,""))</f>
        <v/>
      </c>
      <c r="C288" s="6" t="n"/>
      <c r="D288" s="6" t="n"/>
      <c r="E288" s="6" t="n"/>
      <c r="F288" s="6" t="n"/>
      <c r="G288" s="7" t="n"/>
      <c r="H288" s="6" t="n"/>
      <c r="I288" s="8">
        <f>IF(OR(F288="",G288=""),"",F288*G288)</f>
        <v/>
      </c>
      <c r="J288" s="6" t="n"/>
    </row>
    <row r="289">
      <c r="A289" s="5" t="n"/>
      <c r="B289" s="6">
        <f>IF(A289="","",IFERROR(INT((A289-DATE(2026,4,27))/7)+1,""))</f>
        <v/>
      </c>
      <c r="C289" s="6" t="n"/>
      <c r="D289" s="6" t="n"/>
      <c r="E289" s="6" t="n"/>
      <c r="F289" s="6" t="n"/>
      <c r="G289" s="7" t="n"/>
      <c r="H289" s="6" t="n"/>
      <c r="I289" s="8">
        <f>IF(OR(F289="",G289=""),"",F289*G289)</f>
        <v/>
      </c>
      <c r="J289" s="6" t="n"/>
    </row>
    <row r="290">
      <c r="A290" s="5" t="n"/>
      <c r="B290" s="6">
        <f>IF(A290="","",IFERROR(INT((A290-DATE(2026,4,27))/7)+1,""))</f>
        <v/>
      </c>
      <c r="C290" s="6" t="n"/>
      <c r="D290" s="6" t="n"/>
      <c r="E290" s="6" t="n"/>
      <c r="F290" s="6" t="n"/>
      <c r="G290" s="7" t="n"/>
      <c r="H290" s="6" t="n"/>
      <c r="I290" s="8">
        <f>IF(OR(F290="",G290=""),"",F290*G290)</f>
        <v/>
      </c>
      <c r="J290" s="6" t="n"/>
    </row>
    <row r="291">
      <c r="A291" s="5" t="n"/>
      <c r="B291" s="6">
        <f>IF(A291="","",IFERROR(INT((A291-DATE(2026,4,27))/7)+1,""))</f>
        <v/>
      </c>
      <c r="C291" s="6" t="n"/>
      <c r="D291" s="6" t="n"/>
      <c r="E291" s="6" t="n"/>
      <c r="F291" s="6" t="n"/>
      <c r="G291" s="7" t="n"/>
      <c r="H291" s="6" t="n"/>
      <c r="I291" s="8">
        <f>IF(OR(F291="",G291=""),"",F291*G291)</f>
        <v/>
      </c>
      <c r="J291" s="6" t="n"/>
    </row>
    <row r="292">
      <c r="A292" s="5" t="n"/>
      <c r="B292" s="6">
        <f>IF(A292="","",IFERROR(INT((A292-DATE(2026,4,27))/7)+1,""))</f>
        <v/>
      </c>
      <c r="C292" s="6" t="n"/>
      <c r="D292" s="6" t="n"/>
      <c r="E292" s="6" t="n"/>
      <c r="F292" s="6" t="n"/>
      <c r="G292" s="7" t="n"/>
      <c r="H292" s="6" t="n"/>
      <c r="I292" s="8">
        <f>IF(OR(F292="",G292=""),"",F292*G292)</f>
        <v/>
      </c>
      <c r="J292" s="6" t="n"/>
    </row>
    <row r="293">
      <c r="A293" s="5" t="n"/>
      <c r="B293" s="6">
        <f>IF(A293="","",IFERROR(INT((A293-DATE(2026,4,27))/7)+1,""))</f>
        <v/>
      </c>
      <c r="C293" s="6" t="n"/>
      <c r="D293" s="6" t="n"/>
      <c r="E293" s="6" t="n"/>
      <c r="F293" s="6" t="n"/>
      <c r="G293" s="7" t="n"/>
      <c r="H293" s="6" t="n"/>
      <c r="I293" s="8">
        <f>IF(OR(F293="",G293=""),"",F293*G293)</f>
        <v/>
      </c>
      <c r="J293" s="6" t="n"/>
    </row>
    <row r="294">
      <c r="A294" s="5" t="n"/>
      <c r="B294" s="6">
        <f>IF(A294="","",IFERROR(INT((A294-DATE(2026,4,27))/7)+1,""))</f>
        <v/>
      </c>
      <c r="C294" s="6" t="n"/>
      <c r="D294" s="6" t="n"/>
      <c r="E294" s="6" t="n"/>
      <c r="F294" s="6" t="n"/>
      <c r="G294" s="7" t="n"/>
      <c r="H294" s="6" t="n"/>
      <c r="I294" s="8">
        <f>IF(OR(F294="",G294=""),"",F294*G294)</f>
        <v/>
      </c>
      <c r="J294" s="6" t="n"/>
    </row>
    <row r="295">
      <c r="A295" s="5" t="n"/>
      <c r="B295" s="6">
        <f>IF(A295="","",IFERROR(INT((A295-DATE(2026,4,27))/7)+1,""))</f>
        <v/>
      </c>
      <c r="C295" s="6" t="n"/>
      <c r="D295" s="6" t="n"/>
      <c r="E295" s="6" t="n"/>
      <c r="F295" s="6" t="n"/>
      <c r="G295" s="7" t="n"/>
      <c r="H295" s="6" t="n"/>
      <c r="I295" s="8">
        <f>IF(OR(F295="",G295=""),"",F295*G295)</f>
        <v/>
      </c>
      <c r="J295" s="6" t="n"/>
    </row>
    <row r="296">
      <c r="A296" s="5" t="n"/>
      <c r="B296" s="6">
        <f>IF(A296="","",IFERROR(INT((A296-DATE(2026,4,27))/7)+1,""))</f>
        <v/>
      </c>
      <c r="C296" s="6" t="n"/>
      <c r="D296" s="6" t="n"/>
      <c r="E296" s="6" t="n"/>
      <c r="F296" s="6" t="n"/>
      <c r="G296" s="7" t="n"/>
      <c r="H296" s="6" t="n"/>
      <c r="I296" s="8">
        <f>IF(OR(F296="",G296=""),"",F296*G296)</f>
        <v/>
      </c>
      <c r="J296" s="6" t="n"/>
    </row>
    <row r="297">
      <c r="A297" s="5" t="n"/>
      <c r="B297" s="6">
        <f>IF(A297="","",IFERROR(INT((A297-DATE(2026,4,27))/7)+1,""))</f>
        <v/>
      </c>
      <c r="C297" s="6" t="n"/>
      <c r="D297" s="6" t="n"/>
      <c r="E297" s="6" t="n"/>
      <c r="F297" s="6" t="n"/>
      <c r="G297" s="7" t="n"/>
      <c r="H297" s="6" t="n"/>
      <c r="I297" s="8">
        <f>IF(OR(F297="",G297=""),"",F297*G297)</f>
        <v/>
      </c>
      <c r="J297" s="6" t="n"/>
    </row>
    <row r="298">
      <c r="A298" s="5" t="n"/>
      <c r="B298" s="6">
        <f>IF(A298="","",IFERROR(INT((A298-DATE(2026,4,27))/7)+1,""))</f>
        <v/>
      </c>
      <c r="C298" s="6" t="n"/>
      <c r="D298" s="6" t="n"/>
      <c r="E298" s="6" t="n"/>
      <c r="F298" s="6" t="n"/>
      <c r="G298" s="7" t="n"/>
      <c r="H298" s="6" t="n"/>
      <c r="I298" s="8">
        <f>IF(OR(F298="",G298=""),"",F298*G298)</f>
        <v/>
      </c>
      <c r="J298" s="6" t="n"/>
    </row>
    <row r="299">
      <c r="A299" s="5" t="n"/>
      <c r="B299" s="6">
        <f>IF(A299="","",IFERROR(INT((A299-DATE(2026,4,27))/7)+1,""))</f>
        <v/>
      </c>
      <c r="C299" s="6" t="n"/>
      <c r="D299" s="6" t="n"/>
      <c r="E299" s="6" t="n"/>
      <c r="F299" s="6" t="n"/>
      <c r="G299" s="7" t="n"/>
      <c r="H299" s="6" t="n"/>
      <c r="I299" s="8">
        <f>IF(OR(F299="",G299=""),"",F299*G299)</f>
        <v/>
      </c>
      <c r="J299" s="6" t="n"/>
    </row>
    <row r="300">
      <c r="A300" s="5" t="n"/>
      <c r="B300" s="6">
        <f>IF(A300="","",IFERROR(INT((A300-DATE(2026,4,27))/7)+1,""))</f>
        <v/>
      </c>
      <c r="C300" s="6" t="n"/>
      <c r="D300" s="6" t="n"/>
      <c r="E300" s="6" t="n"/>
      <c r="F300" s="6" t="n"/>
      <c r="G300" s="7" t="n"/>
      <c r="H300" s="6" t="n"/>
      <c r="I300" s="8">
        <f>IF(OR(F300="",G300=""),"",F300*G300)</f>
        <v/>
      </c>
      <c r="J300" s="6" t="n"/>
    </row>
    <row r="301">
      <c r="A301" s="5" t="n"/>
      <c r="B301" s="6">
        <f>IF(A301="","",IFERROR(INT((A301-DATE(2026,4,27))/7)+1,""))</f>
        <v/>
      </c>
      <c r="C301" s="6" t="n"/>
      <c r="D301" s="6" t="n"/>
      <c r="E301" s="6" t="n"/>
      <c r="F301" s="6" t="n"/>
      <c r="G301" s="7" t="n"/>
      <c r="H301" s="6" t="n"/>
      <c r="I301" s="8">
        <f>IF(OR(F301="",G301=""),"",F301*G301)</f>
        <v/>
      </c>
      <c r="J301" s="6" t="n"/>
    </row>
    <row r="302">
      <c r="A302" s="5" t="n"/>
      <c r="B302" s="6">
        <f>IF(A302="","",IFERROR(INT((A302-DATE(2026,4,27))/7)+1,""))</f>
        <v/>
      </c>
      <c r="C302" s="6" t="n"/>
      <c r="D302" s="6" t="n"/>
      <c r="E302" s="6" t="n"/>
      <c r="F302" s="6" t="n"/>
      <c r="G302" s="7" t="n"/>
      <c r="H302" s="6" t="n"/>
      <c r="I302" s="8">
        <f>IF(OR(F302="",G302=""),"",F302*G302)</f>
        <v/>
      </c>
      <c r="J302" s="6" t="n"/>
    </row>
    <row r="303">
      <c r="A303" s="5" t="n"/>
      <c r="B303" s="6">
        <f>IF(A303="","",IFERROR(INT((A303-DATE(2026,4,27))/7)+1,""))</f>
        <v/>
      </c>
      <c r="C303" s="6" t="n"/>
      <c r="D303" s="6" t="n"/>
      <c r="E303" s="6" t="n"/>
      <c r="F303" s="6" t="n"/>
      <c r="G303" s="7" t="n"/>
      <c r="H303" s="6" t="n"/>
      <c r="I303" s="8">
        <f>IF(OR(F303="",G303=""),"",F303*G303)</f>
        <v/>
      </c>
      <c r="J303" s="6" t="n"/>
    </row>
    <row r="304">
      <c r="A304" s="5" t="n"/>
      <c r="B304" s="6">
        <f>IF(A304="","",IFERROR(INT((A304-DATE(2026,4,27))/7)+1,""))</f>
        <v/>
      </c>
      <c r="C304" s="6" t="n"/>
      <c r="D304" s="6" t="n"/>
      <c r="E304" s="6" t="n"/>
      <c r="F304" s="6" t="n"/>
      <c r="G304" s="7" t="n"/>
      <c r="H304" s="6" t="n"/>
      <c r="I304" s="8">
        <f>IF(OR(F304="",G304=""),"",F304*G304)</f>
        <v/>
      </c>
      <c r="J304" s="6" t="n"/>
    </row>
    <row r="305">
      <c r="A305" s="5" t="n"/>
      <c r="B305" s="6">
        <f>IF(A305="","",IFERROR(INT((A305-DATE(2026,4,27))/7)+1,""))</f>
        <v/>
      </c>
      <c r="C305" s="6" t="n"/>
      <c r="D305" s="6" t="n"/>
      <c r="E305" s="6" t="n"/>
      <c r="F305" s="6" t="n"/>
      <c r="G305" s="7" t="n"/>
      <c r="H305" s="6" t="n"/>
      <c r="I305" s="8">
        <f>IF(OR(F305="",G305=""),"",F305*G305)</f>
        <v/>
      </c>
      <c r="J305" s="6" t="n"/>
    </row>
    <row r="306">
      <c r="A306" s="5" t="n"/>
      <c r="B306" s="6">
        <f>IF(A306="","",IFERROR(INT((A306-DATE(2026,4,27))/7)+1,""))</f>
        <v/>
      </c>
      <c r="C306" s="6" t="n"/>
      <c r="D306" s="6" t="n"/>
      <c r="E306" s="6" t="n"/>
      <c r="F306" s="6" t="n"/>
      <c r="G306" s="7" t="n"/>
      <c r="H306" s="6" t="n"/>
      <c r="I306" s="8">
        <f>IF(OR(F306="",G306=""),"",F306*G306)</f>
        <v/>
      </c>
      <c r="J306" s="6" t="n"/>
    </row>
    <row r="307">
      <c r="A307" s="5" t="n"/>
      <c r="B307" s="6">
        <f>IF(A307="","",IFERROR(INT((A307-DATE(2026,4,27))/7)+1,""))</f>
        <v/>
      </c>
      <c r="C307" s="6" t="n"/>
      <c r="D307" s="6" t="n"/>
      <c r="E307" s="6" t="n"/>
      <c r="F307" s="6" t="n"/>
      <c r="G307" s="7" t="n"/>
      <c r="H307" s="6" t="n"/>
      <c r="I307" s="8">
        <f>IF(OR(F307="",G307=""),"",F307*G307)</f>
        <v/>
      </c>
      <c r="J307" s="6" t="n"/>
    </row>
    <row r="308">
      <c r="A308" s="5" t="n"/>
      <c r="B308" s="6">
        <f>IF(A308="","",IFERROR(INT((A308-DATE(2026,4,27))/7)+1,""))</f>
        <v/>
      </c>
      <c r="C308" s="6" t="n"/>
      <c r="D308" s="6" t="n"/>
      <c r="E308" s="6" t="n"/>
      <c r="F308" s="6" t="n"/>
      <c r="G308" s="7" t="n"/>
      <c r="H308" s="6" t="n"/>
      <c r="I308" s="8">
        <f>IF(OR(F308="",G308=""),"",F308*G308)</f>
        <v/>
      </c>
      <c r="J308" s="6" t="n"/>
    </row>
    <row r="309">
      <c r="A309" s="5" t="n"/>
      <c r="B309" s="6">
        <f>IF(A309="","",IFERROR(INT((A309-DATE(2026,4,27))/7)+1,""))</f>
        <v/>
      </c>
      <c r="C309" s="6" t="n"/>
      <c r="D309" s="6" t="n"/>
      <c r="E309" s="6" t="n"/>
      <c r="F309" s="6" t="n"/>
      <c r="G309" s="7" t="n"/>
      <c r="H309" s="6" t="n"/>
      <c r="I309" s="8">
        <f>IF(OR(F309="",G309=""),"",F309*G309)</f>
        <v/>
      </c>
      <c r="J309" s="6" t="n"/>
    </row>
    <row r="310">
      <c r="A310" s="5" t="n"/>
      <c r="B310" s="6">
        <f>IF(A310="","",IFERROR(INT((A310-DATE(2026,4,27))/7)+1,""))</f>
        <v/>
      </c>
      <c r="C310" s="6" t="n"/>
      <c r="D310" s="6" t="n"/>
      <c r="E310" s="6" t="n"/>
      <c r="F310" s="6" t="n"/>
      <c r="G310" s="7" t="n"/>
      <c r="H310" s="6" t="n"/>
      <c r="I310" s="8">
        <f>IF(OR(F310="",G310=""),"",F310*G310)</f>
        <v/>
      </c>
      <c r="J310" s="6" t="n"/>
    </row>
    <row r="311">
      <c r="A311" s="5" t="n"/>
      <c r="B311" s="6">
        <f>IF(A311="","",IFERROR(INT((A311-DATE(2026,4,27))/7)+1,""))</f>
        <v/>
      </c>
      <c r="C311" s="6" t="n"/>
      <c r="D311" s="6" t="n"/>
      <c r="E311" s="6" t="n"/>
      <c r="F311" s="6" t="n"/>
      <c r="G311" s="7" t="n"/>
      <c r="H311" s="6" t="n"/>
      <c r="I311" s="8">
        <f>IF(OR(F311="",G311=""),"",F311*G311)</f>
        <v/>
      </c>
      <c r="J311" s="6" t="n"/>
    </row>
    <row r="312">
      <c r="A312" s="5" t="n"/>
      <c r="B312" s="6">
        <f>IF(A312="","",IFERROR(INT((A312-DATE(2026,4,27))/7)+1,""))</f>
        <v/>
      </c>
      <c r="C312" s="6" t="n"/>
      <c r="D312" s="6" t="n"/>
      <c r="E312" s="6" t="n"/>
      <c r="F312" s="6" t="n"/>
      <c r="G312" s="7" t="n"/>
      <c r="H312" s="6" t="n"/>
      <c r="I312" s="8">
        <f>IF(OR(F312="",G312=""),"",F312*G312)</f>
        <v/>
      </c>
      <c r="J312" s="6" t="n"/>
    </row>
    <row r="313">
      <c r="A313" s="5" t="n"/>
      <c r="B313" s="6">
        <f>IF(A313="","",IFERROR(INT((A313-DATE(2026,4,27))/7)+1,""))</f>
        <v/>
      </c>
      <c r="C313" s="6" t="n"/>
      <c r="D313" s="6" t="n"/>
      <c r="E313" s="6" t="n"/>
      <c r="F313" s="6" t="n"/>
      <c r="G313" s="7" t="n"/>
      <c r="H313" s="6" t="n"/>
      <c r="I313" s="8">
        <f>IF(OR(F313="",G313=""),"",F313*G313)</f>
        <v/>
      </c>
      <c r="J313" s="6" t="n"/>
    </row>
    <row r="314">
      <c r="A314" s="5" t="n"/>
      <c r="B314" s="6">
        <f>IF(A314="","",IFERROR(INT((A314-DATE(2026,4,27))/7)+1,""))</f>
        <v/>
      </c>
      <c r="C314" s="6" t="n"/>
      <c r="D314" s="6" t="n"/>
      <c r="E314" s="6" t="n"/>
      <c r="F314" s="6" t="n"/>
      <c r="G314" s="7" t="n"/>
      <c r="H314" s="6" t="n"/>
      <c r="I314" s="8">
        <f>IF(OR(F314="",G314=""),"",F314*G314)</f>
        <v/>
      </c>
      <c r="J314" s="6" t="n"/>
    </row>
    <row r="315">
      <c r="A315" s="5" t="n"/>
      <c r="B315" s="6">
        <f>IF(A315="","",IFERROR(INT((A315-DATE(2026,4,27))/7)+1,""))</f>
        <v/>
      </c>
      <c r="C315" s="6" t="n"/>
      <c r="D315" s="6" t="n"/>
      <c r="E315" s="6" t="n"/>
      <c r="F315" s="6" t="n"/>
      <c r="G315" s="7" t="n"/>
      <c r="H315" s="6" t="n"/>
      <c r="I315" s="8">
        <f>IF(OR(F315="",G315=""),"",F315*G315)</f>
        <v/>
      </c>
      <c r="J315" s="6" t="n"/>
    </row>
    <row r="316">
      <c r="A316" s="5" t="n"/>
      <c r="B316" s="6">
        <f>IF(A316="","",IFERROR(INT((A316-DATE(2026,4,27))/7)+1,""))</f>
        <v/>
      </c>
      <c r="C316" s="6" t="n"/>
      <c r="D316" s="6" t="n"/>
      <c r="E316" s="6" t="n"/>
      <c r="F316" s="6" t="n"/>
      <c r="G316" s="7" t="n"/>
      <c r="H316" s="6" t="n"/>
      <c r="I316" s="8">
        <f>IF(OR(F316="",G316=""),"",F316*G316)</f>
        <v/>
      </c>
      <c r="J316" s="6" t="n"/>
    </row>
    <row r="317">
      <c r="A317" s="5" t="n"/>
      <c r="B317" s="6">
        <f>IF(A317="","",IFERROR(INT((A317-DATE(2026,4,27))/7)+1,""))</f>
        <v/>
      </c>
      <c r="C317" s="6" t="n"/>
      <c r="D317" s="6" t="n"/>
      <c r="E317" s="6" t="n"/>
      <c r="F317" s="6" t="n"/>
      <c r="G317" s="7" t="n"/>
      <c r="H317" s="6" t="n"/>
      <c r="I317" s="8">
        <f>IF(OR(F317="",G317=""),"",F317*G317)</f>
        <v/>
      </c>
      <c r="J317" s="6" t="n"/>
    </row>
    <row r="318">
      <c r="A318" s="5" t="n"/>
      <c r="B318" s="6">
        <f>IF(A318="","",IFERROR(INT((A318-DATE(2026,4,27))/7)+1,""))</f>
        <v/>
      </c>
      <c r="C318" s="6" t="n"/>
      <c r="D318" s="6" t="n"/>
      <c r="E318" s="6" t="n"/>
      <c r="F318" s="6" t="n"/>
      <c r="G318" s="7" t="n"/>
      <c r="H318" s="6" t="n"/>
      <c r="I318" s="8">
        <f>IF(OR(F318="",G318=""),"",F318*G318)</f>
        <v/>
      </c>
      <c r="J318" s="6" t="n"/>
    </row>
    <row r="319">
      <c r="A319" s="5" t="n"/>
      <c r="B319" s="6">
        <f>IF(A319="","",IFERROR(INT((A319-DATE(2026,4,27))/7)+1,""))</f>
        <v/>
      </c>
      <c r="C319" s="6" t="n"/>
      <c r="D319" s="6" t="n"/>
      <c r="E319" s="6" t="n"/>
      <c r="F319" s="6" t="n"/>
      <c r="G319" s="7" t="n"/>
      <c r="H319" s="6" t="n"/>
      <c r="I319" s="8">
        <f>IF(OR(F319="",G319=""),"",F319*G319)</f>
        <v/>
      </c>
      <c r="J319" s="6" t="n"/>
    </row>
    <row r="320">
      <c r="A320" s="5" t="n"/>
      <c r="B320" s="6">
        <f>IF(A320="","",IFERROR(INT((A320-DATE(2026,4,27))/7)+1,""))</f>
        <v/>
      </c>
      <c r="C320" s="6" t="n"/>
      <c r="D320" s="6" t="n"/>
      <c r="E320" s="6" t="n"/>
      <c r="F320" s="6" t="n"/>
      <c r="G320" s="7" t="n"/>
      <c r="H320" s="6" t="n"/>
      <c r="I320" s="8">
        <f>IF(OR(F320="",G320=""),"",F320*G320)</f>
        <v/>
      </c>
      <c r="J320" s="6" t="n"/>
    </row>
    <row r="321">
      <c r="A321" s="5" t="n"/>
      <c r="B321" s="6">
        <f>IF(A321="","",IFERROR(INT((A321-DATE(2026,4,27))/7)+1,""))</f>
        <v/>
      </c>
      <c r="C321" s="6" t="n"/>
      <c r="D321" s="6" t="n"/>
      <c r="E321" s="6" t="n"/>
      <c r="F321" s="6" t="n"/>
      <c r="G321" s="7" t="n"/>
      <c r="H321" s="6" t="n"/>
      <c r="I321" s="8">
        <f>IF(OR(F321="",G321=""),"",F321*G321)</f>
        <v/>
      </c>
      <c r="J321" s="6" t="n"/>
    </row>
    <row r="322">
      <c r="A322" s="5" t="n"/>
      <c r="B322" s="6">
        <f>IF(A322="","",IFERROR(INT((A322-DATE(2026,4,27))/7)+1,""))</f>
        <v/>
      </c>
      <c r="C322" s="6" t="n"/>
      <c r="D322" s="6" t="n"/>
      <c r="E322" s="6" t="n"/>
      <c r="F322" s="6" t="n"/>
      <c r="G322" s="7" t="n"/>
      <c r="H322" s="6" t="n"/>
      <c r="I322" s="8">
        <f>IF(OR(F322="",G322=""),"",F322*G322)</f>
        <v/>
      </c>
      <c r="J322" s="6" t="n"/>
    </row>
    <row r="323">
      <c r="A323" s="5" t="n"/>
      <c r="B323" s="6">
        <f>IF(A323="","",IFERROR(INT((A323-DATE(2026,4,27))/7)+1,""))</f>
        <v/>
      </c>
      <c r="C323" s="6" t="n"/>
      <c r="D323" s="6" t="n"/>
      <c r="E323" s="6" t="n"/>
      <c r="F323" s="6" t="n"/>
      <c r="G323" s="7" t="n"/>
      <c r="H323" s="6" t="n"/>
      <c r="I323" s="8">
        <f>IF(OR(F323="",G323=""),"",F323*G323)</f>
        <v/>
      </c>
      <c r="J323" s="6" t="n"/>
    </row>
    <row r="324">
      <c r="A324" s="5" t="n"/>
      <c r="B324" s="6">
        <f>IF(A324="","",IFERROR(INT((A324-DATE(2026,4,27))/7)+1,""))</f>
        <v/>
      </c>
      <c r="C324" s="6" t="n"/>
      <c r="D324" s="6" t="n"/>
      <c r="E324" s="6" t="n"/>
      <c r="F324" s="6" t="n"/>
      <c r="G324" s="7" t="n"/>
      <c r="H324" s="6" t="n"/>
      <c r="I324" s="8">
        <f>IF(OR(F324="",G324=""),"",F324*G324)</f>
        <v/>
      </c>
      <c r="J324" s="6" t="n"/>
    </row>
    <row r="325">
      <c r="A325" s="5" t="n"/>
      <c r="B325" s="6">
        <f>IF(A325="","",IFERROR(INT((A325-DATE(2026,4,27))/7)+1,""))</f>
        <v/>
      </c>
      <c r="C325" s="6" t="n"/>
      <c r="D325" s="6" t="n"/>
      <c r="E325" s="6" t="n"/>
      <c r="F325" s="6" t="n"/>
      <c r="G325" s="7" t="n"/>
      <c r="H325" s="6" t="n"/>
      <c r="I325" s="8">
        <f>IF(OR(F325="",G325=""),"",F325*G325)</f>
        <v/>
      </c>
      <c r="J325" s="6" t="n"/>
    </row>
    <row r="326">
      <c r="A326" s="5" t="n"/>
      <c r="B326" s="6">
        <f>IF(A326="","",IFERROR(INT((A326-DATE(2026,4,27))/7)+1,""))</f>
        <v/>
      </c>
      <c r="C326" s="6" t="n"/>
      <c r="D326" s="6" t="n"/>
      <c r="E326" s="6" t="n"/>
      <c r="F326" s="6" t="n"/>
      <c r="G326" s="7" t="n"/>
      <c r="H326" s="6" t="n"/>
      <c r="I326" s="8">
        <f>IF(OR(F326="",G326=""),"",F326*G326)</f>
        <v/>
      </c>
      <c r="J326" s="6" t="n"/>
    </row>
    <row r="327">
      <c r="A327" s="5" t="n"/>
      <c r="B327" s="6">
        <f>IF(A327="","",IFERROR(INT((A327-DATE(2026,4,27))/7)+1,""))</f>
        <v/>
      </c>
      <c r="C327" s="6" t="n"/>
      <c r="D327" s="6" t="n"/>
      <c r="E327" s="6" t="n"/>
      <c r="F327" s="6" t="n"/>
      <c r="G327" s="7" t="n"/>
      <c r="H327" s="6" t="n"/>
      <c r="I327" s="8">
        <f>IF(OR(F327="",G327=""),"",F327*G327)</f>
        <v/>
      </c>
      <c r="J327" s="6" t="n"/>
    </row>
    <row r="328">
      <c r="A328" s="5" t="n"/>
      <c r="B328" s="6">
        <f>IF(A328="","",IFERROR(INT((A328-DATE(2026,4,27))/7)+1,""))</f>
        <v/>
      </c>
      <c r="C328" s="6" t="n"/>
      <c r="D328" s="6" t="n"/>
      <c r="E328" s="6" t="n"/>
      <c r="F328" s="6" t="n"/>
      <c r="G328" s="7" t="n"/>
      <c r="H328" s="6" t="n"/>
      <c r="I328" s="8">
        <f>IF(OR(F328="",G328=""),"",F328*G328)</f>
        <v/>
      </c>
      <c r="J328" s="6" t="n"/>
    </row>
    <row r="329">
      <c r="A329" s="5" t="n"/>
      <c r="B329" s="6">
        <f>IF(A329="","",IFERROR(INT((A329-DATE(2026,4,27))/7)+1,""))</f>
        <v/>
      </c>
      <c r="C329" s="6" t="n"/>
      <c r="D329" s="6" t="n"/>
      <c r="E329" s="6" t="n"/>
      <c r="F329" s="6" t="n"/>
      <c r="G329" s="7" t="n"/>
      <c r="H329" s="6" t="n"/>
      <c r="I329" s="8">
        <f>IF(OR(F329="",G329=""),"",F329*G329)</f>
        <v/>
      </c>
      <c r="J329" s="6" t="n"/>
    </row>
    <row r="330">
      <c r="A330" s="5" t="n"/>
      <c r="B330" s="6">
        <f>IF(A330="","",IFERROR(INT((A330-DATE(2026,4,27))/7)+1,""))</f>
        <v/>
      </c>
      <c r="C330" s="6" t="n"/>
      <c r="D330" s="6" t="n"/>
      <c r="E330" s="6" t="n"/>
      <c r="F330" s="6" t="n"/>
      <c r="G330" s="7" t="n"/>
      <c r="H330" s="6" t="n"/>
      <c r="I330" s="8">
        <f>IF(OR(F330="",G330=""),"",F330*G330)</f>
        <v/>
      </c>
      <c r="J330" s="6" t="n"/>
    </row>
    <row r="331">
      <c r="A331" s="5" t="n"/>
      <c r="B331" s="6">
        <f>IF(A331="","",IFERROR(INT((A331-DATE(2026,4,27))/7)+1,""))</f>
        <v/>
      </c>
      <c r="C331" s="6" t="n"/>
      <c r="D331" s="6" t="n"/>
      <c r="E331" s="6" t="n"/>
      <c r="F331" s="6" t="n"/>
      <c r="G331" s="7" t="n"/>
      <c r="H331" s="6" t="n"/>
      <c r="I331" s="8">
        <f>IF(OR(F331="",G331=""),"",F331*G331)</f>
        <v/>
      </c>
      <c r="J331" s="6" t="n"/>
    </row>
    <row r="332">
      <c r="A332" s="5" t="n"/>
      <c r="B332" s="6">
        <f>IF(A332="","",IFERROR(INT((A332-DATE(2026,4,27))/7)+1,""))</f>
        <v/>
      </c>
      <c r="C332" s="6" t="n"/>
      <c r="D332" s="6" t="n"/>
      <c r="E332" s="6" t="n"/>
      <c r="F332" s="6" t="n"/>
      <c r="G332" s="7" t="n"/>
      <c r="H332" s="6" t="n"/>
      <c r="I332" s="8">
        <f>IF(OR(F332="",G332=""),"",F332*G332)</f>
        <v/>
      </c>
      <c r="J332" s="6" t="n"/>
    </row>
    <row r="333">
      <c r="A333" s="5" t="n"/>
      <c r="B333" s="6">
        <f>IF(A333="","",IFERROR(INT((A333-DATE(2026,4,27))/7)+1,""))</f>
        <v/>
      </c>
      <c r="C333" s="6" t="n"/>
      <c r="D333" s="6" t="n"/>
      <c r="E333" s="6" t="n"/>
      <c r="F333" s="6" t="n"/>
      <c r="G333" s="7" t="n"/>
      <c r="H333" s="6" t="n"/>
      <c r="I333" s="8">
        <f>IF(OR(F333="",G333=""),"",F333*G333)</f>
        <v/>
      </c>
      <c r="J333" s="6" t="n"/>
    </row>
    <row r="334">
      <c r="A334" s="5" t="n"/>
      <c r="B334" s="6">
        <f>IF(A334="","",IFERROR(INT((A334-DATE(2026,4,27))/7)+1,""))</f>
        <v/>
      </c>
      <c r="C334" s="6" t="n"/>
      <c r="D334" s="6" t="n"/>
      <c r="E334" s="6" t="n"/>
      <c r="F334" s="6" t="n"/>
      <c r="G334" s="7" t="n"/>
      <c r="H334" s="6" t="n"/>
      <c r="I334" s="8">
        <f>IF(OR(F334="",G334=""),"",F334*G334)</f>
        <v/>
      </c>
      <c r="J334" s="6" t="n"/>
    </row>
    <row r="335">
      <c r="A335" s="5" t="n"/>
      <c r="B335" s="6">
        <f>IF(A335="","",IFERROR(INT((A335-DATE(2026,4,27))/7)+1,""))</f>
        <v/>
      </c>
      <c r="C335" s="6" t="n"/>
      <c r="D335" s="6" t="n"/>
      <c r="E335" s="6" t="n"/>
      <c r="F335" s="6" t="n"/>
      <c r="G335" s="7" t="n"/>
      <c r="H335" s="6" t="n"/>
      <c r="I335" s="8">
        <f>IF(OR(F335="",G335=""),"",F335*G335)</f>
        <v/>
      </c>
      <c r="J335" s="6" t="n"/>
    </row>
    <row r="336">
      <c r="A336" s="5" t="n"/>
      <c r="B336" s="6">
        <f>IF(A336="","",IFERROR(INT((A336-DATE(2026,4,27))/7)+1,""))</f>
        <v/>
      </c>
      <c r="C336" s="6" t="n"/>
      <c r="D336" s="6" t="n"/>
      <c r="E336" s="6" t="n"/>
      <c r="F336" s="6" t="n"/>
      <c r="G336" s="7" t="n"/>
      <c r="H336" s="6" t="n"/>
      <c r="I336" s="8">
        <f>IF(OR(F336="",G336=""),"",F336*G336)</f>
        <v/>
      </c>
      <c r="J336" s="6" t="n"/>
    </row>
    <row r="337">
      <c r="A337" s="5" t="n"/>
      <c r="B337" s="6">
        <f>IF(A337="","",IFERROR(INT((A337-DATE(2026,4,27))/7)+1,""))</f>
        <v/>
      </c>
      <c r="C337" s="6" t="n"/>
      <c r="D337" s="6" t="n"/>
      <c r="E337" s="6" t="n"/>
      <c r="F337" s="6" t="n"/>
      <c r="G337" s="7" t="n"/>
      <c r="H337" s="6" t="n"/>
      <c r="I337" s="8">
        <f>IF(OR(F337="",G337=""),"",F337*G337)</f>
        <v/>
      </c>
      <c r="J337" s="6" t="n"/>
    </row>
    <row r="338">
      <c r="A338" s="5" t="n"/>
      <c r="B338" s="6">
        <f>IF(A338="","",IFERROR(INT((A338-DATE(2026,4,27))/7)+1,""))</f>
        <v/>
      </c>
      <c r="C338" s="6" t="n"/>
      <c r="D338" s="6" t="n"/>
      <c r="E338" s="6" t="n"/>
      <c r="F338" s="6" t="n"/>
      <c r="G338" s="7" t="n"/>
      <c r="H338" s="6" t="n"/>
      <c r="I338" s="8">
        <f>IF(OR(F338="",G338=""),"",F338*G338)</f>
        <v/>
      </c>
      <c r="J338" s="6" t="n"/>
    </row>
    <row r="339">
      <c r="A339" s="5" t="n"/>
      <c r="B339" s="6">
        <f>IF(A339="","",IFERROR(INT((A339-DATE(2026,4,27))/7)+1,""))</f>
        <v/>
      </c>
      <c r="C339" s="6" t="n"/>
      <c r="D339" s="6" t="n"/>
      <c r="E339" s="6" t="n"/>
      <c r="F339" s="6" t="n"/>
      <c r="G339" s="7" t="n"/>
      <c r="H339" s="6" t="n"/>
      <c r="I339" s="8">
        <f>IF(OR(F339="",G339=""),"",F339*G339)</f>
        <v/>
      </c>
      <c r="J339" s="6" t="n"/>
    </row>
    <row r="340">
      <c r="A340" s="5" t="n"/>
      <c r="B340" s="6">
        <f>IF(A340="","",IFERROR(INT((A340-DATE(2026,4,27))/7)+1,""))</f>
        <v/>
      </c>
      <c r="C340" s="6" t="n"/>
      <c r="D340" s="6" t="n"/>
      <c r="E340" s="6" t="n"/>
      <c r="F340" s="6" t="n"/>
      <c r="G340" s="7" t="n"/>
      <c r="H340" s="6" t="n"/>
      <c r="I340" s="8">
        <f>IF(OR(F340="",G340=""),"",F340*G340)</f>
        <v/>
      </c>
      <c r="J340" s="6" t="n"/>
    </row>
    <row r="341">
      <c r="A341" s="5" t="n"/>
      <c r="B341" s="6">
        <f>IF(A341="","",IFERROR(INT((A341-DATE(2026,4,27))/7)+1,""))</f>
        <v/>
      </c>
      <c r="C341" s="6" t="n"/>
      <c r="D341" s="6" t="n"/>
      <c r="E341" s="6" t="n"/>
      <c r="F341" s="6" t="n"/>
      <c r="G341" s="7" t="n"/>
      <c r="H341" s="6" t="n"/>
      <c r="I341" s="8">
        <f>IF(OR(F341="",G341=""),"",F341*G341)</f>
        <v/>
      </c>
      <c r="J341" s="6" t="n"/>
    </row>
    <row r="342">
      <c r="A342" s="5" t="n"/>
      <c r="B342" s="6">
        <f>IF(A342="","",IFERROR(INT((A342-DATE(2026,4,27))/7)+1,""))</f>
        <v/>
      </c>
      <c r="C342" s="6" t="n"/>
      <c r="D342" s="6" t="n"/>
      <c r="E342" s="6" t="n"/>
      <c r="F342" s="6" t="n"/>
      <c r="G342" s="7" t="n"/>
      <c r="H342" s="6" t="n"/>
      <c r="I342" s="8">
        <f>IF(OR(F342="",G342=""),"",F342*G342)</f>
        <v/>
      </c>
      <c r="J342" s="6" t="n"/>
    </row>
    <row r="343">
      <c r="A343" s="5" t="n"/>
      <c r="B343" s="6">
        <f>IF(A343="","",IFERROR(INT((A343-DATE(2026,4,27))/7)+1,""))</f>
        <v/>
      </c>
      <c r="C343" s="6" t="n"/>
      <c r="D343" s="6" t="n"/>
      <c r="E343" s="6" t="n"/>
      <c r="F343" s="6" t="n"/>
      <c r="G343" s="7" t="n"/>
      <c r="H343" s="6" t="n"/>
      <c r="I343" s="8">
        <f>IF(OR(F343="",G343=""),"",F343*G343)</f>
        <v/>
      </c>
      <c r="J343" s="6" t="n"/>
    </row>
    <row r="344">
      <c r="A344" s="5" t="n"/>
      <c r="B344" s="6">
        <f>IF(A344="","",IFERROR(INT((A344-DATE(2026,4,27))/7)+1,""))</f>
        <v/>
      </c>
      <c r="C344" s="6" t="n"/>
      <c r="D344" s="6" t="n"/>
      <c r="E344" s="6" t="n"/>
      <c r="F344" s="6" t="n"/>
      <c r="G344" s="7" t="n"/>
      <c r="H344" s="6" t="n"/>
      <c r="I344" s="8">
        <f>IF(OR(F344="",G344=""),"",F344*G344)</f>
        <v/>
      </c>
      <c r="J344" s="6" t="n"/>
    </row>
    <row r="345">
      <c r="A345" s="5" t="n"/>
      <c r="B345" s="6">
        <f>IF(A345="","",IFERROR(INT((A345-DATE(2026,4,27))/7)+1,""))</f>
        <v/>
      </c>
      <c r="C345" s="6" t="n"/>
      <c r="D345" s="6" t="n"/>
      <c r="E345" s="6" t="n"/>
      <c r="F345" s="6" t="n"/>
      <c r="G345" s="7" t="n"/>
      <c r="H345" s="6" t="n"/>
      <c r="I345" s="8">
        <f>IF(OR(F345="",G345=""),"",F345*G345)</f>
        <v/>
      </c>
      <c r="J345" s="6" t="n"/>
    </row>
    <row r="346">
      <c r="A346" s="5" t="n"/>
      <c r="B346" s="6">
        <f>IF(A346="","",IFERROR(INT((A346-DATE(2026,4,27))/7)+1,""))</f>
        <v/>
      </c>
      <c r="C346" s="6" t="n"/>
      <c r="D346" s="6" t="n"/>
      <c r="E346" s="6" t="n"/>
      <c r="F346" s="6" t="n"/>
      <c r="G346" s="7" t="n"/>
      <c r="H346" s="6" t="n"/>
      <c r="I346" s="8">
        <f>IF(OR(F346="",G346=""),"",F346*G346)</f>
        <v/>
      </c>
      <c r="J346" s="6" t="n"/>
    </row>
    <row r="347">
      <c r="A347" s="5" t="n"/>
      <c r="B347" s="6">
        <f>IF(A347="","",IFERROR(INT((A347-DATE(2026,4,27))/7)+1,""))</f>
        <v/>
      </c>
      <c r="C347" s="6" t="n"/>
      <c r="D347" s="6" t="n"/>
      <c r="E347" s="6" t="n"/>
      <c r="F347" s="6" t="n"/>
      <c r="G347" s="7" t="n"/>
      <c r="H347" s="6" t="n"/>
      <c r="I347" s="8">
        <f>IF(OR(F347="",G347=""),"",F347*G347)</f>
        <v/>
      </c>
      <c r="J347" s="6" t="n"/>
    </row>
    <row r="348">
      <c r="A348" s="5" t="n"/>
      <c r="B348" s="6">
        <f>IF(A348="","",IFERROR(INT((A348-DATE(2026,4,27))/7)+1,""))</f>
        <v/>
      </c>
      <c r="C348" s="6" t="n"/>
      <c r="D348" s="6" t="n"/>
      <c r="E348" s="6" t="n"/>
      <c r="F348" s="6" t="n"/>
      <c r="G348" s="7" t="n"/>
      <c r="H348" s="6" t="n"/>
      <c r="I348" s="8">
        <f>IF(OR(F348="",G348=""),"",F348*G348)</f>
        <v/>
      </c>
      <c r="J348" s="6" t="n"/>
    </row>
    <row r="349">
      <c r="A349" s="5" t="n"/>
      <c r="B349" s="6">
        <f>IF(A349="","",IFERROR(INT((A349-DATE(2026,4,27))/7)+1,""))</f>
        <v/>
      </c>
      <c r="C349" s="6" t="n"/>
      <c r="D349" s="6" t="n"/>
      <c r="E349" s="6" t="n"/>
      <c r="F349" s="6" t="n"/>
      <c r="G349" s="7" t="n"/>
      <c r="H349" s="6" t="n"/>
      <c r="I349" s="8">
        <f>IF(OR(F349="",G349=""),"",F349*G349)</f>
        <v/>
      </c>
      <c r="J349" s="6" t="n"/>
    </row>
    <row r="350">
      <c r="A350" s="5" t="n"/>
      <c r="B350" s="6">
        <f>IF(A350="","",IFERROR(INT((A350-DATE(2026,4,27))/7)+1,""))</f>
        <v/>
      </c>
      <c r="C350" s="6" t="n"/>
      <c r="D350" s="6" t="n"/>
      <c r="E350" s="6" t="n"/>
      <c r="F350" s="6" t="n"/>
      <c r="G350" s="7" t="n"/>
      <c r="H350" s="6" t="n"/>
      <c r="I350" s="8">
        <f>IF(OR(F350="",G350=""),"",F350*G350)</f>
        <v/>
      </c>
      <c r="J350" s="6" t="n"/>
    </row>
    <row r="351">
      <c r="A351" s="5" t="n"/>
      <c r="B351" s="6">
        <f>IF(A351="","",IFERROR(INT((A351-DATE(2026,4,27))/7)+1,""))</f>
        <v/>
      </c>
      <c r="C351" s="6" t="n"/>
      <c r="D351" s="6" t="n"/>
      <c r="E351" s="6" t="n"/>
      <c r="F351" s="6" t="n"/>
      <c r="G351" s="7" t="n"/>
      <c r="H351" s="6" t="n"/>
      <c r="I351" s="8">
        <f>IF(OR(F351="",G351=""),"",F351*G351)</f>
        <v/>
      </c>
      <c r="J351" s="6" t="n"/>
    </row>
    <row r="352">
      <c r="A352" s="5" t="n"/>
      <c r="B352" s="6">
        <f>IF(A352="","",IFERROR(INT((A352-DATE(2026,4,27))/7)+1,""))</f>
        <v/>
      </c>
      <c r="C352" s="6" t="n"/>
      <c r="D352" s="6" t="n"/>
      <c r="E352" s="6" t="n"/>
      <c r="F352" s="6" t="n"/>
      <c r="G352" s="7" t="n"/>
      <c r="H352" s="6" t="n"/>
      <c r="I352" s="8">
        <f>IF(OR(F352="",G352=""),"",F352*G352)</f>
        <v/>
      </c>
      <c r="J352" s="6" t="n"/>
    </row>
    <row r="353">
      <c r="A353" s="5" t="n"/>
      <c r="B353" s="6">
        <f>IF(A353="","",IFERROR(INT((A353-DATE(2026,4,27))/7)+1,""))</f>
        <v/>
      </c>
      <c r="C353" s="6" t="n"/>
      <c r="D353" s="6" t="n"/>
      <c r="E353" s="6" t="n"/>
      <c r="F353" s="6" t="n"/>
      <c r="G353" s="7" t="n"/>
      <c r="H353" s="6" t="n"/>
      <c r="I353" s="8">
        <f>IF(OR(F353="",G353=""),"",F353*G353)</f>
        <v/>
      </c>
      <c r="J353" s="6" t="n"/>
    </row>
    <row r="354">
      <c r="A354" s="5" t="n"/>
      <c r="B354" s="6">
        <f>IF(A354="","",IFERROR(INT((A354-DATE(2026,4,27))/7)+1,""))</f>
        <v/>
      </c>
      <c r="C354" s="6" t="n"/>
      <c r="D354" s="6" t="n"/>
      <c r="E354" s="6" t="n"/>
      <c r="F354" s="6" t="n"/>
      <c r="G354" s="7" t="n"/>
      <c r="H354" s="6" t="n"/>
      <c r="I354" s="8">
        <f>IF(OR(F354="",G354=""),"",F354*G354)</f>
        <v/>
      </c>
      <c r="J354" s="6" t="n"/>
    </row>
    <row r="355">
      <c r="A355" s="5" t="n"/>
      <c r="B355" s="6">
        <f>IF(A355="","",IFERROR(INT((A355-DATE(2026,4,27))/7)+1,""))</f>
        <v/>
      </c>
      <c r="C355" s="6" t="n"/>
      <c r="D355" s="6" t="n"/>
      <c r="E355" s="6" t="n"/>
      <c r="F355" s="6" t="n"/>
      <c r="G355" s="7" t="n"/>
      <c r="H355" s="6" t="n"/>
      <c r="I355" s="8">
        <f>IF(OR(F355="",G355=""),"",F355*G355)</f>
        <v/>
      </c>
      <c r="J355" s="6" t="n"/>
    </row>
    <row r="356">
      <c r="A356" s="5" t="n"/>
      <c r="B356" s="6">
        <f>IF(A356="","",IFERROR(INT((A356-DATE(2026,4,27))/7)+1,""))</f>
        <v/>
      </c>
      <c r="C356" s="6" t="n"/>
      <c r="D356" s="6" t="n"/>
      <c r="E356" s="6" t="n"/>
      <c r="F356" s="6" t="n"/>
      <c r="G356" s="7" t="n"/>
      <c r="H356" s="6" t="n"/>
      <c r="I356" s="8">
        <f>IF(OR(F356="",G356=""),"",F356*G356)</f>
        <v/>
      </c>
      <c r="J356" s="6" t="n"/>
    </row>
    <row r="357">
      <c r="A357" s="5" t="n"/>
      <c r="B357" s="6">
        <f>IF(A357="","",IFERROR(INT((A357-DATE(2026,4,27))/7)+1,""))</f>
        <v/>
      </c>
      <c r="C357" s="6" t="n"/>
      <c r="D357" s="6" t="n"/>
      <c r="E357" s="6" t="n"/>
      <c r="F357" s="6" t="n"/>
      <c r="G357" s="7" t="n"/>
      <c r="H357" s="6" t="n"/>
      <c r="I357" s="8">
        <f>IF(OR(F357="",G357=""),"",F357*G357)</f>
        <v/>
      </c>
      <c r="J357" s="6" t="n"/>
    </row>
    <row r="358">
      <c r="A358" s="5" t="n"/>
      <c r="B358" s="6">
        <f>IF(A358="","",IFERROR(INT((A358-DATE(2026,4,27))/7)+1,""))</f>
        <v/>
      </c>
      <c r="C358" s="6" t="n"/>
      <c r="D358" s="6" t="n"/>
      <c r="E358" s="6" t="n"/>
      <c r="F358" s="6" t="n"/>
      <c r="G358" s="7" t="n"/>
      <c r="H358" s="6" t="n"/>
      <c r="I358" s="8">
        <f>IF(OR(F358="",G358=""),"",F358*G358)</f>
        <v/>
      </c>
      <c r="J358" s="6" t="n"/>
    </row>
    <row r="359">
      <c r="A359" s="5" t="n"/>
      <c r="B359" s="6">
        <f>IF(A359="","",IFERROR(INT((A359-DATE(2026,4,27))/7)+1,""))</f>
        <v/>
      </c>
      <c r="C359" s="6" t="n"/>
      <c r="D359" s="6" t="n"/>
      <c r="E359" s="6" t="n"/>
      <c r="F359" s="6" t="n"/>
      <c r="G359" s="7" t="n"/>
      <c r="H359" s="6" t="n"/>
      <c r="I359" s="8">
        <f>IF(OR(F359="",G359=""),"",F359*G359)</f>
        <v/>
      </c>
      <c r="J359" s="6" t="n"/>
    </row>
    <row r="360">
      <c r="A360" s="5" t="n"/>
      <c r="B360" s="6">
        <f>IF(A360="","",IFERROR(INT((A360-DATE(2026,4,27))/7)+1,""))</f>
        <v/>
      </c>
      <c r="C360" s="6" t="n"/>
      <c r="D360" s="6" t="n"/>
      <c r="E360" s="6" t="n"/>
      <c r="F360" s="6" t="n"/>
      <c r="G360" s="7" t="n"/>
      <c r="H360" s="6" t="n"/>
      <c r="I360" s="8">
        <f>IF(OR(F360="",G360=""),"",F360*G360)</f>
        <v/>
      </c>
      <c r="J360" s="6" t="n"/>
    </row>
    <row r="361">
      <c r="A361" s="5" t="n"/>
      <c r="B361" s="6">
        <f>IF(A361="","",IFERROR(INT((A361-DATE(2026,4,27))/7)+1,""))</f>
        <v/>
      </c>
      <c r="C361" s="6" t="n"/>
      <c r="D361" s="6" t="n"/>
      <c r="E361" s="6" t="n"/>
      <c r="F361" s="6" t="n"/>
      <c r="G361" s="7" t="n"/>
      <c r="H361" s="6" t="n"/>
      <c r="I361" s="8">
        <f>IF(OR(F361="",G361=""),"",F361*G361)</f>
        <v/>
      </c>
      <c r="J361" s="6" t="n"/>
    </row>
    <row r="362">
      <c r="A362" s="5" t="n"/>
      <c r="B362" s="6">
        <f>IF(A362="","",IFERROR(INT((A362-DATE(2026,4,27))/7)+1,""))</f>
        <v/>
      </c>
      <c r="C362" s="6" t="n"/>
      <c r="D362" s="6" t="n"/>
      <c r="E362" s="6" t="n"/>
      <c r="F362" s="6" t="n"/>
      <c r="G362" s="7" t="n"/>
      <c r="H362" s="6" t="n"/>
      <c r="I362" s="8">
        <f>IF(OR(F362="",G362=""),"",F362*G362)</f>
        <v/>
      </c>
      <c r="J362" s="6" t="n"/>
    </row>
    <row r="363">
      <c r="A363" s="5" t="n"/>
      <c r="B363" s="6">
        <f>IF(A363="","",IFERROR(INT((A363-DATE(2026,4,27))/7)+1,""))</f>
        <v/>
      </c>
      <c r="C363" s="6" t="n"/>
      <c r="D363" s="6" t="n"/>
      <c r="E363" s="6" t="n"/>
      <c r="F363" s="6" t="n"/>
      <c r="G363" s="7" t="n"/>
      <c r="H363" s="6" t="n"/>
      <c r="I363" s="8">
        <f>IF(OR(F363="",G363=""),"",F363*G363)</f>
        <v/>
      </c>
      <c r="J363" s="6" t="n"/>
    </row>
    <row r="364">
      <c r="A364" s="5" t="n"/>
      <c r="B364" s="6">
        <f>IF(A364="","",IFERROR(INT((A364-DATE(2026,4,27))/7)+1,""))</f>
        <v/>
      </c>
      <c r="C364" s="6" t="n"/>
      <c r="D364" s="6" t="n"/>
      <c r="E364" s="6" t="n"/>
      <c r="F364" s="6" t="n"/>
      <c r="G364" s="7" t="n"/>
      <c r="H364" s="6" t="n"/>
      <c r="I364" s="8">
        <f>IF(OR(F364="",G364=""),"",F364*G364)</f>
        <v/>
      </c>
      <c r="J364" s="6" t="n"/>
    </row>
    <row r="365">
      <c r="A365" s="5" t="n"/>
      <c r="B365" s="6">
        <f>IF(A365="","",IFERROR(INT((A365-DATE(2026,4,27))/7)+1,""))</f>
        <v/>
      </c>
      <c r="C365" s="6" t="n"/>
      <c r="D365" s="6" t="n"/>
      <c r="E365" s="6" t="n"/>
      <c r="F365" s="6" t="n"/>
      <c r="G365" s="7" t="n"/>
      <c r="H365" s="6" t="n"/>
      <c r="I365" s="8">
        <f>IF(OR(F365="",G365=""),"",F365*G365)</f>
        <v/>
      </c>
      <c r="J365" s="6" t="n"/>
    </row>
    <row r="366">
      <c r="A366" s="5" t="n"/>
      <c r="B366" s="6">
        <f>IF(A366="","",IFERROR(INT((A366-DATE(2026,4,27))/7)+1,""))</f>
        <v/>
      </c>
      <c r="C366" s="6" t="n"/>
      <c r="D366" s="6" t="n"/>
      <c r="E366" s="6" t="n"/>
      <c r="F366" s="6" t="n"/>
      <c r="G366" s="7" t="n"/>
      <c r="H366" s="6" t="n"/>
      <c r="I366" s="8">
        <f>IF(OR(F366="",G366=""),"",F366*G366)</f>
        <v/>
      </c>
      <c r="J366" s="6" t="n"/>
    </row>
    <row r="367">
      <c r="A367" s="5" t="n"/>
      <c r="B367" s="6">
        <f>IF(A367="","",IFERROR(INT((A367-DATE(2026,4,27))/7)+1,""))</f>
        <v/>
      </c>
      <c r="C367" s="6" t="n"/>
      <c r="D367" s="6" t="n"/>
      <c r="E367" s="6" t="n"/>
      <c r="F367" s="6" t="n"/>
      <c r="G367" s="7" t="n"/>
      <c r="H367" s="6" t="n"/>
      <c r="I367" s="8">
        <f>IF(OR(F367="",G367=""),"",F367*G367)</f>
        <v/>
      </c>
      <c r="J367" s="6" t="n"/>
    </row>
    <row r="368">
      <c r="A368" s="5" t="n"/>
      <c r="B368" s="6">
        <f>IF(A368="","",IFERROR(INT((A368-DATE(2026,4,27))/7)+1,""))</f>
        <v/>
      </c>
      <c r="C368" s="6" t="n"/>
      <c r="D368" s="6" t="n"/>
      <c r="E368" s="6" t="n"/>
      <c r="F368" s="6" t="n"/>
      <c r="G368" s="7" t="n"/>
      <c r="H368" s="6" t="n"/>
      <c r="I368" s="8">
        <f>IF(OR(F368="",G368=""),"",F368*G368)</f>
        <v/>
      </c>
      <c r="J368" s="6" t="n"/>
    </row>
    <row r="369">
      <c r="A369" s="5" t="n"/>
      <c r="B369" s="6">
        <f>IF(A369="","",IFERROR(INT((A369-DATE(2026,4,27))/7)+1,""))</f>
        <v/>
      </c>
      <c r="C369" s="6" t="n"/>
      <c r="D369" s="6" t="n"/>
      <c r="E369" s="6" t="n"/>
      <c r="F369" s="6" t="n"/>
      <c r="G369" s="7" t="n"/>
      <c r="H369" s="6" t="n"/>
      <c r="I369" s="8">
        <f>IF(OR(F369="",G369=""),"",F369*G369)</f>
        <v/>
      </c>
      <c r="J369" s="6" t="n"/>
    </row>
    <row r="370">
      <c r="A370" s="5" t="n"/>
      <c r="B370" s="6">
        <f>IF(A370="","",IFERROR(INT((A370-DATE(2026,4,27))/7)+1,""))</f>
        <v/>
      </c>
      <c r="C370" s="6" t="n"/>
      <c r="D370" s="6" t="n"/>
      <c r="E370" s="6" t="n"/>
      <c r="F370" s="6" t="n"/>
      <c r="G370" s="7" t="n"/>
      <c r="H370" s="6" t="n"/>
      <c r="I370" s="8">
        <f>IF(OR(F370="",G370=""),"",F370*G370)</f>
        <v/>
      </c>
      <c r="J370" s="6" t="n"/>
    </row>
    <row r="371">
      <c r="A371" s="5" t="n"/>
      <c r="B371" s="6">
        <f>IF(A371="","",IFERROR(INT((A371-DATE(2026,4,27))/7)+1,""))</f>
        <v/>
      </c>
      <c r="C371" s="6" t="n"/>
      <c r="D371" s="6" t="n"/>
      <c r="E371" s="6" t="n"/>
      <c r="F371" s="6" t="n"/>
      <c r="G371" s="7" t="n"/>
      <c r="H371" s="6" t="n"/>
      <c r="I371" s="8">
        <f>IF(OR(F371="",G371=""),"",F371*G371)</f>
        <v/>
      </c>
      <c r="J371" s="6" t="n"/>
    </row>
    <row r="372">
      <c r="A372" s="5" t="n"/>
      <c r="B372" s="6">
        <f>IF(A372="","",IFERROR(INT((A372-DATE(2026,4,27))/7)+1,""))</f>
        <v/>
      </c>
      <c r="C372" s="6" t="n"/>
      <c r="D372" s="6" t="n"/>
      <c r="E372" s="6" t="n"/>
      <c r="F372" s="6" t="n"/>
      <c r="G372" s="7" t="n"/>
      <c r="H372" s="6" t="n"/>
      <c r="I372" s="8">
        <f>IF(OR(F372="",G372=""),"",F372*G372)</f>
        <v/>
      </c>
      <c r="J372" s="6" t="n"/>
    </row>
    <row r="373">
      <c r="A373" s="5" t="n"/>
      <c r="B373" s="6">
        <f>IF(A373="","",IFERROR(INT((A373-DATE(2026,4,27))/7)+1,""))</f>
        <v/>
      </c>
      <c r="C373" s="6" t="n"/>
      <c r="D373" s="6" t="n"/>
      <c r="E373" s="6" t="n"/>
      <c r="F373" s="6" t="n"/>
      <c r="G373" s="7" t="n"/>
      <c r="H373" s="6" t="n"/>
      <c r="I373" s="8">
        <f>IF(OR(F373="",G373=""),"",F373*G373)</f>
        <v/>
      </c>
      <c r="J373" s="6" t="n"/>
    </row>
    <row r="374">
      <c r="A374" s="5" t="n"/>
      <c r="B374" s="6">
        <f>IF(A374="","",IFERROR(INT((A374-DATE(2026,4,27))/7)+1,""))</f>
        <v/>
      </c>
      <c r="C374" s="6" t="n"/>
      <c r="D374" s="6" t="n"/>
      <c r="E374" s="6" t="n"/>
      <c r="F374" s="6" t="n"/>
      <c r="G374" s="7" t="n"/>
      <c r="H374" s="6" t="n"/>
      <c r="I374" s="8">
        <f>IF(OR(F374="",G374=""),"",F374*G374)</f>
        <v/>
      </c>
      <c r="J374" s="6" t="n"/>
    </row>
    <row r="375">
      <c r="A375" s="5" t="n"/>
      <c r="B375" s="6">
        <f>IF(A375="","",IFERROR(INT((A375-DATE(2026,4,27))/7)+1,""))</f>
        <v/>
      </c>
      <c r="C375" s="6" t="n"/>
      <c r="D375" s="6" t="n"/>
      <c r="E375" s="6" t="n"/>
      <c r="F375" s="6" t="n"/>
      <c r="G375" s="7" t="n"/>
      <c r="H375" s="6" t="n"/>
      <c r="I375" s="8">
        <f>IF(OR(F375="",G375=""),"",F375*G375)</f>
        <v/>
      </c>
      <c r="J375" s="6" t="n"/>
    </row>
    <row r="376">
      <c r="A376" s="5" t="n"/>
      <c r="B376" s="6">
        <f>IF(A376="","",IFERROR(INT((A376-DATE(2026,4,27))/7)+1,""))</f>
        <v/>
      </c>
      <c r="C376" s="6" t="n"/>
      <c r="D376" s="6" t="n"/>
      <c r="E376" s="6" t="n"/>
      <c r="F376" s="6" t="n"/>
      <c r="G376" s="7" t="n"/>
      <c r="H376" s="6" t="n"/>
      <c r="I376" s="8">
        <f>IF(OR(F376="",G376=""),"",F376*G376)</f>
        <v/>
      </c>
      <c r="J376" s="6" t="n"/>
    </row>
    <row r="377">
      <c r="A377" s="5" t="n"/>
      <c r="B377" s="6">
        <f>IF(A377="","",IFERROR(INT((A377-DATE(2026,4,27))/7)+1,""))</f>
        <v/>
      </c>
      <c r="C377" s="6" t="n"/>
      <c r="D377" s="6" t="n"/>
      <c r="E377" s="6" t="n"/>
      <c r="F377" s="6" t="n"/>
      <c r="G377" s="7" t="n"/>
      <c r="H377" s="6" t="n"/>
      <c r="I377" s="8">
        <f>IF(OR(F377="",G377=""),"",F377*G377)</f>
        <v/>
      </c>
      <c r="J377" s="6" t="n"/>
    </row>
    <row r="378">
      <c r="A378" s="5" t="n"/>
      <c r="B378" s="6">
        <f>IF(A378="","",IFERROR(INT((A378-DATE(2026,4,27))/7)+1,""))</f>
        <v/>
      </c>
      <c r="C378" s="6" t="n"/>
      <c r="D378" s="6" t="n"/>
      <c r="E378" s="6" t="n"/>
      <c r="F378" s="6" t="n"/>
      <c r="G378" s="7" t="n"/>
      <c r="H378" s="6" t="n"/>
      <c r="I378" s="8">
        <f>IF(OR(F378="",G378=""),"",F378*G378)</f>
        <v/>
      </c>
      <c r="J378" s="6" t="n"/>
    </row>
    <row r="379">
      <c r="A379" s="5" t="n"/>
      <c r="B379" s="6">
        <f>IF(A379="","",IFERROR(INT((A379-DATE(2026,4,27))/7)+1,""))</f>
        <v/>
      </c>
      <c r="C379" s="6" t="n"/>
      <c r="D379" s="6" t="n"/>
      <c r="E379" s="6" t="n"/>
      <c r="F379" s="6" t="n"/>
      <c r="G379" s="7" t="n"/>
      <c r="H379" s="6" t="n"/>
      <c r="I379" s="8">
        <f>IF(OR(F379="",G379=""),"",F379*G379)</f>
        <v/>
      </c>
      <c r="J379" s="6" t="n"/>
    </row>
    <row r="380">
      <c r="A380" s="5" t="n"/>
      <c r="B380" s="6">
        <f>IF(A380="","",IFERROR(INT((A380-DATE(2026,4,27))/7)+1,""))</f>
        <v/>
      </c>
      <c r="C380" s="6" t="n"/>
      <c r="D380" s="6" t="n"/>
      <c r="E380" s="6" t="n"/>
      <c r="F380" s="6" t="n"/>
      <c r="G380" s="7" t="n"/>
      <c r="H380" s="6" t="n"/>
      <c r="I380" s="8">
        <f>IF(OR(F380="",G380=""),"",F380*G380)</f>
        <v/>
      </c>
      <c r="J380" s="6" t="n"/>
    </row>
    <row r="381">
      <c r="A381" s="5" t="n"/>
      <c r="B381" s="6">
        <f>IF(A381="","",IFERROR(INT((A381-DATE(2026,4,27))/7)+1,""))</f>
        <v/>
      </c>
      <c r="C381" s="6" t="n"/>
      <c r="D381" s="6" t="n"/>
      <c r="E381" s="6" t="n"/>
      <c r="F381" s="6" t="n"/>
      <c r="G381" s="7" t="n"/>
      <c r="H381" s="6" t="n"/>
      <c r="I381" s="8">
        <f>IF(OR(F381="",G381=""),"",F381*G381)</f>
        <v/>
      </c>
      <c r="J381" s="6" t="n"/>
    </row>
    <row r="382">
      <c r="A382" s="5" t="n"/>
      <c r="B382" s="6">
        <f>IF(A382="","",IFERROR(INT((A382-DATE(2026,4,27))/7)+1,""))</f>
        <v/>
      </c>
      <c r="C382" s="6" t="n"/>
      <c r="D382" s="6" t="n"/>
      <c r="E382" s="6" t="n"/>
      <c r="F382" s="6" t="n"/>
      <c r="G382" s="7" t="n"/>
      <c r="H382" s="6" t="n"/>
      <c r="I382" s="8">
        <f>IF(OR(F382="",G382=""),"",F382*G382)</f>
        <v/>
      </c>
      <c r="J382" s="6" t="n"/>
    </row>
    <row r="383">
      <c r="A383" s="5" t="n"/>
      <c r="B383" s="6">
        <f>IF(A383="","",IFERROR(INT((A383-DATE(2026,4,27))/7)+1,""))</f>
        <v/>
      </c>
      <c r="C383" s="6" t="n"/>
      <c r="D383" s="6" t="n"/>
      <c r="E383" s="6" t="n"/>
      <c r="F383" s="6" t="n"/>
      <c r="G383" s="7" t="n"/>
      <c r="H383" s="6" t="n"/>
      <c r="I383" s="8">
        <f>IF(OR(F383="",G383=""),"",F383*G383)</f>
        <v/>
      </c>
      <c r="J383" s="6" t="n"/>
    </row>
    <row r="384">
      <c r="A384" s="5" t="n"/>
      <c r="B384" s="6">
        <f>IF(A384="","",IFERROR(INT((A384-DATE(2026,4,27))/7)+1,""))</f>
        <v/>
      </c>
      <c r="C384" s="6" t="n"/>
      <c r="D384" s="6" t="n"/>
      <c r="E384" s="6" t="n"/>
      <c r="F384" s="6" t="n"/>
      <c r="G384" s="7" t="n"/>
      <c r="H384" s="6" t="n"/>
      <c r="I384" s="8">
        <f>IF(OR(F384="",G384=""),"",F384*G384)</f>
        <v/>
      </c>
      <c r="J384" s="6" t="n"/>
    </row>
    <row r="385">
      <c r="A385" s="5" t="n"/>
      <c r="B385" s="6">
        <f>IF(A385="","",IFERROR(INT((A385-DATE(2026,4,27))/7)+1,""))</f>
        <v/>
      </c>
      <c r="C385" s="6" t="n"/>
      <c r="D385" s="6" t="n"/>
      <c r="E385" s="6" t="n"/>
      <c r="F385" s="6" t="n"/>
      <c r="G385" s="7" t="n"/>
      <c r="H385" s="6" t="n"/>
      <c r="I385" s="8">
        <f>IF(OR(F385="",G385=""),"",F385*G385)</f>
        <v/>
      </c>
      <c r="J385" s="6" t="n"/>
    </row>
    <row r="386">
      <c r="A386" s="5" t="n"/>
      <c r="B386" s="6">
        <f>IF(A386="","",IFERROR(INT((A386-DATE(2026,4,27))/7)+1,""))</f>
        <v/>
      </c>
      <c r="C386" s="6" t="n"/>
      <c r="D386" s="6" t="n"/>
      <c r="E386" s="6" t="n"/>
      <c r="F386" s="6" t="n"/>
      <c r="G386" s="7" t="n"/>
      <c r="H386" s="6" t="n"/>
      <c r="I386" s="8">
        <f>IF(OR(F386="",G386=""),"",F386*G386)</f>
        <v/>
      </c>
      <c r="J386" s="6" t="n"/>
    </row>
    <row r="387">
      <c r="A387" s="5" t="n"/>
      <c r="B387" s="6">
        <f>IF(A387="","",IFERROR(INT((A387-DATE(2026,4,27))/7)+1,""))</f>
        <v/>
      </c>
      <c r="C387" s="6" t="n"/>
      <c r="D387" s="6" t="n"/>
      <c r="E387" s="6" t="n"/>
      <c r="F387" s="6" t="n"/>
      <c r="G387" s="7" t="n"/>
      <c r="H387" s="6" t="n"/>
      <c r="I387" s="8">
        <f>IF(OR(F387="",G387=""),"",F387*G387)</f>
        <v/>
      </c>
      <c r="J387" s="6" t="n"/>
    </row>
    <row r="388">
      <c r="A388" s="5" t="n"/>
      <c r="B388" s="6">
        <f>IF(A388="","",IFERROR(INT((A388-DATE(2026,4,27))/7)+1,""))</f>
        <v/>
      </c>
      <c r="C388" s="6" t="n"/>
      <c r="D388" s="6" t="n"/>
      <c r="E388" s="6" t="n"/>
      <c r="F388" s="6" t="n"/>
      <c r="G388" s="7" t="n"/>
      <c r="H388" s="6" t="n"/>
      <c r="I388" s="8">
        <f>IF(OR(F388="",G388=""),"",F388*G388)</f>
        <v/>
      </c>
      <c r="J388" s="6" t="n"/>
    </row>
    <row r="389">
      <c r="A389" s="5" t="n"/>
      <c r="B389" s="6">
        <f>IF(A389="","",IFERROR(INT((A389-DATE(2026,4,27))/7)+1,""))</f>
        <v/>
      </c>
      <c r="C389" s="6" t="n"/>
      <c r="D389" s="6" t="n"/>
      <c r="E389" s="6" t="n"/>
      <c r="F389" s="6" t="n"/>
      <c r="G389" s="7" t="n"/>
      <c r="H389" s="6" t="n"/>
      <c r="I389" s="8">
        <f>IF(OR(F389="",G389=""),"",F389*G389)</f>
        <v/>
      </c>
      <c r="J389" s="6" t="n"/>
    </row>
    <row r="390">
      <c r="A390" s="5" t="n"/>
      <c r="B390" s="6">
        <f>IF(A390="","",IFERROR(INT((A390-DATE(2026,4,27))/7)+1,""))</f>
        <v/>
      </c>
      <c r="C390" s="6" t="n"/>
      <c r="D390" s="6" t="n"/>
      <c r="E390" s="6" t="n"/>
      <c r="F390" s="6" t="n"/>
      <c r="G390" s="7" t="n"/>
      <c r="H390" s="6" t="n"/>
      <c r="I390" s="8">
        <f>IF(OR(F390="",G390=""),"",F390*G390)</f>
        <v/>
      </c>
      <c r="J390" s="6" t="n"/>
    </row>
    <row r="391">
      <c r="A391" s="5" t="n"/>
      <c r="B391" s="6">
        <f>IF(A391="","",IFERROR(INT((A391-DATE(2026,4,27))/7)+1,""))</f>
        <v/>
      </c>
      <c r="C391" s="6" t="n"/>
      <c r="D391" s="6" t="n"/>
      <c r="E391" s="6" t="n"/>
      <c r="F391" s="6" t="n"/>
      <c r="G391" s="7" t="n"/>
      <c r="H391" s="6" t="n"/>
      <c r="I391" s="8">
        <f>IF(OR(F391="",G391=""),"",F391*G391)</f>
        <v/>
      </c>
      <c r="J391" s="6" t="n"/>
    </row>
    <row r="392">
      <c r="A392" s="5" t="n"/>
      <c r="B392" s="6">
        <f>IF(A392="","",IFERROR(INT((A392-DATE(2026,4,27))/7)+1,""))</f>
        <v/>
      </c>
      <c r="C392" s="6" t="n"/>
      <c r="D392" s="6" t="n"/>
      <c r="E392" s="6" t="n"/>
      <c r="F392" s="6" t="n"/>
      <c r="G392" s="7" t="n"/>
      <c r="H392" s="6" t="n"/>
      <c r="I392" s="8">
        <f>IF(OR(F392="",G392=""),"",F392*G392)</f>
        <v/>
      </c>
      <c r="J392" s="6" t="n"/>
    </row>
    <row r="393">
      <c r="A393" s="5" t="n"/>
      <c r="B393" s="6">
        <f>IF(A393="","",IFERROR(INT((A393-DATE(2026,4,27))/7)+1,""))</f>
        <v/>
      </c>
      <c r="C393" s="6" t="n"/>
      <c r="D393" s="6" t="n"/>
      <c r="E393" s="6" t="n"/>
      <c r="F393" s="6" t="n"/>
      <c r="G393" s="7" t="n"/>
      <c r="H393" s="6" t="n"/>
      <c r="I393" s="8">
        <f>IF(OR(F393="",G393=""),"",F393*G393)</f>
        <v/>
      </c>
      <c r="J393" s="6" t="n"/>
    </row>
    <row r="394">
      <c r="A394" s="5" t="n"/>
      <c r="B394" s="6">
        <f>IF(A394="","",IFERROR(INT((A394-DATE(2026,4,27))/7)+1,""))</f>
        <v/>
      </c>
      <c r="C394" s="6" t="n"/>
      <c r="D394" s="6" t="n"/>
      <c r="E394" s="6" t="n"/>
      <c r="F394" s="6" t="n"/>
      <c r="G394" s="7" t="n"/>
      <c r="H394" s="6" t="n"/>
      <c r="I394" s="8">
        <f>IF(OR(F394="",G394=""),"",F394*G394)</f>
        <v/>
      </c>
      <c r="J394" s="6" t="n"/>
    </row>
    <row r="395">
      <c r="A395" s="5" t="n"/>
      <c r="B395" s="6">
        <f>IF(A395="","",IFERROR(INT((A395-DATE(2026,4,27))/7)+1,""))</f>
        <v/>
      </c>
      <c r="C395" s="6" t="n"/>
      <c r="D395" s="6" t="n"/>
      <c r="E395" s="6" t="n"/>
      <c r="F395" s="6" t="n"/>
      <c r="G395" s="7" t="n"/>
      <c r="H395" s="6" t="n"/>
      <c r="I395" s="8">
        <f>IF(OR(F395="",G395=""),"",F395*G395)</f>
        <v/>
      </c>
      <c r="J395" s="6" t="n"/>
    </row>
    <row r="396">
      <c r="A396" s="5" t="n"/>
      <c r="B396" s="6">
        <f>IF(A396="","",IFERROR(INT((A396-DATE(2026,4,27))/7)+1,""))</f>
        <v/>
      </c>
      <c r="C396" s="6" t="n"/>
      <c r="D396" s="6" t="n"/>
      <c r="E396" s="6" t="n"/>
      <c r="F396" s="6" t="n"/>
      <c r="G396" s="7" t="n"/>
      <c r="H396" s="6" t="n"/>
      <c r="I396" s="8">
        <f>IF(OR(F396="",G396=""),"",F396*G396)</f>
        <v/>
      </c>
      <c r="J396" s="6" t="n"/>
    </row>
    <row r="397">
      <c r="A397" s="5" t="n"/>
      <c r="B397" s="6">
        <f>IF(A397="","",IFERROR(INT((A397-DATE(2026,4,27))/7)+1,""))</f>
        <v/>
      </c>
      <c r="C397" s="6" t="n"/>
      <c r="D397" s="6" t="n"/>
      <c r="E397" s="6" t="n"/>
      <c r="F397" s="6" t="n"/>
      <c r="G397" s="7" t="n"/>
      <c r="H397" s="6" t="n"/>
      <c r="I397" s="8">
        <f>IF(OR(F397="",G397=""),"",F397*G397)</f>
        <v/>
      </c>
      <c r="J397" s="6" t="n"/>
    </row>
    <row r="398">
      <c r="A398" s="5" t="n"/>
      <c r="B398" s="6">
        <f>IF(A398="","",IFERROR(INT((A398-DATE(2026,4,27))/7)+1,""))</f>
        <v/>
      </c>
      <c r="C398" s="6" t="n"/>
      <c r="D398" s="6" t="n"/>
      <c r="E398" s="6" t="n"/>
      <c r="F398" s="6" t="n"/>
      <c r="G398" s="7" t="n"/>
      <c r="H398" s="6" t="n"/>
      <c r="I398" s="8">
        <f>IF(OR(F398="",G398=""),"",F398*G398)</f>
        <v/>
      </c>
      <c r="J398" s="6" t="n"/>
    </row>
    <row r="399">
      <c r="A399" s="5" t="n"/>
      <c r="B399" s="6">
        <f>IF(A399="","",IFERROR(INT((A399-DATE(2026,4,27))/7)+1,""))</f>
        <v/>
      </c>
      <c r="C399" s="6" t="n"/>
      <c r="D399" s="6" t="n"/>
      <c r="E399" s="6" t="n"/>
      <c r="F399" s="6" t="n"/>
      <c r="G399" s="7" t="n"/>
      <c r="H399" s="6" t="n"/>
      <c r="I399" s="8">
        <f>IF(OR(F399="",G399=""),"",F399*G399)</f>
        <v/>
      </c>
      <c r="J399" s="6" t="n"/>
    </row>
    <row r="400">
      <c r="A400" s="5" t="n"/>
      <c r="B400" s="6">
        <f>IF(A400="","",IFERROR(INT((A400-DATE(2026,4,27))/7)+1,""))</f>
        <v/>
      </c>
      <c r="C400" s="6" t="n"/>
      <c r="D400" s="6" t="n"/>
      <c r="E400" s="6" t="n"/>
      <c r="F400" s="6" t="n"/>
      <c r="G400" s="7" t="n"/>
      <c r="H400" s="6" t="n"/>
      <c r="I400" s="8">
        <f>IF(OR(F400="",G400=""),"",F400*G400)</f>
        <v/>
      </c>
      <c r="J400" s="6" t="n"/>
    </row>
    <row r="401">
      <c r="A401" s="5" t="n"/>
      <c r="B401" s="6">
        <f>IF(A401="","",IFERROR(INT((A401-DATE(2026,4,27))/7)+1,""))</f>
        <v/>
      </c>
      <c r="C401" s="6" t="n"/>
      <c r="D401" s="6" t="n"/>
      <c r="E401" s="6" t="n"/>
      <c r="F401" s="6" t="n"/>
      <c r="G401" s="7" t="n"/>
      <c r="H401" s="6" t="n"/>
      <c r="I401" s="8">
        <f>IF(OR(F401="",G401=""),"",F401*G401)</f>
        <v/>
      </c>
      <c r="J401" s="6" t="n"/>
    </row>
    <row r="402">
      <c r="A402" s="5" t="n"/>
      <c r="B402" s="6">
        <f>IF(A402="","",IFERROR(INT((A402-DATE(2026,4,27))/7)+1,""))</f>
        <v/>
      </c>
      <c r="C402" s="6" t="n"/>
      <c r="D402" s="6" t="n"/>
      <c r="E402" s="6" t="n"/>
      <c r="F402" s="6" t="n"/>
      <c r="G402" s="7" t="n"/>
      <c r="H402" s="6" t="n"/>
      <c r="I402" s="8">
        <f>IF(OR(F402="",G402=""),"",F402*G402)</f>
        <v/>
      </c>
      <c r="J402" s="6" t="n"/>
    </row>
    <row r="403">
      <c r="A403" s="5" t="n"/>
      <c r="B403" s="6">
        <f>IF(A403="","",IFERROR(INT((A403-DATE(2026,4,27))/7)+1,""))</f>
        <v/>
      </c>
      <c r="C403" s="6" t="n"/>
      <c r="D403" s="6" t="n"/>
      <c r="E403" s="6" t="n"/>
      <c r="F403" s="6" t="n"/>
      <c r="G403" s="7" t="n"/>
      <c r="H403" s="6" t="n"/>
      <c r="I403" s="8">
        <f>IF(OR(F403="",G403=""),"",F403*G403)</f>
        <v/>
      </c>
      <c r="J403" s="6" t="n"/>
    </row>
    <row r="404">
      <c r="A404" s="5" t="n"/>
      <c r="B404" s="6">
        <f>IF(A404="","",IFERROR(INT((A404-DATE(2026,4,27))/7)+1,""))</f>
        <v/>
      </c>
      <c r="C404" s="6" t="n"/>
      <c r="D404" s="6" t="n"/>
      <c r="E404" s="6" t="n"/>
      <c r="F404" s="6" t="n"/>
      <c r="G404" s="7" t="n"/>
      <c r="H404" s="6" t="n"/>
      <c r="I404" s="8">
        <f>IF(OR(F404="",G404=""),"",F404*G404)</f>
        <v/>
      </c>
      <c r="J404" s="6" t="n"/>
    </row>
    <row r="405">
      <c r="A405" s="5" t="n"/>
      <c r="B405" s="6">
        <f>IF(A405="","",IFERROR(INT((A405-DATE(2026,4,27))/7)+1,""))</f>
        <v/>
      </c>
      <c r="C405" s="6" t="n"/>
      <c r="D405" s="6" t="n"/>
      <c r="E405" s="6" t="n"/>
      <c r="F405" s="6" t="n"/>
      <c r="G405" s="7" t="n"/>
      <c r="H405" s="6" t="n"/>
      <c r="I405" s="8">
        <f>IF(OR(F405="",G405=""),"",F405*G405)</f>
        <v/>
      </c>
      <c r="J405" s="6" t="n"/>
    </row>
    <row r="406">
      <c r="A406" s="5" t="n"/>
      <c r="B406" s="6">
        <f>IF(A406="","",IFERROR(INT((A406-DATE(2026,4,27))/7)+1,""))</f>
        <v/>
      </c>
      <c r="C406" s="6" t="n"/>
      <c r="D406" s="6" t="n"/>
      <c r="E406" s="6" t="n"/>
      <c r="F406" s="6" t="n"/>
      <c r="G406" s="7" t="n"/>
      <c r="H406" s="6" t="n"/>
      <c r="I406" s="8">
        <f>IF(OR(F406="",G406=""),"",F406*G406)</f>
        <v/>
      </c>
      <c r="J406" s="6" t="n"/>
    </row>
    <row r="407">
      <c r="A407" s="5" t="n"/>
      <c r="B407" s="6">
        <f>IF(A407="","",IFERROR(INT((A407-DATE(2026,4,27))/7)+1,""))</f>
        <v/>
      </c>
      <c r="C407" s="6" t="n"/>
      <c r="D407" s="6" t="n"/>
      <c r="E407" s="6" t="n"/>
      <c r="F407" s="6" t="n"/>
      <c r="G407" s="7" t="n"/>
      <c r="H407" s="6" t="n"/>
      <c r="I407" s="8">
        <f>IF(OR(F407="",G407=""),"",F407*G407)</f>
        <v/>
      </c>
      <c r="J407" s="6" t="n"/>
    </row>
    <row r="408">
      <c r="A408" s="5" t="n"/>
      <c r="B408" s="6">
        <f>IF(A408="","",IFERROR(INT((A408-DATE(2026,4,27))/7)+1,""))</f>
        <v/>
      </c>
      <c r="C408" s="6" t="n"/>
      <c r="D408" s="6" t="n"/>
      <c r="E408" s="6" t="n"/>
      <c r="F408" s="6" t="n"/>
      <c r="G408" s="7" t="n"/>
      <c r="H408" s="6" t="n"/>
      <c r="I408" s="8">
        <f>IF(OR(F408="",G408=""),"",F408*G408)</f>
        <v/>
      </c>
      <c r="J408" s="6" t="n"/>
    </row>
    <row r="409">
      <c r="A409" s="5" t="n"/>
      <c r="B409" s="6">
        <f>IF(A409="","",IFERROR(INT((A409-DATE(2026,4,27))/7)+1,""))</f>
        <v/>
      </c>
      <c r="C409" s="6" t="n"/>
      <c r="D409" s="6" t="n"/>
      <c r="E409" s="6" t="n"/>
      <c r="F409" s="6" t="n"/>
      <c r="G409" s="7" t="n"/>
      <c r="H409" s="6" t="n"/>
      <c r="I409" s="8">
        <f>IF(OR(F409="",G409=""),"",F409*G409)</f>
        <v/>
      </c>
      <c r="J409" s="6" t="n"/>
    </row>
    <row r="410">
      <c r="A410" s="5" t="n"/>
      <c r="B410" s="6">
        <f>IF(A410="","",IFERROR(INT((A410-DATE(2026,4,27))/7)+1,""))</f>
        <v/>
      </c>
      <c r="C410" s="6" t="n"/>
      <c r="D410" s="6" t="n"/>
      <c r="E410" s="6" t="n"/>
      <c r="F410" s="6" t="n"/>
      <c r="G410" s="7" t="n"/>
      <c r="H410" s="6" t="n"/>
      <c r="I410" s="8">
        <f>IF(OR(F410="",G410=""),"",F410*G410)</f>
        <v/>
      </c>
      <c r="J410" s="6" t="n"/>
    </row>
    <row r="411">
      <c r="A411" s="5" t="n"/>
      <c r="B411" s="6">
        <f>IF(A411="","",IFERROR(INT((A411-DATE(2026,4,27))/7)+1,""))</f>
        <v/>
      </c>
      <c r="C411" s="6" t="n"/>
      <c r="D411" s="6" t="n"/>
      <c r="E411" s="6" t="n"/>
      <c r="F411" s="6" t="n"/>
      <c r="G411" s="7" t="n"/>
      <c r="H411" s="6" t="n"/>
      <c r="I411" s="8">
        <f>IF(OR(F411="",G411=""),"",F411*G411)</f>
        <v/>
      </c>
      <c r="J411" s="6" t="n"/>
    </row>
    <row r="412">
      <c r="A412" s="5" t="n"/>
      <c r="B412" s="6">
        <f>IF(A412="","",IFERROR(INT((A412-DATE(2026,4,27))/7)+1,""))</f>
        <v/>
      </c>
      <c r="C412" s="6" t="n"/>
      <c r="D412" s="6" t="n"/>
      <c r="E412" s="6" t="n"/>
      <c r="F412" s="6" t="n"/>
      <c r="G412" s="7" t="n"/>
      <c r="H412" s="6" t="n"/>
      <c r="I412" s="8">
        <f>IF(OR(F412="",G412=""),"",F412*G412)</f>
        <v/>
      </c>
      <c r="J412" s="6" t="n"/>
    </row>
    <row r="413">
      <c r="A413" s="5" t="n"/>
      <c r="B413" s="6">
        <f>IF(A413="","",IFERROR(INT((A413-DATE(2026,4,27))/7)+1,""))</f>
        <v/>
      </c>
      <c r="C413" s="6" t="n"/>
      <c r="D413" s="6" t="n"/>
      <c r="E413" s="6" t="n"/>
      <c r="F413" s="6" t="n"/>
      <c r="G413" s="7" t="n"/>
      <c r="H413" s="6" t="n"/>
      <c r="I413" s="8">
        <f>IF(OR(F413="",G413=""),"",F413*G413)</f>
        <v/>
      </c>
      <c r="J413" s="6" t="n"/>
    </row>
    <row r="414">
      <c r="A414" s="5" t="n"/>
      <c r="B414" s="6">
        <f>IF(A414="","",IFERROR(INT((A414-DATE(2026,4,27))/7)+1,""))</f>
        <v/>
      </c>
      <c r="C414" s="6" t="n"/>
      <c r="D414" s="6" t="n"/>
      <c r="E414" s="6" t="n"/>
      <c r="F414" s="6" t="n"/>
      <c r="G414" s="7" t="n"/>
      <c r="H414" s="6" t="n"/>
      <c r="I414" s="8">
        <f>IF(OR(F414="",G414=""),"",F414*G414)</f>
        <v/>
      </c>
      <c r="J414" s="6" t="n"/>
    </row>
    <row r="415">
      <c r="A415" s="5" t="n"/>
      <c r="B415" s="6">
        <f>IF(A415="","",IFERROR(INT((A415-DATE(2026,4,27))/7)+1,""))</f>
        <v/>
      </c>
      <c r="C415" s="6" t="n"/>
      <c r="D415" s="6" t="n"/>
      <c r="E415" s="6" t="n"/>
      <c r="F415" s="6" t="n"/>
      <c r="G415" s="7" t="n"/>
      <c r="H415" s="6" t="n"/>
      <c r="I415" s="8">
        <f>IF(OR(F415="",G415=""),"",F415*G415)</f>
        <v/>
      </c>
      <c r="J415" s="6" t="n"/>
    </row>
    <row r="416">
      <c r="A416" s="5" t="n"/>
      <c r="B416" s="6">
        <f>IF(A416="","",IFERROR(INT((A416-DATE(2026,4,27))/7)+1,""))</f>
        <v/>
      </c>
      <c r="C416" s="6" t="n"/>
      <c r="D416" s="6" t="n"/>
      <c r="E416" s="6" t="n"/>
      <c r="F416" s="6" t="n"/>
      <c r="G416" s="7" t="n"/>
      <c r="H416" s="6" t="n"/>
      <c r="I416" s="8">
        <f>IF(OR(F416="",G416=""),"",F416*G416)</f>
        <v/>
      </c>
      <c r="J416" s="6" t="n"/>
    </row>
    <row r="417">
      <c r="A417" s="5" t="n"/>
      <c r="B417" s="6">
        <f>IF(A417="","",IFERROR(INT((A417-DATE(2026,4,27))/7)+1,""))</f>
        <v/>
      </c>
      <c r="C417" s="6" t="n"/>
      <c r="D417" s="6" t="n"/>
      <c r="E417" s="6" t="n"/>
      <c r="F417" s="6" t="n"/>
      <c r="G417" s="7" t="n"/>
      <c r="H417" s="6" t="n"/>
      <c r="I417" s="8">
        <f>IF(OR(F417="",G417=""),"",F417*G417)</f>
        <v/>
      </c>
      <c r="J417" s="6" t="n"/>
    </row>
    <row r="418">
      <c r="A418" s="5" t="n"/>
      <c r="B418" s="6">
        <f>IF(A418="","",IFERROR(INT((A418-DATE(2026,4,27))/7)+1,""))</f>
        <v/>
      </c>
      <c r="C418" s="6" t="n"/>
      <c r="D418" s="6" t="n"/>
      <c r="E418" s="6" t="n"/>
      <c r="F418" s="6" t="n"/>
      <c r="G418" s="7" t="n"/>
      <c r="H418" s="6" t="n"/>
      <c r="I418" s="8">
        <f>IF(OR(F418="",G418=""),"",F418*G418)</f>
        <v/>
      </c>
      <c r="J418" s="6" t="n"/>
    </row>
    <row r="419">
      <c r="A419" s="5" t="n"/>
      <c r="B419" s="6">
        <f>IF(A419="","",IFERROR(INT((A419-DATE(2026,4,27))/7)+1,""))</f>
        <v/>
      </c>
      <c r="C419" s="6" t="n"/>
      <c r="D419" s="6" t="n"/>
      <c r="E419" s="6" t="n"/>
      <c r="F419" s="6" t="n"/>
      <c r="G419" s="7" t="n"/>
      <c r="H419" s="6" t="n"/>
      <c r="I419" s="8">
        <f>IF(OR(F419="",G419=""),"",F419*G419)</f>
        <v/>
      </c>
      <c r="J419" s="6" t="n"/>
    </row>
    <row r="420">
      <c r="A420" s="5" t="n"/>
      <c r="B420" s="6">
        <f>IF(A420="","",IFERROR(INT((A420-DATE(2026,4,27))/7)+1,""))</f>
        <v/>
      </c>
      <c r="C420" s="6" t="n"/>
      <c r="D420" s="6" t="n"/>
      <c r="E420" s="6" t="n"/>
      <c r="F420" s="6" t="n"/>
      <c r="G420" s="7" t="n"/>
      <c r="H420" s="6" t="n"/>
      <c r="I420" s="8">
        <f>IF(OR(F420="",G420=""),"",F420*G420)</f>
        <v/>
      </c>
      <c r="J420" s="6" t="n"/>
    </row>
    <row r="421">
      <c r="A421" s="5" t="n"/>
      <c r="B421" s="6">
        <f>IF(A421="","",IFERROR(INT((A421-DATE(2026,4,27))/7)+1,""))</f>
        <v/>
      </c>
      <c r="C421" s="6" t="n"/>
      <c r="D421" s="6" t="n"/>
      <c r="E421" s="6" t="n"/>
      <c r="F421" s="6" t="n"/>
      <c r="G421" s="7" t="n"/>
      <c r="H421" s="6" t="n"/>
      <c r="I421" s="8">
        <f>IF(OR(F421="",G421=""),"",F421*G421)</f>
        <v/>
      </c>
      <c r="J421" s="6" t="n"/>
    </row>
    <row r="422">
      <c r="A422" s="5" t="n"/>
      <c r="B422" s="6">
        <f>IF(A422="","",IFERROR(INT((A422-DATE(2026,4,27))/7)+1,""))</f>
        <v/>
      </c>
      <c r="C422" s="6" t="n"/>
      <c r="D422" s="6" t="n"/>
      <c r="E422" s="6" t="n"/>
      <c r="F422" s="6" t="n"/>
      <c r="G422" s="7" t="n"/>
      <c r="H422" s="6" t="n"/>
      <c r="I422" s="8">
        <f>IF(OR(F422="",G422=""),"",F422*G422)</f>
        <v/>
      </c>
      <c r="J422" s="6" t="n"/>
    </row>
    <row r="423">
      <c r="A423" s="5" t="n"/>
      <c r="B423" s="6">
        <f>IF(A423="","",IFERROR(INT((A423-DATE(2026,4,27))/7)+1,""))</f>
        <v/>
      </c>
      <c r="C423" s="6" t="n"/>
      <c r="D423" s="6" t="n"/>
      <c r="E423" s="6" t="n"/>
      <c r="F423" s="6" t="n"/>
      <c r="G423" s="7" t="n"/>
      <c r="H423" s="6" t="n"/>
      <c r="I423" s="8">
        <f>IF(OR(F423="",G423=""),"",F423*G423)</f>
        <v/>
      </c>
      <c r="J423" s="6" t="n"/>
    </row>
    <row r="424">
      <c r="A424" s="5" t="n"/>
      <c r="B424" s="6">
        <f>IF(A424="","",IFERROR(INT((A424-DATE(2026,4,27))/7)+1,""))</f>
        <v/>
      </c>
      <c r="C424" s="6" t="n"/>
      <c r="D424" s="6" t="n"/>
      <c r="E424" s="6" t="n"/>
      <c r="F424" s="6" t="n"/>
      <c r="G424" s="7" t="n"/>
      <c r="H424" s="6" t="n"/>
      <c r="I424" s="8">
        <f>IF(OR(F424="",G424=""),"",F424*G424)</f>
        <v/>
      </c>
      <c r="J424" s="6" t="n"/>
    </row>
    <row r="425">
      <c r="A425" s="5" t="n"/>
      <c r="B425" s="6">
        <f>IF(A425="","",IFERROR(INT((A425-DATE(2026,4,27))/7)+1,""))</f>
        <v/>
      </c>
      <c r="C425" s="6" t="n"/>
      <c r="D425" s="6" t="n"/>
      <c r="E425" s="6" t="n"/>
      <c r="F425" s="6" t="n"/>
      <c r="G425" s="7" t="n"/>
      <c r="H425" s="6" t="n"/>
      <c r="I425" s="8">
        <f>IF(OR(F425="",G425=""),"",F425*G425)</f>
        <v/>
      </c>
      <c r="J425" s="6" t="n"/>
    </row>
    <row r="426">
      <c r="A426" s="5" t="n"/>
      <c r="B426" s="6">
        <f>IF(A426="","",IFERROR(INT((A426-DATE(2026,4,27))/7)+1,""))</f>
        <v/>
      </c>
      <c r="C426" s="6" t="n"/>
      <c r="D426" s="6" t="n"/>
      <c r="E426" s="6" t="n"/>
      <c r="F426" s="6" t="n"/>
      <c r="G426" s="7" t="n"/>
      <c r="H426" s="6" t="n"/>
      <c r="I426" s="8">
        <f>IF(OR(F426="",G426=""),"",F426*G426)</f>
        <v/>
      </c>
      <c r="J426" s="6" t="n"/>
    </row>
    <row r="427">
      <c r="A427" s="5" t="n"/>
      <c r="B427" s="6">
        <f>IF(A427="","",IFERROR(INT((A427-DATE(2026,4,27))/7)+1,""))</f>
        <v/>
      </c>
      <c r="C427" s="6" t="n"/>
      <c r="D427" s="6" t="n"/>
      <c r="E427" s="6" t="n"/>
      <c r="F427" s="6" t="n"/>
      <c r="G427" s="7" t="n"/>
      <c r="H427" s="6" t="n"/>
      <c r="I427" s="8">
        <f>IF(OR(F427="",G427=""),"",F427*G427)</f>
        <v/>
      </c>
      <c r="J427" s="6" t="n"/>
    </row>
    <row r="428">
      <c r="A428" s="5" t="n"/>
      <c r="B428" s="6">
        <f>IF(A428="","",IFERROR(INT((A428-DATE(2026,4,27))/7)+1,""))</f>
        <v/>
      </c>
      <c r="C428" s="6" t="n"/>
      <c r="D428" s="6" t="n"/>
      <c r="E428" s="6" t="n"/>
      <c r="F428" s="6" t="n"/>
      <c r="G428" s="7" t="n"/>
      <c r="H428" s="6" t="n"/>
      <c r="I428" s="8">
        <f>IF(OR(F428="",G428=""),"",F428*G428)</f>
        <v/>
      </c>
      <c r="J428" s="6" t="n"/>
    </row>
    <row r="429">
      <c r="A429" s="5" t="n"/>
      <c r="B429" s="6">
        <f>IF(A429="","",IFERROR(INT((A429-DATE(2026,4,27))/7)+1,""))</f>
        <v/>
      </c>
      <c r="C429" s="6" t="n"/>
      <c r="D429" s="6" t="n"/>
      <c r="E429" s="6" t="n"/>
      <c r="F429" s="6" t="n"/>
      <c r="G429" s="7" t="n"/>
      <c r="H429" s="6" t="n"/>
      <c r="I429" s="8">
        <f>IF(OR(F429="",G429=""),"",F429*G429)</f>
        <v/>
      </c>
      <c r="J429" s="6" t="n"/>
    </row>
    <row r="430">
      <c r="A430" s="5" t="n"/>
      <c r="B430" s="6">
        <f>IF(A430="","",IFERROR(INT((A430-DATE(2026,4,27))/7)+1,""))</f>
        <v/>
      </c>
      <c r="C430" s="6" t="n"/>
      <c r="D430" s="6" t="n"/>
      <c r="E430" s="6" t="n"/>
      <c r="F430" s="6" t="n"/>
      <c r="G430" s="7" t="n"/>
      <c r="H430" s="6" t="n"/>
      <c r="I430" s="8">
        <f>IF(OR(F430="",G430=""),"",F430*G430)</f>
        <v/>
      </c>
      <c r="J430" s="6" t="n"/>
    </row>
    <row r="431">
      <c r="A431" s="5" t="n"/>
      <c r="B431" s="6">
        <f>IF(A431="","",IFERROR(INT((A431-DATE(2026,4,27))/7)+1,""))</f>
        <v/>
      </c>
      <c r="C431" s="6" t="n"/>
      <c r="D431" s="6" t="n"/>
      <c r="E431" s="6" t="n"/>
      <c r="F431" s="6" t="n"/>
      <c r="G431" s="7" t="n"/>
      <c r="H431" s="6" t="n"/>
      <c r="I431" s="8">
        <f>IF(OR(F431="",G431=""),"",F431*G431)</f>
        <v/>
      </c>
      <c r="J431" s="6" t="n"/>
    </row>
    <row r="432">
      <c r="A432" s="5" t="n"/>
      <c r="B432" s="6">
        <f>IF(A432="","",IFERROR(INT((A432-DATE(2026,4,27))/7)+1,""))</f>
        <v/>
      </c>
      <c r="C432" s="6" t="n"/>
      <c r="D432" s="6" t="n"/>
      <c r="E432" s="6" t="n"/>
      <c r="F432" s="6" t="n"/>
      <c r="G432" s="7" t="n"/>
      <c r="H432" s="6" t="n"/>
      <c r="I432" s="8">
        <f>IF(OR(F432="",G432=""),"",F432*G432)</f>
        <v/>
      </c>
      <c r="J432" s="6" t="n"/>
    </row>
    <row r="433">
      <c r="A433" s="5" t="n"/>
      <c r="B433" s="6">
        <f>IF(A433="","",IFERROR(INT((A433-DATE(2026,4,27))/7)+1,""))</f>
        <v/>
      </c>
      <c r="C433" s="6" t="n"/>
      <c r="D433" s="6" t="n"/>
      <c r="E433" s="6" t="n"/>
      <c r="F433" s="6" t="n"/>
      <c r="G433" s="7" t="n"/>
      <c r="H433" s="6" t="n"/>
      <c r="I433" s="8">
        <f>IF(OR(F433="",G433=""),"",F433*G433)</f>
        <v/>
      </c>
      <c r="J433" s="6" t="n"/>
    </row>
    <row r="434">
      <c r="A434" s="5" t="n"/>
      <c r="B434" s="6">
        <f>IF(A434="","",IFERROR(INT((A434-DATE(2026,4,27))/7)+1,""))</f>
        <v/>
      </c>
      <c r="C434" s="6" t="n"/>
      <c r="D434" s="6" t="n"/>
      <c r="E434" s="6" t="n"/>
      <c r="F434" s="6" t="n"/>
      <c r="G434" s="7" t="n"/>
      <c r="H434" s="6" t="n"/>
      <c r="I434" s="8">
        <f>IF(OR(F434="",G434=""),"",F434*G434)</f>
        <v/>
      </c>
      <c r="J434" s="6" t="n"/>
    </row>
    <row r="435">
      <c r="A435" s="5" t="n"/>
      <c r="B435" s="6">
        <f>IF(A435="","",IFERROR(INT((A435-DATE(2026,4,27))/7)+1,""))</f>
        <v/>
      </c>
      <c r="C435" s="6" t="n"/>
      <c r="D435" s="6" t="n"/>
      <c r="E435" s="6" t="n"/>
      <c r="F435" s="6" t="n"/>
      <c r="G435" s="7" t="n"/>
      <c r="H435" s="6" t="n"/>
      <c r="I435" s="8">
        <f>IF(OR(F435="",G435=""),"",F435*G435)</f>
        <v/>
      </c>
      <c r="J435" s="6" t="n"/>
    </row>
    <row r="436">
      <c r="A436" s="5" t="n"/>
      <c r="B436" s="6">
        <f>IF(A436="","",IFERROR(INT((A436-DATE(2026,4,27))/7)+1,""))</f>
        <v/>
      </c>
      <c r="C436" s="6" t="n"/>
      <c r="D436" s="6" t="n"/>
      <c r="E436" s="6" t="n"/>
      <c r="F436" s="6" t="n"/>
      <c r="G436" s="7" t="n"/>
      <c r="H436" s="6" t="n"/>
      <c r="I436" s="8">
        <f>IF(OR(F436="",G436=""),"",F436*G436)</f>
        <v/>
      </c>
      <c r="J436" s="6" t="n"/>
    </row>
    <row r="437">
      <c r="A437" s="5" t="n"/>
      <c r="B437" s="6">
        <f>IF(A437="","",IFERROR(INT((A437-DATE(2026,4,27))/7)+1,""))</f>
        <v/>
      </c>
      <c r="C437" s="6" t="n"/>
      <c r="D437" s="6" t="n"/>
      <c r="E437" s="6" t="n"/>
      <c r="F437" s="6" t="n"/>
      <c r="G437" s="7" t="n"/>
      <c r="H437" s="6" t="n"/>
      <c r="I437" s="8">
        <f>IF(OR(F437="",G437=""),"",F437*G437)</f>
        <v/>
      </c>
      <c r="J437" s="6" t="n"/>
    </row>
    <row r="438">
      <c r="A438" s="5" t="n"/>
      <c r="B438" s="6">
        <f>IF(A438="","",IFERROR(INT((A438-DATE(2026,4,27))/7)+1,""))</f>
        <v/>
      </c>
      <c r="C438" s="6" t="n"/>
      <c r="D438" s="6" t="n"/>
      <c r="E438" s="6" t="n"/>
      <c r="F438" s="6" t="n"/>
      <c r="G438" s="7" t="n"/>
      <c r="H438" s="6" t="n"/>
      <c r="I438" s="8">
        <f>IF(OR(F438="",G438=""),"",F438*G438)</f>
        <v/>
      </c>
      <c r="J438" s="6" t="n"/>
    </row>
    <row r="439">
      <c r="A439" s="5" t="n"/>
      <c r="B439" s="6">
        <f>IF(A439="","",IFERROR(INT((A439-DATE(2026,4,27))/7)+1,""))</f>
        <v/>
      </c>
      <c r="C439" s="6" t="n"/>
      <c r="D439" s="6" t="n"/>
      <c r="E439" s="6" t="n"/>
      <c r="F439" s="6" t="n"/>
      <c r="G439" s="7" t="n"/>
      <c r="H439" s="6" t="n"/>
      <c r="I439" s="8">
        <f>IF(OR(F439="",G439=""),"",F439*G439)</f>
        <v/>
      </c>
      <c r="J439" s="6" t="n"/>
    </row>
    <row r="440">
      <c r="A440" s="5" t="n"/>
      <c r="B440" s="6">
        <f>IF(A440="","",IFERROR(INT((A440-DATE(2026,4,27))/7)+1,""))</f>
        <v/>
      </c>
      <c r="C440" s="6" t="n"/>
      <c r="D440" s="6" t="n"/>
      <c r="E440" s="6" t="n"/>
      <c r="F440" s="6" t="n"/>
      <c r="G440" s="7" t="n"/>
      <c r="H440" s="6" t="n"/>
      <c r="I440" s="8">
        <f>IF(OR(F440="",G440=""),"",F440*G440)</f>
        <v/>
      </c>
      <c r="J440" s="6" t="n"/>
    </row>
    <row r="441">
      <c r="A441" s="5" t="n"/>
      <c r="B441" s="6">
        <f>IF(A441="","",IFERROR(INT((A441-DATE(2026,4,27))/7)+1,""))</f>
        <v/>
      </c>
      <c r="C441" s="6" t="n"/>
      <c r="D441" s="6" t="n"/>
      <c r="E441" s="6" t="n"/>
      <c r="F441" s="6" t="n"/>
      <c r="G441" s="7" t="n"/>
      <c r="H441" s="6" t="n"/>
      <c r="I441" s="8">
        <f>IF(OR(F441="",G441=""),"",F441*G441)</f>
        <v/>
      </c>
      <c r="J441" s="6" t="n"/>
    </row>
    <row r="442">
      <c r="A442" s="5" t="n"/>
      <c r="B442" s="6">
        <f>IF(A442="","",IFERROR(INT((A442-DATE(2026,4,27))/7)+1,""))</f>
        <v/>
      </c>
      <c r="C442" s="6" t="n"/>
      <c r="D442" s="6" t="n"/>
      <c r="E442" s="6" t="n"/>
      <c r="F442" s="6" t="n"/>
      <c r="G442" s="7" t="n"/>
      <c r="H442" s="6" t="n"/>
      <c r="I442" s="8">
        <f>IF(OR(F442="",G442=""),"",F442*G442)</f>
        <v/>
      </c>
      <c r="J442" s="6" t="n"/>
    </row>
    <row r="443">
      <c r="A443" s="5" t="n"/>
      <c r="B443" s="6">
        <f>IF(A443="","",IFERROR(INT((A443-DATE(2026,4,27))/7)+1,""))</f>
        <v/>
      </c>
      <c r="C443" s="6" t="n"/>
      <c r="D443" s="6" t="n"/>
      <c r="E443" s="6" t="n"/>
      <c r="F443" s="6" t="n"/>
      <c r="G443" s="7" t="n"/>
      <c r="H443" s="6" t="n"/>
      <c r="I443" s="8">
        <f>IF(OR(F443="",G443=""),"",F443*G443)</f>
        <v/>
      </c>
      <c r="J443" s="6" t="n"/>
    </row>
    <row r="444">
      <c r="A444" s="5" t="n"/>
      <c r="B444" s="6">
        <f>IF(A444="","",IFERROR(INT((A444-DATE(2026,4,27))/7)+1,""))</f>
        <v/>
      </c>
      <c r="C444" s="6" t="n"/>
      <c r="D444" s="6" t="n"/>
      <c r="E444" s="6" t="n"/>
      <c r="F444" s="6" t="n"/>
      <c r="G444" s="7" t="n"/>
      <c r="H444" s="6" t="n"/>
      <c r="I444" s="8">
        <f>IF(OR(F444="",G444=""),"",F444*G444)</f>
        <v/>
      </c>
      <c r="J444" s="6" t="n"/>
    </row>
    <row r="445">
      <c r="A445" s="5" t="n"/>
      <c r="B445" s="6">
        <f>IF(A445="","",IFERROR(INT((A445-DATE(2026,4,27))/7)+1,""))</f>
        <v/>
      </c>
      <c r="C445" s="6" t="n"/>
      <c r="D445" s="6" t="n"/>
      <c r="E445" s="6" t="n"/>
      <c r="F445" s="6" t="n"/>
      <c r="G445" s="7" t="n"/>
      <c r="H445" s="6" t="n"/>
      <c r="I445" s="8">
        <f>IF(OR(F445="",G445=""),"",F445*G445)</f>
        <v/>
      </c>
      <c r="J445" s="6" t="n"/>
    </row>
    <row r="446">
      <c r="A446" s="5" t="n"/>
      <c r="B446" s="6">
        <f>IF(A446="","",IFERROR(INT((A446-DATE(2026,4,27))/7)+1,""))</f>
        <v/>
      </c>
      <c r="C446" s="6" t="n"/>
      <c r="D446" s="6" t="n"/>
      <c r="E446" s="6" t="n"/>
      <c r="F446" s="6" t="n"/>
      <c r="G446" s="7" t="n"/>
      <c r="H446" s="6" t="n"/>
      <c r="I446" s="8">
        <f>IF(OR(F446="",G446=""),"",F446*G446)</f>
        <v/>
      </c>
      <c r="J446" s="6" t="n"/>
    </row>
    <row r="447">
      <c r="A447" s="5" t="n"/>
      <c r="B447" s="6">
        <f>IF(A447="","",IFERROR(INT((A447-DATE(2026,4,27))/7)+1,""))</f>
        <v/>
      </c>
      <c r="C447" s="6" t="n"/>
      <c r="D447" s="6" t="n"/>
      <c r="E447" s="6" t="n"/>
      <c r="F447" s="6" t="n"/>
      <c r="G447" s="7" t="n"/>
      <c r="H447" s="6" t="n"/>
      <c r="I447" s="8">
        <f>IF(OR(F447="",G447=""),"",F447*G447)</f>
        <v/>
      </c>
      <c r="J447" s="6" t="n"/>
    </row>
    <row r="448">
      <c r="A448" s="5" t="n"/>
      <c r="B448" s="6">
        <f>IF(A448="","",IFERROR(INT((A448-DATE(2026,4,27))/7)+1,""))</f>
        <v/>
      </c>
      <c r="C448" s="6" t="n"/>
      <c r="D448" s="6" t="n"/>
      <c r="E448" s="6" t="n"/>
      <c r="F448" s="6" t="n"/>
      <c r="G448" s="7" t="n"/>
      <c r="H448" s="6" t="n"/>
      <c r="I448" s="8">
        <f>IF(OR(F448="",G448=""),"",F448*G448)</f>
        <v/>
      </c>
      <c r="J448" s="6" t="n"/>
    </row>
    <row r="449">
      <c r="A449" s="5" t="n"/>
      <c r="B449" s="6">
        <f>IF(A449="","",IFERROR(INT((A449-DATE(2026,4,27))/7)+1,""))</f>
        <v/>
      </c>
      <c r="C449" s="6" t="n"/>
      <c r="D449" s="6" t="n"/>
      <c r="E449" s="6" t="n"/>
      <c r="F449" s="6" t="n"/>
      <c r="G449" s="7" t="n"/>
      <c r="H449" s="6" t="n"/>
      <c r="I449" s="8">
        <f>IF(OR(F449="",G449=""),"",F449*G449)</f>
        <v/>
      </c>
      <c r="J449" s="6" t="n"/>
    </row>
    <row r="450">
      <c r="A450" s="5" t="n"/>
      <c r="B450" s="6">
        <f>IF(A450="","",IFERROR(INT((A450-DATE(2026,4,27))/7)+1,""))</f>
        <v/>
      </c>
      <c r="C450" s="6" t="n"/>
      <c r="D450" s="6" t="n"/>
      <c r="E450" s="6" t="n"/>
      <c r="F450" s="6" t="n"/>
      <c r="G450" s="7" t="n"/>
      <c r="H450" s="6" t="n"/>
      <c r="I450" s="8">
        <f>IF(OR(F450="",G450=""),"",F450*G450)</f>
        <v/>
      </c>
      <c r="J450" s="6" t="n"/>
    </row>
    <row r="451">
      <c r="A451" s="5" t="n"/>
      <c r="B451" s="6">
        <f>IF(A451="","",IFERROR(INT((A451-DATE(2026,4,27))/7)+1,""))</f>
        <v/>
      </c>
      <c r="C451" s="6" t="n"/>
      <c r="D451" s="6" t="n"/>
      <c r="E451" s="6" t="n"/>
      <c r="F451" s="6" t="n"/>
      <c r="G451" s="7" t="n"/>
      <c r="H451" s="6" t="n"/>
      <c r="I451" s="8">
        <f>IF(OR(F451="",G451=""),"",F451*G451)</f>
        <v/>
      </c>
      <c r="J451" s="6" t="n"/>
    </row>
    <row r="452">
      <c r="A452" s="5" t="n"/>
      <c r="B452" s="6">
        <f>IF(A452="","",IFERROR(INT((A452-DATE(2026,4,27))/7)+1,""))</f>
        <v/>
      </c>
      <c r="C452" s="6" t="n"/>
      <c r="D452" s="6" t="n"/>
      <c r="E452" s="6" t="n"/>
      <c r="F452" s="6" t="n"/>
      <c r="G452" s="7" t="n"/>
      <c r="H452" s="6" t="n"/>
      <c r="I452" s="8">
        <f>IF(OR(F452="",G452=""),"",F452*G452)</f>
        <v/>
      </c>
      <c r="J452" s="6" t="n"/>
    </row>
    <row r="453">
      <c r="A453" s="5" t="n"/>
      <c r="B453" s="6">
        <f>IF(A453="","",IFERROR(INT((A453-DATE(2026,4,27))/7)+1,""))</f>
        <v/>
      </c>
      <c r="C453" s="6" t="n"/>
      <c r="D453" s="6" t="n"/>
      <c r="E453" s="6" t="n"/>
      <c r="F453" s="6" t="n"/>
      <c r="G453" s="7" t="n"/>
      <c r="H453" s="6" t="n"/>
      <c r="I453" s="8">
        <f>IF(OR(F453="",G453=""),"",F453*G453)</f>
        <v/>
      </c>
      <c r="J453" s="6" t="n"/>
    </row>
    <row r="454">
      <c r="A454" s="5" t="n"/>
      <c r="B454" s="6">
        <f>IF(A454="","",IFERROR(INT((A454-DATE(2026,4,27))/7)+1,""))</f>
        <v/>
      </c>
      <c r="C454" s="6" t="n"/>
      <c r="D454" s="6" t="n"/>
      <c r="E454" s="6" t="n"/>
      <c r="F454" s="6" t="n"/>
      <c r="G454" s="7" t="n"/>
      <c r="H454" s="6" t="n"/>
      <c r="I454" s="8">
        <f>IF(OR(F454="",G454=""),"",F454*G454)</f>
        <v/>
      </c>
      <c r="J454" s="6" t="n"/>
    </row>
    <row r="455">
      <c r="A455" s="5" t="n"/>
      <c r="B455" s="6">
        <f>IF(A455="","",IFERROR(INT((A455-DATE(2026,4,27))/7)+1,""))</f>
        <v/>
      </c>
      <c r="C455" s="6" t="n"/>
      <c r="D455" s="6" t="n"/>
      <c r="E455" s="6" t="n"/>
      <c r="F455" s="6" t="n"/>
      <c r="G455" s="7" t="n"/>
      <c r="H455" s="6" t="n"/>
      <c r="I455" s="8">
        <f>IF(OR(F455="",G455=""),"",F455*G455)</f>
        <v/>
      </c>
      <c r="J455" s="6" t="n"/>
    </row>
    <row r="456">
      <c r="A456" s="5" t="n"/>
      <c r="B456" s="6">
        <f>IF(A456="","",IFERROR(INT((A456-DATE(2026,4,27))/7)+1,""))</f>
        <v/>
      </c>
      <c r="C456" s="6" t="n"/>
      <c r="D456" s="6" t="n"/>
      <c r="E456" s="6" t="n"/>
      <c r="F456" s="6" t="n"/>
      <c r="G456" s="7" t="n"/>
      <c r="H456" s="6" t="n"/>
      <c r="I456" s="8">
        <f>IF(OR(F456="",G456=""),"",F456*G456)</f>
        <v/>
      </c>
      <c r="J456" s="6" t="n"/>
    </row>
    <row r="457">
      <c r="A457" s="5" t="n"/>
      <c r="B457" s="6">
        <f>IF(A457="","",IFERROR(INT((A457-DATE(2026,4,27))/7)+1,""))</f>
        <v/>
      </c>
      <c r="C457" s="6" t="n"/>
      <c r="D457" s="6" t="n"/>
      <c r="E457" s="6" t="n"/>
      <c r="F457" s="6" t="n"/>
      <c r="G457" s="7" t="n"/>
      <c r="H457" s="6" t="n"/>
      <c r="I457" s="8">
        <f>IF(OR(F457="",G457=""),"",F457*G457)</f>
        <v/>
      </c>
      <c r="J457" s="6" t="n"/>
    </row>
    <row r="458">
      <c r="A458" s="5" t="n"/>
      <c r="B458" s="6">
        <f>IF(A458="","",IFERROR(INT((A458-DATE(2026,4,27))/7)+1,""))</f>
        <v/>
      </c>
      <c r="C458" s="6" t="n"/>
      <c r="D458" s="6" t="n"/>
      <c r="E458" s="6" t="n"/>
      <c r="F458" s="6" t="n"/>
      <c r="G458" s="7" t="n"/>
      <c r="H458" s="6" t="n"/>
      <c r="I458" s="8">
        <f>IF(OR(F458="",G458=""),"",F458*G458)</f>
        <v/>
      </c>
      <c r="J458" s="6" t="n"/>
    </row>
    <row r="459">
      <c r="A459" s="5" t="n"/>
      <c r="B459" s="6">
        <f>IF(A459="","",IFERROR(INT((A459-DATE(2026,4,27))/7)+1,""))</f>
        <v/>
      </c>
      <c r="C459" s="6" t="n"/>
      <c r="D459" s="6" t="n"/>
      <c r="E459" s="6" t="n"/>
      <c r="F459" s="6" t="n"/>
      <c r="G459" s="7" t="n"/>
      <c r="H459" s="6" t="n"/>
      <c r="I459" s="8">
        <f>IF(OR(F459="",G459=""),"",F459*G459)</f>
        <v/>
      </c>
      <c r="J459" s="6" t="n"/>
    </row>
    <row r="460">
      <c r="A460" s="5" t="n"/>
      <c r="B460" s="6">
        <f>IF(A460="","",IFERROR(INT((A460-DATE(2026,4,27))/7)+1,""))</f>
        <v/>
      </c>
      <c r="C460" s="6" t="n"/>
      <c r="D460" s="6" t="n"/>
      <c r="E460" s="6" t="n"/>
      <c r="F460" s="6" t="n"/>
      <c r="G460" s="7" t="n"/>
      <c r="H460" s="6" t="n"/>
      <c r="I460" s="8">
        <f>IF(OR(F460="",G460=""),"",F460*G460)</f>
        <v/>
      </c>
      <c r="J460" s="6" t="n"/>
    </row>
    <row r="461">
      <c r="A461" s="5" t="n"/>
      <c r="B461" s="6">
        <f>IF(A461="","",IFERROR(INT((A461-DATE(2026,4,27))/7)+1,""))</f>
        <v/>
      </c>
      <c r="C461" s="6" t="n"/>
      <c r="D461" s="6" t="n"/>
      <c r="E461" s="6" t="n"/>
      <c r="F461" s="6" t="n"/>
      <c r="G461" s="7" t="n"/>
      <c r="H461" s="6" t="n"/>
      <c r="I461" s="8">
        <f>IF(OR(F461="",G461=""),"",F461*G461)</f>
        <v/>
      </c>
      <c r="J461" s="6" t="n"/>
    </row>
    <row r="462">
      <c r="A462" s="5" t="n"/>
      <c r="B462" s="6">
        <f>IF(A462="","",IFERROR(INT((A462-DATE(2026,4,27))/7)+1,""))</f>
        <v/>
      </c>
      <c r="C462" s="6" t="n"/>
      <c r="D462" s="6" t="n"/>
      <c r="E462" s="6" t="n"/>
      <c r="F462" s="6" t="n"/>
      <c r="G462" s="7" t="n"/>
      <c r="H462" s="6" t="n"/>
      <c r="I462" s="8">
        <f>IF(OR(F462="",G462=""),"",F462*G462)</f>
        <v/>
      </c>
      <c r="J462" s="6" t="n"/>
    </row>
    <row r="463">
      <c r="A463" s="5" t="n"/>
      <c r="B463" s="6">
        <f>IF(A463="","",IFERROR(INT((A463-DATE(2026,4,27))/7)+1,""))</f>
        <v/>
      </c>
      <c r="C463" s="6" t="n"/>
      <c r="D463" s="6" t="n"/>
      <c r="E463" s="6" t="n"/>
      <c r="F463" s="6" t="n"/>
      <c r="G463" s="7" t="n"/>
      <c r="H463" s="6" t="n"/>
      <c r="I463" s="8">
        <f>IF(OR(F463="",G463=""),"",F463*G463)</f>
        <v/>
      </c>
      <c r="J463" s="6" t="n"/>
    </row>
    <row r="464">
      <c r="A464" s="5" t="n"/>
      <c r="B464" s="6">
        <f>IF(A464="","",IFERROR(INT((A464-DATE(2026,4,27))/7)+1,""))</f>
        <v/>
      </c>
      <c r="C464" s="6" t="n"/>
      <c r="D464" s="6" t="n"/>
      <c r="E464" s="6" t="n"/>
      <c r="F464" s="6" t="n"/>
      <c r="G464" s="7" t="n"/>
      <c r="H464" s="6" t="n"/>
      <c r="I464" s="8">
        <f>IF(OR(F464="",G464=""),"",F464*G464)</f>
        <v/>
      </c>
      <c r="J464" s="6" t="n"/>
    </row>
    <row r="465">
      <c r="A465" s="5" t="n"/>
      <c r="B465" s="6">
        <f>IF(A465="","",IFERROR(INT((A465-DATE(2026,4,27))/7)+1,""))</f>
        <v/>
      </c>
      <c r="C465" s="6" t="n"/>
      <c r="D465" s="6" t="n"/>
      <c r="E465" s="6" t="n"/>
      <c r="F465" s="6" t="n"/>
      <c r="G465" s="7" t="n"/>
      <c r="H465" s="6" t="n"/>
      <c r="I465" s="8">
        <f>IF(OR(F465="",G465=""),"",F465*G465)</f>
        <v/>
      </c>
      <c r="J465" s="6" t="n"/>
    </row>
    <row r="466">
      <c r="A466" s="5" t="n"/>
      <c r="B466" s="6">
        <f>IF(A466="","",IFERROR(INT((A466-DATE(2026,4,27))/7)+1,""))</f>
        <v/>
      </c>
      <c r="C466" s="6" t="n"/>
      <c r="D466" s="6" t="n"/>
      <c r="E466" s="6" t="n"/>
      <c r="F466" s="6" t="n"/>
      <c r="G466" s="7" t="n"/>
      <c r="H466" s="6" t="n"/>
      <c r="I466" s="8">
        <f>IF(OR(F466="",G466=""),"",F466*G466)</f>
        <v/>
      </c>
      <c r="J466" s="6" t="n"/>
    </row>
    <row r="467">
      <c r="A467" s="5" t="n"/>
      <c r="B467" s="6">
        <f>IF(A467="","",IFERROR(INT((A467-DATE(2026,4,27))/7)+1,""))</f>
        <v/>
      </c>
      <c r="C467" s="6" t="n"/>
      <c r="D467" s="6" t="n"/>
      <c r="E467" s="6" t="n"/>
      <c r="F467" s="6" t="n"/>
      <c r="G467" s="7" t="n"/>
      <c r="H467" s="6" t="n"/>
      <c r="I467" s="8">
        <f>IF(OR(F467="",G467=""),"",F467*G467)</f>
        <v/>
      </c>
      <c r="J467" s="6" t="n"/>
    </row>
    <row r="468">
      <c r="A468" s="5" t="n"/>
      <c r="B468" s="6">
        <f>IF(A468="","",IFERROR(INT((A468-DATE(2026,4,27))/7)+1,""))</f>
        <v/>
      </c>
      <c r="C468" s="6" t="n"/>
      <c r="D468" s="6" t="n"/>
      <c r="E468" s="6" t="n"/>
      <c r="F468" s="6" t="n"/>
      <c r="G468" s="7" t="n"/>
      <c r="H468" s="6" t="n"/>
      <c r="I468" s="8">
        <f>IF(OR(F468="",G468=""),"",F468*G468)</f>
        <v/>
      </c>
      <c r="J468" s="6" t="n"/>
    </row>
    <row r="469">
      <c r="A469" s="5" t="n"/>
      <c r="B469" s="6">
        <f>IF(A469="","",IFERROR(INT((A469-DATE(2026,4,27))/7)+1,""))</f>
        <v/>
      </c>
      <c r="C469" s="6" t="n"/>
      <c r="D469" s="6" t="n"/>
      <c r="E469" s="6" t="n"/>
      <c r="F469" s="6" t="n"/>
      <c r="G469" s="7" t="n"/>
      <c r="H469" s="6" t="n"/>
      <c r="I469" s="8">
        <f>IF(OR(F469="",G469=""),"",F469*G469)</f>
        <v/>
      </c>
      <c r="J469" s="6" t="n"/>
    </row>
    <row r="470">
      <c r="A470" s="5" t="n"/>
      <c r="B470" s="6">
        <f>IF(A470="","",IFERROR(INT((A470-DATE(2026,4,27))/7)+1,""))</f>
        <v/>
      </c>
      <c r="C470" s="6" t="n"/>
      <c r="D470" s="6" t="n"/>
      <c r="E470" s="6" t="n"/>
      <c r="F470" s="6" t="n"/>
      <c r="G470" s="7" t="n"/>
      <c r="H470" s="6" t="n"/>
      <c r="I470" s="8">
        <f>IF(OR(F470="",G470=""),"",F470*G470)</f>
        <v/>
      </c>
      <c r="J470" s="6" t="n"/>
    </row>
    <row r="471">
      <c r="A471" s="5" t="n"/>
      <c r="B471" s="6">
        <f>IF(A471="","",IFERROR(INT((A471-DATE(2026,4,27))/7)+1,""))</f>
        <v/>
      </c>
      <c r="C471" s="6" t="n"/>
      <c r="D471" s="6" t="n"/>
      <c r="E471" s="6" t="n"/>
      <c r="F471" s="6" t="n"/>
      <c r="G471" s="7" t="n"/>
      <c r="H471" s="6" t="n"/>
      <c r="I471" s="8">
        <f>IF(OR(F471="",G471=""),"",F471*G471)</f>
        <v/>
      </c>
      <c r="J471" s="6" t="n"/>
    </row>
    <row r="472">
      <c r="A472" s="5" t="n"/>
      <c r="B472" s="6">
        <f>IF(A472="","",IFERROR(INT((A472-DATE(2026,4,27))/7)+1,""))</f>
        <v/>
      </c>
      <c r="C472" s="6" t="n"/>
      <c r="D472" s="6" t="n"/>
      <c r="E472" s="6" t="n"/>
      <c r="F472" s="6" t="n"/>
      <c r="G472" s="7" t="n"/>
      <c r="H472" s="6" t="n"/>
      <c r="I472" s="8">
        <f>IF(OR(F472="",G472=""),"",F472*G472)</f>
        <v/>
      </c>
      <c r="J472" s="6" t="n"/>
    </row>
    <row r="473">
      <c r="A473" s="5" t="n"/>
      <c r="B473" s="6">
        <f>IF(A473="","",IFERROR(INT((A473-DATE(2026,4,27))/7)+1,""))</f>
        <v/>
      </c>
      <c r="C473" s="6" t="n"/>
      <c r="D473" s="6" t="n"/>
      <c r="E473" s="6" t="n"/>
      <c r="F473" s="6" t="n"/>
      <c r="G473" s="7" t="n"/>
      <c r="H473" s="6" t="n"/>
      <c r="I473" s="8">
        <f>IF(OR(F473="",G473=""),"",F473*G473)</f>
        <v/>
      </c>
      <c r="J473" s="6" t="n"/>
    </row>
    <row r="474">
      <c r="A474" s="5" t="n"/>
      <c r="B474" s="6">
        <f>IF(A474="","",IFERROR(INT((A474-DATE(2026,4,27))/7)+1,""))</f>
        <v/>
      </c>
      <c r="C474" s="6" t="n"/>
      <c r="D474" s="6" t="n"/>
      <c r="E474" s="6" t="n"/>
      <c r="F474" s="6" t="n"/>
      <c r="G474" s="7" t="n"/>
      <c r="H474" s="6" t="n"/>
      <c r="I474" s="8">
        <f>IF(OR(F474="",G474=""),"",F474*G474)</f>
        <v/>
      </c>
      <c r="J474" s="6" t="n"/>
    </row>
    <row r="475">
      <c r="A475" s="5" t="n"/>
      <c r="B475" s="6">
        <f>IF(A475="","",IFERROR(INT((A475-DATE(2026,4,27))/7)+1,""))</f>
        <v/>
      </c>
      <c r="C475" s="6" t="n"/>
      <c r="D475" s="6" t="n"/>
      <c r="E475" s="6" t="n"/>
      <c r="F475" s="6" t="n"/>
      <c r="G475" s="7" t="n"/>
      <c r="H475" s="6" t="n"/>
      <c r="I475" s="8">
        <f>IF(OR(F475="",G475=""),"",F475*G475)</f>
        <v/>
      </c>
      <c r="J475" s="6" t="n"/>
    </row>
    <row r="476">
      <c r="A476" s="5" t="n"/>
      <c r="B476" s="6">
        <f>IF(A476="","",IFERROR(INT((A476-DATE(2026,4,27))/7)+1,""))</f>
        <v/>
      </c>
      <c r="C476" s="6" t="n"/>
      <c r="D476" s="6" t="n"/>
      <c r="E476" s="6" t="n"/>
      <c r="F476" s="6" t="n"/>
      <c r="G476" s="7" t="n"/>
      <c r="H476" s="6" t="n"/>
      <c r="I476" s="8">
        <f>IF(OR(F476="",G476=""),"",F476*G476)</f>
        <v/>
      </c>
      <c r="J476" s="6" t="n"/>
    </row>
    <row r="477">
      <c r="A477" s="5" t="n"/>
      <c r="B477" s="6">
        <f>IF(A477="","",IFERROR(INT((A477-DATE(2026,4,27))/7)+1,""))</f>
        <v/>
      </c>
      <c r="C477" s="6" t="n"/>
      <c r="D477" s="6" t="n"/>
      <c r="E477" s="6" t="n"/>
      <c r="F477" s="6" t="n"/>
      <c r="G477" s="7" t="n"/>
      <c r="H477" s="6" t="n"/>
      <c r="I477" s="8">
        <f>IF(OR(F477="",G477=""),"",F477*G477)</f>
        <v/>
      </c>
      <c r="J477" s="6" t="n"/>
    </row>
    <row r="478">
      <c r="A478" s="5" t="n"/>
      <c r="B478" s="6">
        <f>IF(A478="","",IFERROR(INT((A478-DATE(2026,4,27))/7)+1,""))</f>
        <v/>
      </c>
      <c r="C478" s="6" t="n"/>
      <c r="D478" s="6" t="n"/>
      <c r="E478" s="6" t="n"/>
      <c r="F478" s="6" t="n"/>
      <c r="G478" s="7" t="n"/>
      <c r="H478" s="6" t="n"/>
      <c r="I478" s="8">
        <f>IF(OR(F478="",G478=""),"",F478*G478)</f>
        <v/>
      </c>
      <c r="J478" s="6" t="n"/>
    </row>
    <row r="479">
      <c r="A479" s="5" t="n"/>
      <c r="B479" s="6">
        <f>IF(A479="","",IFERROR(INT((A479-DATE(2026,4,27))/7)+1,""))</f>
        <v/>
      </c>
      <c r="C479" s="6" t="n"/>
      <c r="D479" s="6" t="n"/>
      <c r="E479" s="6" t="n"/>
      <c r="F479" s="6" t="n"/>
      <c r="G479" s="7" t="n"/>
      <c r="H479" s="6" t="n"/>
      <c r="I479" s="8">
        <f>IF(OR(F479="",G479=""),"",F479*G479)</f>
        <v/>
      </c>
      <c r="J479" s="6" t="n"/>
    </row>
    <row r="480">
      <c r="A480" s="5" t="n"/>
      <c r="B480" s="6">
        <f>IF(A480="","",IFERROR(INT((A480-DATE(2026,4,27))/7)+1,""))</f>
        <v/>
      </c>
      <c r="C480" s="6" t="n"/>
      <c r="D480" s="6" t="n"/>
      <c r="E480" s="6" t="n"/>
      <c r="F480" s="6" t="n"/>
      <c r="G480" s="7" t="n"/>
      <c r="H480" s="6" t="n"/>
      <c r="I480" s="8">
        <f>IF(OR(F480="",G480=""),"",F480*G480)</f>
        <v/>
      </c>
      <c r="J480" s="6" t="n"/>
    </row>
    <row r="481">
      <c r="A481" s="5" t="n"/>
      <c r="B481" s="6">
        <f>IF(A481="","",IFERROR(INT((A481-DATE(2026,4,27))/7)+1,""))</f>
        <v/>
      </c>
      <c r="C481" s="6" t="n"/>
      <c r="D481" s="6" t="n"/>
      <c r="E481" s="6" t="n"/>
      <c r="F481" s="6" t="n"/>
      <c r="G481" s="7" t="n"/>
      <c r="H481" s="6" t="n"/>
      <c r="I481" s="8">
        <f>IF(OR(F481="",G481=""),"",F481*G481)</f>
        <v/>
      </c>
      <c r="J481" s="6" t="n"/>
    </row>
    <row r="482">
      <c r="A482" s="5" t="n"/>
      <c r="B482" s="6">
        <f>IF(A482="","",IFERROR(INT((A482-DATE(2026,4,27))/7)+1,""))</f>
        <v/>
      </c>
      <c r="C482" s="6" t="n"/>
      <c r="D482" s="6" t="n"/>
      <c r="E482" s="6" t="n"/>
      <c r="F482" s="6" t="n"/>
      <c r="G482" s="7" t="n"/>
      <c r="H482" s="6" t="n"/>
      <c r="I482" s="8">
        <f>IF(OR(F482="",G482=""),"",F482*G482)</f>
        <v/>
      </c>
      <c r="J482" s="6" t="n"/>
    </row>
    <row r="483">
      <c r="A483" s="5" t="n"/>
      <c r="B483" s="6">
        <f>IF(A483="","",IFERROR(INT((A483-DATE(2026,4,27))/7)+1,""))</f>
        <v/>
      </c>
      <c r="C483" s="6" t="n"/>
      <c r="D483" s="6" t="n"/>
      <c r="E483" s="6" t="n"/>
      <c r="F483" s="6" t="n"/>
      <c r="G483" s="7" t="n"/>
      <c r="H483" s="6" t="n"/>
      <c r="I483" s="8">
        <f>IF(OR(F483="",G483=""),"",F483*G483)</f>
        <v/>
      </c>
      <c r="J483" s="6" t="n"/>
    </row>
    <row r="484">
      <c r="A484" s="5" t="n"/>
      <c r="B484" s="6">
        <f>IF(A484="","",IFERROR(INT((A484-DATE(2026,4,27))/7)+1,""))</f>
        <v/>
      </c>
      <c r="C484" s="6" t="n"/>
      <c r="D484" s="6" t="n"/>
      <c r="E484" s="6" t="n"/>
      <c r="F484" s="6" t="n"/>
      <c r="G484" s="7" t="n"/>
      <c r="H484" s="6" t="n"/>
      <c r="I484" s="8">
        <f>IF(OR(F484="",G484=""),"",F484*G484)</f>
        <v/>
      </c>
      <c r="J484" s="6" t="n"/>
    </row>
    <row r="485">
      <c r="A485" s="5" t="n"/>
      <c r="B485" s="6">
        <f>IF(A485="","",IFERROR(INT((A485-DATE(2026,4,27))/7)+1,""))</f>
        <v/>
      </c>
      <c r="C485" s="6" t="n"/>
      <c r="D485" s="6" t="n"/>
      <c r="E485" s="6" t="n"/>
      <c r="F485" s="6" t="n"/>
      <c r="G485" s="7" t="n"/>
      <c r="H485" s="6" t="n"/>
      <c r="I485" s="8">
        <f>IF(OR(F485="",G485=""),"",F485*G485)</f>
        <v/>
      </c>
      <c r="J485" s="6" t="n"/>
    </row>
    <row r="486">
      <c r="A486" s="5" t="n"/>
      <c r="B486" s="6">
        <f>IF(A486="","",IFERROR(INT((A486-DATE(2026,4,27))/7)+1,""))</f>
        <v/>
      </c>
      <c r="C486" s="6" t="n"/>
      <c r="D486" s="6" t="n"/>
      <c r="E486" s="6" t="n"/>
      <c r="F486" s="6" t="n"/>
      <c r="G486" s="7" t="n"/>
      <c r="H486" s="6" t="n"/>
      <c r="I486" s="8">
        <f>IF(OR(F486="",G486=""),"",F486*G486)</f>
        <v/>
      </c>
      <c r="J486" s="6" t="n"/>
    </row>
    <row r="487">
      <c r="A487" s="5" t="n"/>
      <c r="B487" s="6">
        <f>IF(A487="","",IFERROR(INT((A487-DATE(2026,4,27))/7)+1,""))</f>
        <v/>
      </c>
      <c r="C487" s="6" t="n"/>
      <c r="D487" s="6" t="n"/>
      <c r="E487" s="6" t="n"/>
      <c r="F487" s="6" t="n"/>
      <c r="G487" s="7" t="n"/>
      <c r="H487" s="6" t="n"/>
      <c r="I487" s="8">
        <f>IF(OR(F487="",G487=""),"",F487*G487)</f>
        <v/>
      </c>
      <c r="J487" s="6" t="n"/>
    </row>
    <row r="488">
      <c r="A488" s="5" t="n"/>
      <c r="B488" s="6">
        <f>IF(A488="","",IFERROR(INT((A488-DATE(2026,4,27))/7)+1,""))</f>
        <v/>
      </c>
      <c r="C488" s="6" t="n"/>
      <c r="D488" s="6" t="n"/>
      <c r="E488" s="6" t="n"/>
      <c r="F488" s="6" t="n"/>
      <c r="G488" s="7" t="n"/>
      <c r="H488" s="6" t="n"/>
      <c r="I488" s="8">
        <f>IF(OR(F488="",G488=""),"",F488*G488)</f>
        <v/>
      </c>
      <c r="J488" s="6" t="n"/>
    </row>
    <row r="489">
      <c r="A489" s="5" t="n"/>
      <c r="B489" s="6">
        <f>IF(A489="","",IFERROR(INT((A489-DATE(2026,4,27))/7)+1,""))</f>
        <v/>
      </c>
      <c r="C489" s="6" t="n"/>
      <c r="D489" s="6" t="n"/>
      <c r="E489" s="6" t="n"/>
      <c r="F489" s="6" t="n"/>
      <c r="G489" s="7" t="n"/>
      <c r="H489" s="6" t="n"/>
      <c r="I489" s="8">
        <f>IF(OR(F489="",G489=""),"",F489*G489)</f>
        <v/>
      </c>
      <c r="J489" s="6" t="n"/>
    </row>
    <row r="490">
      <c r="A490" s="5" t="n"/>
      <c r="B490" s="6">
        <f>IF(A490="","",IFERROR(INT((A490-DATE(2026,4,27))/7)+1,""))</f>
        <v/>
      </c>
      <c r="C490" s="6" t="n"/>
      <c r="D490" s="6" t="n"/>
      <c r="E490" s="6" t="n"/>
      <c r="F490" s="6" t="n"/>
      <c r="G490" s="7" t="n"/>
      <c r="H490" s="6" t="n"/>
      <c r="I490" s="8">
        <f>IF(OR(F490="",G490=""),"",F490*G490)</f>
        <v/>
      </c>
      <c r="J490" s="6" t="n"/>
    </row>
    <row r="491">
      <c r="A491" s="5" t="n"/>
      <c r="B491" s="6">
        <f>IF(A491="","",IFERROR(INT((A491-DATE(2026,4,27))/7)+1,""))</f>
        <v/>
      </c>
      <c r="C491" s="6" t="n"/>
      <c r="D491" s="6" t="n"/>
      <c r="E491" s="6" t="n"/>
      <c r="F491" s="6" t="n"/>
      <c r="G491" s="7" t="n"/>
      <c r="H491" s="6" t="n"/>
      <c r="I491" s="8">
        <f>IF(OR(F491="",G491=""),"",F491*G491)</f>
        <v/>
      </c>
      <c r="J491" s="6" t="n"/>
    </row>
    <row r="492">
      <c r="A492" s="5" t="n"/>
      <c r="B492" s="6">
        <f>IF(A492="","",IFERROR(INT((A492-DATE(2026,4,27))/7)+1,""))</f>
        <v/>
      </c>
      <c r="C492" s="6" t="n"/>
      <c r="D492" s="6" t="n"/>
      <c r="E492" s="6" t="n"/>
      <c r="F492" s="6" t="n"/>
      <c r="G492" s="7" t="n"/>
      <c r="H492" s="6" t="n"/>
      <c r="I492" s="8">
        <f>IF(OR(F492="",G492=""),"",F492*G492)</f>
        <v/>
      </c>
      <c r="J492" s="6" t="n"/>
    </row>
    <row r="493">
      <c r="A493" s="5" t="n"/>
      <c r="B493" s="6">
        <f>IF(A493="","",IFERROR(INT((A493-DATE(2026,4,27))/7)+1,""))</f>
        <v/>
      </c>
      <c r="C493" s="6" t="n"/>
      <c r="D493" s="6" t="n"/>
      <c r="E493" s="6" t="n"/>
      <c r="F493" s="6" t="n"/>
      <c r="G493" s="7" t="n"/>
      <c r="H493" s="6" t="n"/>
      <c r="I493" s="8">
        <f>IF(OR(F493="",G493=""),"",F493*G493)</f>
        <v/>
      </c>
      <c r="J493" s="6" t="n"/>
    </row>
    <row r="494">
      <c r="A494" s="5" t="n"/>
      <c r="B494" s="6">
        <f>IF(A494="","",IFERROR(INT((A494-DATE(2026,4,27))/7)+1,""))</f>
        <v/>
      </c>
      <c r="C494" s="6" t="n"/>
      <c r="D494" s="6" t="n"/>
      <c r="E494" s="6" t="n"/>
      <c r="F494" s="6" t="n"/>
      <c r="G494" s="7" t="n"/>
      <c r="H494" s="6" t="n"/>
      <c r="I494" s="8">
        <f>IF(OR(F494="",G494=""),"",F494*G494)</f>
        <v/>
      </c>
      <c r="J494" s="6" t="n"/>
    </row>
    <row r="495">
      <c r="A495" s="5" t="n"/>
      <c r="B495" s="6">
        <f>IF(A495="","",IFERROR(INT((A495-DATE(2026,4,27))/7)+1,""))</f>
        <v/>
      </c>
      <c r="C495" s="6" t="n"/>
      <c r="D495" s="6" t="n"/>
      <c r="E495" s="6" t="n"/>
      <c r="F495" s="6" t="n"/>
      <c r="G495" s="7" t="n"/>
      <c r="H495" s="6" t="n"/>
      <c r="I495" s="8">
        <f>IF(OR(F495="",G495=""),"",F495*G495)</f>
        <v/>
      </c>
      <c r="J495" s="6" t="n"/>
    </row>
    <row r="496">
      <c r="A496" s="5" t="n"/>
      <c r="B496" s="6">
        <f>IF(A496="","",IFERROR(INT((A496-DATE(2026,4,27))/7)+1,""))</f>
        <v/>
      </c>
      <c r="C496" s="6" t="n"/>
      <c r="D496" s="6" t="n"/>
      <c r="E496" s="6" t="n"/>
      <c r="F496" s="6" t="n"/>
      <c r="G496" s="7" t="n"/>
      <c r="H496" s="6" t="n"/>
      <c r="I496" s="8">
        <f>IF(OR(F496="",G496=""),"",F496*G496)</f>
        <v/>
      </c>
      <c r="J496" s="6" t="n"/>
    </row>
    <row r="497">
      <c r="A497" s="5" t="n"/>
      <c r="B497" s="6">
        <f>IF(A497="","",IFERROR(INT((A497-DATE(2026,4,27))/7)+1,""))</f>
        <v/>
      </c>
      <c r="C497" s="6" t="n"/>
      <c r="D497" s="6" t="n"/>
      <c r="E497" s="6" t="n"/>
      <c r="F497" s="6" t="n"/>
      <c r="G497" s="7" t="n"/>
      <c r="H497" s="6" t="n"/>
      <c r="I497" s="8">
        <f>IF(OR(F497="",G497=""),"",F497*G497)</f>
        <v/>
      </c>
      <c r="J497" s="6" t="n"/>
    </row>
    <row r="498">
      <c r="A498" s="5" t="n"/>
      <c r="B498" s="6">
        <f>IF(A498="","",IFERROR(INT((A498-DATE(2026,4,27))/7)+1,""))</f>
        <v/>
      </c>
      <c r="C498" s="6" t="n"/>
      <c r="D498" s="6" t="n"/>
      <c r="E498" s="6" t="n"/>
      <c r="F498" s="6" t="n"/>
      <c r="G498" s="7" t="n"/>
      <c r="H498" s="6" t="n"/>
      <c r="I498" s="8">
        <f>IF(OR(F498="",G498=""),"",F498*G498)</f>
        <v/>
      </c>
      <c r="J498" s="6" t="n"/>
    </row>
    <row r="499">
      <c r="A499" s="5" t="n"/>
      <c r="B499" s="6">
        <f>IF(A499="","",IFERROR(INT((A499-DATE(2026,4,27))/7)+1,""))</f>
        <v/>
      </c>
      <c r="C499" s="6" t="n"/>
      <c r="D499" s="6" t="n"/>
      <c r="E499" s="6" t="n"/>
      <c r="F499" s="6" t="n"/>
      <c r="G499" s="7" t="n"/>
      <c r="H499" s="6" t="n"/>
      <c r="I499" s="8">
        <f>IF(OR(F499="",G499=""),"",F499*G499)</f>
        <v/>
      </c>
      <c r="J499" s="6" t="n"/>
    </row>
    <row r="500">
      <c r="A500" s="5" t="n"/>
      <c r="B500" s="6">
        <f>IF(A500="","",IFERROR(INT((A500-DATE(2026,4,27))/7)+1,""))</f>
        <v/>
      </c>
      <c r="C500" s="6" t="n"/>
      <c r="D500" s="6" t="n"/>
      <c r="E500" s="6" t="n"/>
      <c r="F500" s="6" t="n"/>
      <c r="G500" s="7" t="n"/>
      <c r="H500" s="6" t="n"/>
      <c r="I500" s="8">
        <f>IF(OR(F500="",G500=""),"",F500*G500)</f>
        <v/>
      </c>
      <c r="J500" s="6" t="n"/>
    </row>
    <row r="501">
      <c r="A501" s="5" t="n"/>
      <c r="B501" s="6">
        <f>IF(A501="","",IFERROR(INT((A501-DATE(2026,4,27))/7)+1,""))</f>
        <v/>
      </c>
      <c r="C501" s="6" t="n"/>
      <c r="D501" s="6" t="n"/>
      <c r="E501" s="6" t="n"/>
      <c r="F501" s="6" t="n"/>
      <c r="G501" s="7" t="n"/>
      <c r="H501" s="6" t="n"/>
      <c r="I501" s="8">
        <f>IF(OR(F501="",G501=""),"",F501*G501)</f>
        <v/>
      </c>
      <c r="J501" s="6" t="n"/>
    </row>
    <row r="502">
      <c r="A502" s="5" t="n"/>
      <c r="B502" s="6">
        <f>IF(A502="","",IFERROR(INT((A502-DATE(2026,4,27))/7)+1,""))</f>
        <v/>
      </c>
      <c r="C502" s="6" t="n"/>
      <c r="D502" s="6" t="n"/>
      <c r="E502" s="6" t="n"/>
      <c r="F502" s="6" t="n"/>
      <c r="G502" s="7" t="n"/>
      <c r="H502" s="6" t="n"/>
      <c r="I502" s="8">
        <f>IF(OR(F502="",G502=""),"",F502*G502)</f>
        <v/>
      </c>
      <c r="J502" s="6" t="n"/>
    </row>
    <row r="503">
      <c r="A503" s="5" t="n"/>
      <c r="B503" s="6">
        <f>IF(A503="","",IFERROR(INT((A503-DATE(2026,4,27))/7)+1,""))</f>
        <v/>
      </c>
      <c r="C503" s="6" t="n"/>
      <c r="D503" s="6" t="n"/>
      <c r="E503" s="6" t="n"/>
      <c r="F503" s="6" t="n"/>
      <c r="G503" s="7" t="n"/>
      <c r="H503" s="6" t="n"/>
      <c r="I503" s="8">
        <f>IF(OR(F503="",G503=""),"",F503*G503)</f>
        <v/>
      </c>
      <c r="J503" s="6" t="n"/>
    </row>
    <row r="504">
      <c r="A504" s="5" t="n"/>
      <c r="B504" s="6">
        <f>IF(A504="","",IFERROR(INT((A504-DATE(2026,4,27))/7)+1,""))</f>
        <v/>
      </c>
      <c r="C504" s="6" t="n"/>
      <c r="D504" s="6" t="n"/>
      <c r="E504" s="6" t="n"/>
      <c r="F504" s="6" t="n"/>
      <c r="G504" s="7" t="n"/>
      <c r="H504" s="6" t="n"/>
      <c r="I504" s="8">
        <f>IF(OR(F504="",G504=""),"",F504*G504)</f>
        <v/>
      </c>
      <c r="J504" s="6" t="n"/>
    </row>
    <row r="505">
      <c r="A505" s="5" t="n"/>
      <c r="B505" s="6">
        <f>IF(A505="","",IFERROR(INT((A505-DATE(2026,4,27))/7)+1,""))</f>
        <v/>
      </c>
      <c r="C505" s="6" t="n"/>
      <c r="D505" s="6" t="n"/>
      <c r="E505" s="6" t="n"/>
      <c r="F505" s="6" t="n"/>
      <c r="G505" s="7" t="n"/>
      <c r="H505" s="6" t="n"/>
      <c r="I505" s="8">
        <f>IF(OR(F505="",G505=""),"",F505*G505)</f>
        <v/>
      </c>
      <c r="J505" s="6" t="n"/>
    </row>
    <row r="506">
      <c r="A506" s="5" t="n"/>
      <c r="B506" s="6">
        <f>IF(A506="","",IFERROR(INT((A506-DATE(2026,4,27))/7)+1,""))</f>
        <v/>
      </c>
      <c r="C506" s="6" t="n"/>
      <c r="D506" s="6" t="n"/>
      <c r="E506" s="6" t="n"/>
      <c r="F506" s="6" t="n"/>
      <c r="G506" s="7" t="n"/>
      <c r="H506" s="6" t="n"/>
      <c r="I506" s="8">
        <f>IF(OR(F506="",G506=""),"",F506*G506)</f>
        <v/>
      </c>
      <c r="J506" s="6" t="n"/>
    </row>
    <row r="507">
      <c r="A507" s="5" t="n"/>
      <c r="B507" s="6">
        <f>IF(A507="","",IFERROR(INT((A507-DATE(2026,4,27))/7)+1,""))</f>
        <v/>
      </c>
      <c r="C507" s="6" t="n"/>
      <c r="D507" s="6" t="n"/>
      <c r="E507" s="6" t="n"/>
      <c r="F507" s="6" t="n"/>
      <c r="G507" s="7" t="n"/>
      <c r="H507" s="6" t="n"/>
      <c r="I507" s="8">
        <f>IF(OR(F507="",G507=""),"",F507*G507)</f>
        <v/>
      </c>
      <c r="J507" s="6" t="n"/>
    </row>
    <row r="508">
      <c r="A508" s="5" t="n"/>
      <c r="B508" s="6">
        <f>IF(A508="","",IFERROR(INT((A508-DATE(2026,4,27))/7)+1,""))</f>
        <v/>
      </c>
      <c r="C508" s="6" t="n"/>
      <c r="D508" s="6" t="n"/>
      <c r="E508" s="6" t="n"/>
      <c r="F508" s="6" t="n"/>
      <c r="G508" s="7" t="n"/>
      <c r="H508" s="6" t="n"/>
      <c r="I508" s="8">
        <f>IF(OR(F508="",G508=""),"",F508*G508)</f>
        <v/>
      </c>
      <c r="J508" s="6" t="n"/>
    </row>
    <row r="509">
      <c r="A509" s="5" t="n"/>
      <c r="B509" s="6">
        <f>IF(A509="","",IFERROR(INT((A509-DATE(2026,4,27))/7)+1,""))</f>
        <v/>
      </c>
      <c r="C509" s="6" t="n"/>
      <c r="D509" s="6" t="n"/>
      <c r="E509" s="6" t="n"/>
      <c r="F509" s="6" t="n"/>
      <c r="G509" s="7" t="n"/>
      <c r="H509" s="6" t="n"/>
      <c r="I509" s="8">
        <f>IF(OR(F509="",G509=""),"",F509*G509)</f>
        <v/>
      </c>
      <c r="J509" s="6" t="n"/>
    </row>
    <row r="510">
      <c r="A510" s="5" t="n"/>
      <c r="B510" s="6">
        <f>IF(A510="","",IFERROR(INT((A510-DATE(2026,4,27))/7)+1,""))</f>
        <v/>
      </c>
      <c r="C510" s="6" t="n"/>
      <c r="D510" s="6" t="n"/>
      <c r="E510" s="6" t="n"/>
      <c r="F510" s="6" t="n"/>
      <c r="G510" s="7" t="n"/>
      <c r="H510" s="6" t="n"/>
      <c r="I510" s="8">
        <f>IF(OR(F510="",G510=""),"",F510*G510)</f>
        <v/>
      </c>
      <c r="J510" s="6" t="n"/>
    </row>
    <row r="511">
      <c r="A511" s="5" t="n"/>
      <c r="B511" s="6">
        <f>IF(A511="","",IFERROR(INT((A511-DATE(2026,4,27))/7)+1,""))</f>
        <v/>
      </c>
      <c r="C511" s="6" t="n"/>
      <c r="D511" s="6" t="n"/>
      <c r="E511" s="6" t="n"/>
      <c r="F511" s="6" t="n"/>
      <c r="G511" s="7" t="n"/>
      <c r="H511" s="6" t="n"/>
      <c r="I511" s="8">
        <f>IF(OR(F511="",G511=""),"",F511*G511)</f>
        <v/>
      </c>
      <c r="J511" s="6" t="n"/>
    </row>
    <row r="512">
      <c r="A512" s="5" t="n"/>
      <c r="B512" s="6">
        <f>IF(A512="","",IFERROR(INT((A512-DATE(2026,4,27))/7)+1,""))</f>
        <v/>
      </c>
      <c r="C512" s="6" t="n"/>
      <c r="D512" s="6" t="n"/>
      <c r="E512" s="6" t="n"/>
      <c r="F512" s="6" t="n"/>
      <c r="G512" s="7" t="n"/>
      <c r="H512" s="6" t="n"/>
      <c r="I512" s="8">
        <f>IF(OR(F512="",G512=""),"",F512*G512)</f>
        <v/>
      </c>
      <c r="J512" s="6" t="n"/>
    </row>
    <row r="513">
      <c r="A513" s="5" t="n"/>
      <c r="B513" s="6">
        <f>IF(A513="","",IFERROR(INT((A513-DATE(2026,4,27))/7)+1,""))</f>
        <v/>
      </c>
      <c r="C513" s="6" t="n"/>
      <c r="D513" s="6" t="n"/>
      <c r="E513" s="6" t="n"/>
      <c r="F513" s="6" t="n"/>
      <c r="G513" s="7" t="n"/>
      <c r="H513" s="6" t="n"/>
      <c r="I513" s="8">
        <f>IF(OR(F513="",G513=""),"",F513*G513)</f>
        <v/>
      </c>
      <c r="J513" s="6" t="n"/>
    </row>
    <row r="514">
      <c r="A514" s="5" t="n"/>
      <c r="B514" s="6">
        <f>IF(A514="","",IFERROR(INT((A514-DATE(2026,4,27))/7)+1,""))</f>
        <v/>
      </c>
      <c r="C514" s="6" t="n"/>
      <c r="D514" s="6" t="n"/>
      <c r="E514" s="6" t="n"/>
      <c r="F514" s="6" t="n"/>
      <c r="G514" s="7" t="n"/>
      <c r="H514" s="6" t="n"/>
      <c r="I514" s="8">
        <f>IF(OR(F514="",G514=""),"",F514*G514)</f>
        <v/>
      </c>
      <c r="J514" s="6" t="n"/>
    </row>
    <row r="515">
      <c r="A515" s="5" t="n"/>
      <c r="B515" s="6">
        <f>IF(A515="","",IFERROR(INT((A515-DATE(2026,4,27))/7)+1,""))</f>
        <v/>
      </c>
      <c r="C515" s="6" t="n"/>
      <c r="D515" s="6" t="n"/>
      <c r="E515" s="6" t="n"/>
      <c r="F515" s="6" t="n"/>
      <c r="G515" s="7" t="n"/>
      <c r="H515" s="6" t="n"/>
      <c r="I515" s="8">
        <f>IF(OR(F515="",G515=""),"",F515*G515)</f>
        <v/>
      </c>
      <c r="J515" s="6" t="n"/>
    </row>
    <row r="516">
      <c r="A516" s="5" t="n"/>
      <c r="B516" s="6">
        <f>IF(A516="","",IFERROR(INT((A516-DATE(2026,4,27))/7)+1,""))</f>
        <v/>
      </c>
      <c r="C516" s="6" t="n"/>
      <c r="D516" s="6" t="n"/>
      <c r="E516" s="6" t="n"/>
      <c r="F516" s="6" t="n"/>
      <c r="G516" s="7" t="n"/>
      <c r="H516" s="6" t="n"/>
      <c r="I516" s="8">
        <f>IF(OR(F516="",G516=""),"",F516*G516)</f>
        <v/>
      </c>
      <c r="J516" s="6" t="n"/>
    </row>
    <row r="517">
      <c r="A517" s="5" t="n"/>
      <c r="B517" s="6">
        <f>IF(A517="","",IFERROR(INT((A517-DATE(2026,4,27))/7)+1,""))</f>
        <v/>
      </c>
      <c r="C517" s="6" t="n"/>
      <c r="D517" s="6" t="n"/>
      <c r="E517" s="6" t="n"/>
      <c r="F517" s="6" t="n"/>
      <c r="G517" s="7" t="n"/>
      <c r="H517" s="6" t="n"/>
      <c r="I517" s="8">
        <f>IF(OR(F517="",G517=""),"",F517*G517)</f>
        <v/>
      </c>
      <c r="J517" s="6" t="n"/>
    </row>
    <row r="518">
      <c r="A518" s="5" t="n"/>
      <c r="B518" s="6">
        <f>IF(A518="","",IFERROR(INT((A518-DATE(2026,4,27))/7)+1,""))</f>
        <v/>
      </c>
      <c r="C518" s="6" t="n"/>
      <c r="D518" s="6" t="n"/>
      <c r="E518" s="6" t="n"/>
      <c r="F518" s="6" t="n"/>
      <c r="G518" s="7" t="n"/>
      <c r="H518" s="6" t="n"/>
      <c r="I518" s="8">
        <f>IF(OR(F518="",G518=""),"",F518*G518)</f>
        <v/>
      </c>
      <c r="J518" s="6" t="n"/>
    </row>
    <row r="519">
      <c r="A519" s="5" t="n"/>
      <c r="B519" s="6">
        <f>IF(A519="","",IFERROR(INT((A519-DATE(2026,4,27))/7)+1,""))</f>
        <v/>
      </c>
      <c r="C519" s="6" t="n"/>
      <c r="D519" s="6" t="n"/>
      <c r="E519" s="6" t="n"/>
      <c r="F519" s="6" t="n"/>
      <c r="G519" s="7" t="n"/>
      <c r="H519" s="6" t="n"/>
      <c r="I519" s="8">
        <f>IF(OR(F519="",G519=""),"",F519*G519)</f>
        <v/>
      </c>
      <c r="J519" s="6" t="n"/>
    </row>
    <row r="520">
      <c r="A520" s="5" t="n"/>
      <c r="B520" s="6">
        <f>IF(A520="","",IFERROR(INT((A520-DATE(2026,4,27))/7)+1,""))</f>
        <v/>
      </c>
      <c r="C520" s="6" t="n"/>
      <c r="D520" s="6" t="n"/>
      <c r="E520" s="6" t="n"/>
      <c r="F520" s="6" t="n"/>
      <c r="G520" s="7" t="n"/>
      <c r="H520" s="6" t="n"/>
      <c r="I520" s="8">
        <f>IF(OR(F520="",G520=""),"",F520*G520)</f>
        <v/>
      </c>
      <c r="J520" s="6" t="n"/>
    </row>
    <row r="521">
      <c r="A521" s="5" t="n"/>
      <c r="B521" s="6">
        <f>IF(A521="","",IFERROR(INT((A521-DATE(2026,4,27))/7)+1,""))</f>
        <v/>
      </c>
      <c r="C521" s="6" t="n"/>
      <c r="D521" s="6" t="n"/>
      <c r="E521" s="6" t="n"/>
      <c r="F521" s="6" t="n"/>
      <c r="G521" s="7" t="n"/>
      <c r="H521" s="6" t="n"/>
      <c r="I521" s="8">
        <f>IF(OR(F521="",G521=""),"",F521*G521)</f>
        <v/>
      </c>
      <c r="J521" s="6" t="n"/>
    </row>
    <row r="522">
      <c r="A522" s="5" t="n"/>
      <c r="B522" s="6">
        <f>IF(A522="","",IFERROR(INT((A522-DATE(2026,4,27))/7)+1,""))</f>
        <v/>
      </c>
      <c r="C522" s="6" t="n"/>
      <c r="D522" s="6" t="n"/>
      <c r="E522" s="6" t="n"/>
      <c r="F522" s="6" t="n"/>
      <c r="G522" s="7" t="n"/>
      <c r="H522" s="6" t="n"/>
      <c r="I522" s="8">
        <f>IF(OR(F522="",G522=""),"",F522*G522)</f>
        <v/>
      </c>
      <c r="J522" s="6" t="n"/>
    </row>
    <row r="523">
      <c r="A523" s="5" t="n"/>
      <c r="B523" s="6">
        <f>IF(A523="","",IFERROR(INT((A523-DATE(2026,4,27))/7)+1,""))</f>
        <v/>
      </c>
      <c r="C523" s="6" t="n"/>
      <c r="D523" s="6" t="n"/>
      <c r="E523" s="6" t="n"/>
      <c r="F523" s="6" t="n"/>
      <c r="G523" s="7" t="n"/>
      <c r="H523" s="6" t="n"/>
      <c r="I523" s="8">
        <f>IF(OR(F523="",G523=""),"",F523*G523)</f>
        <v/>
      </c>
      <c r="J523" s="6" t="n"/>
    </row>
    <row r="524">
      <c r="A524" s="5" t="n"/>
      <c r="B524" s="6">
        <f>IF(A524="","",IFERROR(INT((A524-DATE(2026,4,27))/7)+1,""))</f>
        <v/>
      </c>
      <c r="C524" s="6" t="n"/>
      <c r="D524" s="6" t="n"/>
      <c r="E524" s="6" t="n"/>
      <c r="F524" s="6" t="n"/>
      <c r="G524" s="7" t="n"/>
      <c r="H524" s="6" t="n"/>
      <c r="I524" s="8">
        <f>IF(OR(F524="",G524=""),"",F524*G524)</f>
        <v/>
      </c>
      <c r="J524" s="6" t="n"/>
    </row>
    <row r="525">
      <c r="A525" s="5" t="n"/>
      <c r="B525" s="6">
        <f>IF(A525="","",IFERROR(INT((A525-DATE(2026,4,27))/7)+1,""))</f>
        <v/>
      </c>
      <c r="C525" s="6" t="n"/>
      <c r="D525" s="6" t="n"/>
      <c r="E525" s="6" t="n"/>
      <c r="F525" s="6" t="n"/>
      <c r="G525" s="7" t="n"/>
      <c r="H525" s="6" t="n"/>
      <c r="I525" s="8">
        <f>IF(OR(F525="",G525=""),"",F525*G525)</f>
        <v/>
      </c>
      <c r="J525" s="6" t="n"/>
    </row>
    <row r="526">
      <c r="A526" s="5" t="n"/>
      <c r="B526" s="6">
        <f>IF(A526="","",IFERROR(INT((A526-DATE(2026,4,27))/7)+1,""))</f>
        <v/>
      </c>
      <c r="C526" s="6" t="n"/>
      <c r="D526" s="6" t="n"/>
      <c r="E526" s="6" t="n"/>
      <c r="F526" s="6" t="n"/>
      <c r="G526" s="7" t="n"/>
      <c r="H526" s="6" t="n"/>
      <c r="I526" s="8">
        <f>IF(OR(F526="",G526=""),"",F526*G526)</f>
        <v/>
      </c>
      <c r="J526" s="6" t="n"/>
    </row>
    <row r="527">
      <c r="A527" s="5" t="n"/>
      <c r="B527" s="6">
        <f>IF(A527="","",IFERROR(INT((A527-DATE(2026,4,27))/7)+1,""))</f>
        <v/>
      </c>
      <c r="C527" s="6" t="n"/>
      <c r="D527" s="6" t="n"/>
      <c r="E527" s="6" t="n"/>
      <c r="F527" s="6" t="n"/>
      <c r="G527" s="7" t="n"/>
      <c r="H527" s="6" t="n"/>
      <c r="I527" s="8">
        <f>IF(OR(F527="",G527=""),"",F527*G527)</f>
        <v/>
      </c>
      <c r="J527" s="6" t="n"/>
    </row>
    <row r="528">
      <c r="A528" s="5" t="n"/>
      <c r="B528" s="6">
        <f>IF(A528="","",IFERROR(INT((A528-DATE(2026,4,27))/7)+1,""))</f>
        <v/>
      </c>
      <c r="C528" s="6" t="n"/>
      <c r="D528" s="6" t="n"/>
      <c r="E528" s="6" t="n"/>
      <c r="F528" s="6" t="n"/>
      <c r="G528" s="7" t="n"/>
      <c r="H528" s="6" t="n"/>
      <c r="I528" s="8">
        <f>IF(OR(F528="",G528=""),"",F528*G528)</f>
        <v/>
      </c>
      <c r="J528" s="6" t="n"/>
    </row>
    <row r="529">
      <c r="A529" s="5" t="n"/>
      <c r="B529" s="6">
        <f>IF(A529="","",IFERROR(INT((A529-DATE(2026,4,27))/7)+1,""))</f>
        <v/>
      </c>
      <c r="C529" s="6" t="n"/>
      <c r="D529" s="6" t="n"/>
      <c r="E529" s="6" t="n"/>
      <c r="F529" s="6" t="n"/>
      <c r="G529" s="7" t="n"/>
      <c r="H529" s="6" t="n"/>
      <c r="I529" s="8">
        <f>IF(OR(F529="",G529=""),"",F529*G529)</f>
        <v/>
      </c>
      <c r="J529" s="6" t="n"/>
    </row>
    <row r="530">
      <c r="A530" s="5" t="n"/>
      <c r="B530" s="6">
        <f>IF(A530="","",IFERROR(INT((A530-DATE(2026,4,27))/7)+1,""))</f>
        <v/>
      </c>
      <c r="C530" s="6" t="n"/>
      <c r="D530" s="6" t="n"/>
      <c r="E530" s="6" t="n"/>
      <c r="F530" s="6" t="n"/>
      <c r="G530" s="7" t="n"/>
      <c r="H530" s="6" t="n"/>
      <c r="I530" s="8">
        <f>IF(OR(F530="",G530=""),"",F530*G530)</f>
        <v/>
      </c>
      <c r="J530" s="6" t="n"/>
    </row>
    <row r="531">
      <c r="A531" s="5" t="n"/>
      <c r="B531" s="6">
        <f>IF(A531="","",IFERROR(INT((A531-DATE(2026,4,27))/7)+1,""))</f>
        <v/>
      </c>
      <c r="C531" s="6" t="n"/>
      <c r="D531" s="6" t="n"/>
      <c r="E531" s="6" t="n"/>
      <c r="F531" s="6" t="n"/>
      <c r="G531" s="7" t="n"/>
      <c r="H531" s="6" t="n"/>
      <c r="I531" s="8">
        <f>IF(OR(F531="",G531=""),"",F531*G531)</f>
        <v/>
      </c>
      <c r="J531" s="6" t="n"/>
    </row>
    <row r="532">
      <c r="A532" s="5" t="n"/>
      <c r="B532" s="6">
        <f>IF(A532="","",IFERROR(INT((A532-DATE(2026,4,27))/7)+1,""))</f>
        <v/>
      </c>
      <c r="C532" s="6" t="n"/>
      <c r="D532" s="6" t="n"/>
      <c r="E532" s="6" t="n"/>
      <c r="F532" s="6" t="n"/>
      <c r="G532" s="7" t="n"/>
      <c r="H532" s="6" t="n"/>
      <c r="I532" s="8">
        <f>IF(OR(F532="",G532=""),"",F532*G532)</f>
        <v/>
      </c>
      <c r="J532" s="6" t="n"/>
    </row>
    <row r="533">
      <c r="A533" s="5" t="n"/>
      <c r="B533" s="6">
        <f>IF(A533="","",IFERROR(INT((A533-DATE(2026,4,27))/7)+1,""))</f>
        <v/>
      </c>
      <c r="C533" s="6" t="n"/>
      <c r="D533" s="6" t="n"/>
      <c r="E533" s="6" t="n"/>
      <c r="F533" s="6" t="n"/>
      <c r="G533" s="7" t="n"/>
      <c r="H533" s="6" t="n"/>
      <c r="I533" s="8">
        <f>IF(OR(F533="",G533=""),"",F533*G533)</f>
        <v/>
      </c>
      <c r="J533" s="6" t="n"/>
    </row>
    <row r="534">
      <c r="A534" s="5" t="n"/>
      <c r="B534" s="6">
        <f>IF(A534="","",IFERROR(INT((A534-DATE(2026,4,27))/7)+1,""))</f>
        <v/>
      </c>
      <c r="C534" s="6" t="n"/>
      <c r="D534" s="6" t="n"/>
      <c r="E534" s="6" t="n"/>
      <c r="F534" s="6" t="n"/>
      <c r="G534" s="7" t="n"/>
      <c r="H534" s="6" t="n"/>
      <c r="I534" s="8">
        <f>IF(OR(F534="",G534=""),"",F534*G534)</f>
        <v/>
      </c>
      <c r="J534" s="6" t="n"/>
    </row>
    <row r="535">
      <c r="A535" s="5" t="n"/>
      <c r="B535" s="6">
        <f>IF(A535="","",IFERROR(INT((A535-DATE(2026,4,27))/7)+1,""))</f>
        <v/>
      </c>
      <c r="C535" s="6" t="n"/>
      <c r="D535" s="6" t="n"/>
      <c r="E535" s="6" t="n"/>
      <c r="F535" s="6" t="n"/>
      <c r="G535" s="7" t="n"/>
      <c r="H535" s="6" t="n"/>
      <c r="I535" s="8">
        <f>IF(OR(F535="",G535=""),"",F535*G535)</f>
        <v/>
      </c>
      <c r="J535" s="6" t="n"/>
    </row>
    <row r="536">
      <c r="A536" s="5" t="n"/>
      <c r="B536" s="6">
        <f>IF(A536="","",IFERROR(INT((A536-DATE(2026,4,27))/7)+1,""))</f>
        <v/>
      </c>
      <c r="C536" s="6" t="n"/>
      <c r="D536" s="6" t="n"/>
      <c r="E536" s="6" t="n"/>
      <c r="F536" s="6" t="n"/>
      <c r="G536" s="7" t="n"/>
      <c r="H536" s="6" t="n"/>
      <c r="I536" s="8">
        <f>IF(OR(F536="",G536=""),"",F536*G536)</f>
        <v/>
      </c>
      <c r="J536" s="6" t="n"/>
    </row>
    <row r="537">
      <c r="A537" s="5" t="n"/>
      <c r="B537" s="6">
        <f>IF(A537="","",IFERROR(INT((A537-DATE(2026,4,27))/7)+1,""))</f>
        <v/>
      </c>
      <c r="C537" s="6" t="n"/>
      <c r="D537" s="6" t="n"/>
      <c r="E537" s="6" t="n"/>
      <c r="F537" s="6" t="n"/>
      <c r="G537" s="7" t="n"/>
      <c r="H537" s="6" t="n"/>
      <c r="I537" s="8">
        <f>IF(OR(F537="",G537=""),"",F537*G537)</f>
        <v/>
      </c>
      <c r="J537" s="6" t="n"/>
    </row>
    <row r="538">
      <c r="A538" s="5" t="n"/>
      <c r="B538" s="6">
        <f>IF(A538="","",IFERROR(INT((A538-DATE(2026,4,27))/7)+1,""))</f>
        <v/>
      </c>
      <c r="C538" s="6" t="n"/>
      <c r="D538" s="6" t="n"/>
      <c r="E538" s="6" t="n"/>
      <c r="F538" s="6" t="n"/>
      <c r="G538" s="7" t="n"/>
      <c r="H538" s="6" t="n"/>
      <c r="I538" s="8">
        <f>IF(OR(F538="",G538=""),"",F538*G538)</f>
        <v/>
      </c>
      <c r="J538" s="6" t="n"/>
    </row>
    <row r="539">
      <c r="A539" s="5" t="n"/>
      <c r="B539" s="6">
        <f>IF(A539="","",IFERROR(INT((A539-DATE(2026,4,27))/7)+1,""))</f>
        <v/>
      </c>
      <c r="C539" s="6" t="n"/>
      <c r="D539" s="6" t="n"/>
      <c r="E539" s="6" t="n"/>
      <c r="F539" s="6" t="n"/>
      <c r="G539" s="7" t="n"/>
      <c r="H539" s="6" t="n"/>
      <c r="I539" s="8">
        <f>IF(OR(F539="",G539=""),"",F539*G539)</f>
        <v/>
      </c>
      <c r="J539" s="6" t="n"/>
    </row>
    <row r="540">
      <c r="A540" s="5" t="n"/>
      <c r="B540" s="6">
        <f>IF(A540="","",IFERROR(INT((A540-DATE(2026,4,27))/7)+1,""))</f>
        <v/>
      </c>
      <c r="C540" s="6" t="n"/>
      <c r="D540" s="6" t="n"/>
      <c r="E540" s="6" t="n"/>
      <c r="F540" s="6" t="n"/>
      <c r="G540" s="7" t="n"/>
      <c r="H540" s="6" t="n"/>
      <c r="I540" s="8">
        <f>IF(OR(F540="",G540=""),"",F540*G540)</f>
        <v/>
      </c>
      <c r="J540" s="6" t="n"/>
    </row>
    <row r="541">
      <c r="A541" s="5" t="n"/>
      <c r="B541" s="6">
        <f>IF(A541="","",IFERROR(INT((A541-DATE(2026,4,27))/7)+1,""))</f>
        <v/>
      </c>
      <c r="C541" s="6" t="n"/>
      <c r="D541" s="6" t="n"/>
      <c r="E541" s="6" t="n"/>
      <c r="F541" s="6" t="n"/>
      <c r="G541" s="7" t="n"/>
      <c r="H541" s="6" t="n"/>
      <c r="I541" s="8">
        <f>IF(OR(F541="",G541=""),"",F541*G541)</f>
        <v/>
      </c>
      <c r="J541" s="6" t="n"/>
    </row>
    <row r="542">
      <c r="A542" s="5" t="n"/>
      <c r="B542" s="6">
        <f>IF(A542="","",IFERROR(INT((A542-DATE(2026,4,27))/7)+1,""))</f>
        <v/>
      </c>
      <c r="C542" s="6" t="n"/>
      <c r="D542" s="6" t="n"/>
      <c r="E542" s="6" t="n"/>
      <c r="F542" s="6" t="n"/>
      <c r="G542" s="7" t="n"/>
      <c r="H542" s="6" t="n"/>
      <c r="I542" s="8">
        <f>IF(OR(F542="",G542=""),"",F542*G542)</f>
        <v/>
      </c>
      <c r="J542" s="6" t="n"/>
    </row>
    <row r="543">
      <c r="A543" s="5" t="n"/>
      <c r="B543" s="6">
        <f>IF(A543="","",IFERROR(INT((A543-DATE(2026,4,27))/7)+1,""))</f>
        <v/>
      </c>
      <c r="C543" s="6" t="n"/>
      <c r="D543" s="6" t="n"/>
      <c r="E543" s="6" t="n"/>
      <c r="F543" s="6" t="n"/>
      <c r="G543" s="7" t="n"/>
      <c r="H543" s="6" t="n"/>
      <c r="I543" s="8">
        <f>IF(OR(F543="",G543=""),"",F543*G543)</f>
        <v/>
      </c>
      <c r="J543" s="6" t="n"/>
    </row>
    <row r="544">
      <c r="A544" s="5" t="n"/>
      <c r="B544" s="6">
        <f>IF(A544="","",IFERROR(INT((A544-DATE(2026,4,27))/7)+1,""))</f>
        <v/>
      </c>
      <c r="C544" s="6" t="n"/>
      <c r="D544" s="6" t="n"/>
      <c r="E544" s="6" t="n"/>
      <c r="F544" s="6" t="n"/>
      <c r="G544" s="7" t="n"/>
      <c r="H544" s="6" t="n"/>
      <c r="I544" s="8">
        <f>IF(OR(F544="",G544=""),"",F544*G544)</f>
        <v/>
      </c>
      <c r="J544" s="6" t="n"/>
    </row>
    <row r="545">
      <c r="A545" s="5" t="n"/>
      <c r="B545" s="6">
        <f>IF(A545="","",IFERROR(INT((A545-DATE(2026,4,27))/7)+1,""))</f>
        <v/>
      </c>
      <c r="C545" s="6" t="n"/>
      <c r="D545" s="6" t="n"/>
      <c r="E545" s="6" t="n"/>
      <c r="F545" s="6" t="n"/>
      <c r="G545" s="7" t="n"/>
      <c r="H545" s="6" t="n"/>
      <c r="I545" s="8">
        <f>IF(OR(F545="",G545=""),"",F545*G545)</f>
        <v/>
      </c>
      <c r="J545" s="6" t="n"/>
    </row>
    <row r="546">
      <c r="A546" s="5" t="n"/>
      <c r="B546" s="6">
        <f>IF(A546="","",IFERROR(INT((A546-DATE(2026,4,27))/7)+1,""))</f>
        <v/>
      </c>
      <c r="C546" s="6" t="n"/>
      <c r="D546" s="6" t="n"/>
      <c r="E546" s="6" t="n"/>
      <c r="F546" s="6" t="n"/>
      <c r="G546" s="7" t="n"/>
      <c r="H546" s="6" t="n"/>
      <c r="I546" s="8">
        <f>IF(OR(F546="",G546=""),"",F546*G546)</f>
        <v/>
      </c>
      <c r="J546" s="6" t="n"/>
    </row>
    <row r="547">
      <c r="A547" s="5" t="n"/>
      <c r="B547" s="6">
        <f>IF(A547="","",IFERROR(INT((A547-DATE(2026,4,27))/7)+1,""))</f>
        <v/>
      </c>
      <c r="C547" s="6" t="n"/>
      <c r="D547" s="6" t="n"/>
      <c r="E547" s="6" t="n"/>
      <c r="F547" s="6" t="n"/>
      <c r="G547" s="7" t="n"/>
      <c r="H547" s="6" t="n"/>
      <c r="I547" s="8">
        <f>IF(OR(F547="",G547=""),"",F547*G547)</f>
        <v/>
      </c>
      <c r="J547" s="6" t="n"/>
    </row>
    <row r="548">
      <c r="A548" s="5" t="n"/>
      <c r="B548" s="6">
        <f>IF(A548="","",IFERROR(INT((A548-DATE(2026,4,27))/7)+1,""))</f>
        <v/>
      </c>
      <c r="C548" s="6" t="n"/>
      <c r="D548" s="6" t="n"/>
      <c r="E548" s="6" t="n"/>
      <c r="F548" s="6" t="n"/>
      <c r="G548" s="7" t="n"/>
      <c r="H548" s="6" t="n"/>
      <c r="I548" s="8">
        <f>IF(OR(F548="",G548=""),"",F548*G548)</f>
        <v/>
      </c>
      <c r="J548" s="6" t="n"/>
    </row>
    <row r="549">
      <c r="A549" s="5" t="n"/>
      <c r="B549" s="6">
        <f>IF(A549="","",IFERROR(INT((A549-DATE(2026,4,27))/7)+1,""))</f>
        <v/>
      </c>
      <c r="C549" s="6" t="n"/>
      <c r="D549" s="6" t="n"/>
      <c r="E549" s="6" t="n"/>
      <c r="F549" s="6" t="n"/>
      <c r="G549" s="7" t="n"/>
      <c r="H549" s="6" t="n"/>
      <c r="I549" s="8">
        <f>IF(OR(F549="",G549=""),"",F549*G549)</f>
        <v/>
      </c>
      <c r="J549" s="6" t="n"/>
    </row>
    <row r="550">
      <c r="A550" s="5" t="n"/>
      <c r="B550" s="6">
        <f>IF(A550="","",IFERROR(INT((A550-DATE(2026,4,27))/7)+1,""))</f>
        <v/>
      </c>
      <c r="C550" s="6" t="n"/>
      <c r="D550" s="6" t="n"/>
      <c r="E550" s="6" t="n"/>
      <c r="F550" s="6" t="n"/>
      <c r="G550" s="7" t="n"/>
      <c r="H550" s="6" t="n"/>
      <c r="I550" s="8">
        <f>IF(OR(F550="",G550=""),"",F550*G550)</f>
        <v/>
      </c>
      <c r="J550" s="6" t="n"/>
    </row>
    <row r="551">
      <c r="A551" s="5" t="n"/>
      <c r="B551" s="6">
        <f>IF(A551="","",IFERROR(INT((A551-DATE(2026,4,27))/7)+1,""))</f>
        <v/>
      </c>
      <c r="C551" s="6" t="n"/>
      <c r="D551" s="6" t="n"/>
      <c r="E551" s="6" t="n"/>
      <c r="F551" s="6" t="n"/>
      <c r="G551" s="7" t="n"/>
      <c r="H551" s="6" t="n"/>
      <c r="I551" s="8">
        <f>IF(OR(F551="",G551=""),"",F551*G551)</f>
        <v/>
      </c>
      <c r="J551" s="6" t="n"/>
    </row>
    <row r="552">
      <c r="A552" s="5" t="n"/>
      <c r="B552" s="6">
        <f>IF(A552="","",IFERROR(INT((A552-DATE(2026,4,27))/7)+1,""))</f>
        <v/>
      </c>
      <c r="C552" s="6" t="n"/>
      <c r="D552" s="6" t="n"/>
      <c r="E552" s="6" t="n"/>
      <c r="F552" s="6" t="n"/>
      <c r="G552" s="7" t="n"/>
      <c r="H552" s="6" t="n"/>
      <c r="I552" s="8">
        <f>IF(OR(F552="",G552=""),"",F552*G552)</f>
        <v/>
      </c>
      <c r="J552" s="6" t="n"/>
    </row>
    <row r="553">
      <c r="A553" s="5" t="n"/>
      <c r="B553" s="6">
        <f>IF(A553="","",IFERROR(INT((A553-DATE(2026,4,27))/7)+1,""))</f>
        <v/>
      </c>
      <c r="C553" s="6" t="n"/>
      <c r="D553" s="6" t="n"/>
      <c r="E553" s="6" t="n"/>
      <c r="F553" s="6" t="n"/>
      <c r="G553" s="7" t="n"/>
      <c r="H553" s="6" t="n"/>
      <c r="I553" s="8">
        <f>IF(OR(F553="",G553=""),"",F553*G553)</f>
        <v/>
      </c>
      <c r="J553" s="6" t="n"/>
    </row>
    <row r="554">
      <c r="A554" s="5" t="n"/>
      <c r="B554" s="6">
        <f>IF(A554="","",IFERROR(INT((A554-DATE(2026,4,27))/7)+1,""))</f>
        <v/>
      </c>
      <c r="C554" s="6" t="n"/>
      <c r="D554" s="6" t="n"/>
      <c r="E554" s="6" t="n"/>
      <c r="F554" s="6" t="n"/>
      <c r="G554" s="7" t="n"/>
      <c r="H554" s="6" t="n"/>
      <c r="I554" s="8">
        <f>IF(OR(F554="",G554=""),"",F554*G554)</f>
        <v/>
      </c>
      <c r="J554" s="6" t="n"/>
    </row>
    <row r="555">
      <c r="A555" s="5" t="n"/>
      <c r="B555" s="6">
        <f>IF(A555="","",IFERROR(INT((A555-DATE(2026,4,27))/7)+1,""))</f>
        <v/>
      </c>
      <c r="C555" s="6" t="n"/>
      <c r="D555" s="6" t="n"/>
      <c r="E555" s="6" t="n"/>
      <c r="F555" s="6" t="n"/>
      <c r="G555" s="7" t="n"/>
      <c r="H555" s="6" t="n"/>
      <c r="I555" s="8">
        <f>IF(OR(F555="",G555=""),"",F555*G555)</f>
        <v/>
      </c>
      <c r="J555" s="6" t="n"/>
    </row>
    <row r="556">
      <c r="A556" s="5" t="n"/>
      <c r="B556" s="6">
        <f>IF(A556="","",IFERROR(INT((A556-DATE(2026,4,27))/7)+1,""))</f>
        <v/>
      </c>
      <c r="C556" s="6" t="n"/>
      <c r="D556" s="6" t="n"/>
      <c r="E556" s="6" t="n"/>
      <c r="F556" s="6" t="n"/>
      <c r="G556" s="7" t="n"/>
      <c r="H556" s="6" t="n"/>
      <c r="I556" s="8">
        <f>IF(OR(F556="",G556=""),"",F556*G556)</f>
        <v/>
      </c>
      <c r="J556" s="6" t="n"/>
    </row>
    <row r="557">
      <c r="A557" s="5" t="n"/>
      <c r="B557" s="6">
        <f>IF(A557="","",IFERROR(INT((A557-DATE(2026,4,27))/7)+1,""))</f>
        <v/>
      </c>
      <c r="C557" s="6" t="n"/>
      <c r="D557" s="6" t="n"/>
      <c r="E557" s="6" t="n"/>
      <c r="F557" s="6" t="n"/>
      <c r="G557" s="7" t="n"/>
      <c r="H557" s="6" t="n"/>
      <c r="I557" s="8">
        <f>IF(OR(F557="",G557=""),"",F557*G557)</f>
        <v/>
      </c>
      <c r="J557" s="6" t="n"/>
    </row>
    <row r="558">
      <c r="A558" s="5" t="n"/>
      <c r="B558" s="6">
        <f>IF(A558="","",IFERROR(INT((A558-DATE(2026,4,27))/7)+1,""))</f>
        <v/>
      </c>
      <c r="C558" s="6" t="n"/>
      <c r="D558" s="6" t="n"/>
      <c r="E558" s="6" t="n"/>
      <c r="F558" s="6" t="n"/>
      <c r="G558" s="7" t="n"/>
      <c r="H558" s="6" t="n"/>
      <c r="I558" s="8">
        <f>IF(OR(F558="",G558=""),"",F558*G558)</f>
        <v/>
      </c>
      <c r="J558" s="6" t="n"/>
    </row>
    <row r="559">
      <c r="A559" s="5" t="n"/>
      <c r="B559" s="6">
        <f>IF(A559="","",IFERROR(INT((A559-DATE(2026,4,27))/7)+1,""))</f>
        <v/>
      </c>
      <c r="C559" s="6" t="n"/>
      <c r="D559" s="6" t="n"/>
      <c r="E559" s="6" t="n"/>
      <c r="F559" s="6" t="n"/>
      <c r="G559" s="7" t="n"/>
      <c r="H559" s="6" t="n"/>
      <c r="I559" s="8">
        <f>IF(OR(F559="",G559=""),"",F559*G559)</f>
        <v/>
      </c>
      <c r="J559" s="6" t="n"/>
    </row>
    <row r="560">
      <c r="A560" s="5" t="n"/>
      <c r="B560" s="6">
        <f>IF(A560="","",IFERROR(INT((A560-DATE(2026,4,27))/7)+1,""))</f>
        <v/>
      </c>
      <c r="C560" s="6" t="n"/>
      <c r="D560" s="6" t="n"/>
      <c r="E560" s="6" t="n"/>
      <c r="F560" s="6" t="n"/>
      <c r="G560" s="7" t="n"/>
      <c r="H560" s="6" t="n"/>
      <c r="I560" s="8">
        <f>IF(OR(F560="",G560=""),"",F560*G560)</f>
        <v/>
      </c>
      <c r="J560" s="6" t="n"/>
    </row>
    <row r="561">
      <c r="A561" s="5" t="n"/>
      <c r="B561" s="6">
        <f>IF(A561="","",IFERROR(INT((A561-DATE(2026,4,27))/7)+1,""))</f>
        <v/>
      </c>
      <c r="C561" s="6" t="n"/>
      <c r="D561" s="6" t="n"/>
      <c r="E561" s="6" t="n"/>
      <c r="F561" s="6" t="n"/>
      <c r="G561" s="7" t="n"/>
      <c r="H561" s="6" t="n"/>
      <c r="I561" s="8">
        <f>IF(OR(F561="",G561=""),"",F561*G561)</f>
        <v/>
      </c>
      <c r="J561" s="6" t="n"/>
    </row>
    <row r="562">
      <c r="A562" s="5" t="n"/>
      <c r="B562" s="6">
        <f>IF(A562="","",IFERROR(INT((A562-DATE(2026,4,27))/7)+1,""))</f>
        <v/>
      </c>
      <c r="C562" s="6" t="n"/>
      <c r="D562" s="6" t="n"/>
      <c r="E562" s="6" t="n"/>
      <c r="F562" s="6" t="n"/>
      <c r="G562" s="7" t="n"/>
      <c r="H562" s="6" t="n"/>
      <c r="I562" s="8">
        <f>IF(OR(F562="",G562=""),"",F562*G562)</f>
        <v/>
      </c>
      <c r="J562" s="6" t="n"/>
    </row>
    <row r="563">
      <c r="A563" s="5" t="n"/>
      <c r="B563" s="6">
        <f>IF(A563="","",IFERROR(INT((A563-DATE(2026,4,27))/7)+1,""))</f>
        <v/>
      </c>
      <c r="C563" s="6" t="n"/>
      <c r="D563" s="6" t="n"/>
      <c r="E563" s="6" t="n"/>
      <c r="F563" s="6" t="n"/>
      <c r="G563" s="7" t="n"/>
      <c r="H563" s="6" t="n"/>
      <c r="I563" s="8">
        <f>IF(OR(F563="",G563=""),"",F563*G563)</f>
        <v/>
      </c>
      <c r="J563" s="6" t="n"/>
    </row>
    <row r="564">
      <c r="A564" s="5" t="n"/>
      <c r="B564" s="6">
        <f>IF(A564="","",IFERROR(INT((A564-DATE(2026,4,27))/7)+1,""))</f>
        <v/>
      </c>
      <c r="C564" s="6" t="n"/>
      <c r="D564" s="6" t="n"/>
      <c r="E564" s="6" t="n"/>
      <c r="F564" s="6" t="n"/>
      <c r="G564" s="7" t="n"/>
      <c r="H564" s="6" t="n"/>
      <c r="I564" s="8">
        <f>IF(OR(F564="",G564=""),"",F564*G564)</f>
        <v/>
      </c>
      <c r="J564" s="6" t="n"/>
    </row>
    <row r="565">
      <c r="A565" s="5" t="n"/>
      <c r="B565" s="6">
        <f>IF(A565="","",IFERROR(INT((A565-DATE(2026,4,27))/7)+1,""))</f>
        <v/>
      </c>
      <c r="C565" s="6" t="n"/>
      <c r="D565" s="6" t="n"/>
      <c r="E565" s="6" t="n"/>
      <c r="F565" s="6" t="n"/>
      <c r="G565" s="7" t="n"/>
      <c r="H565" s="6" t="n"/>
      <c r="I565" s="8">
        <f>IF(OR(F565="",G565=""),"",F565*G565)</f>
        <v/>
      </c>
      <c r="J565" s="6" t="n"/>
    </row>
    <row r="566">
      <c r="A566" s="5" t="n"/>
      <c r="B566" s="6">
        <f>IF(A566="","",IFERROR(INT((A566-DATE(2026,4,27))/7)+1,""))</f>
        <v/>
      </c>
      <c r="C566" s="6" t="n"/>
      <c r="D566" s="6" t="n"/>
      <c r="E566" s="6" t="n"/>
      <c r="F566" s="6" t="n"/>
      <c r="G566" s="7" t="n"/>
      <c r="H566" s="6" t="n"/>
      <c r="I566" s="8">
        <f>IF(OR(F566="",G566=""),"",F566*G566)</f>
        <v/>
      </c>
      <c r="J566" s="6" t="n"/>
    </row>
    <row r="567">
      <c r="A567" s="5" t="n"/>
      <c r="B567" s="6">
        <f>IF(A567="","",IFERROR(INT((A567-DATE(2026,4,27))/7)+1,""))</f>
        <v/>
      </c>
      <c r="C567" s="6" t="n"/>
      <c r="D567" s="6" t="n"/>
      <c r="E567" s="6" t="n"/>
      <c r="F567" s="6" t="n"/>
      <c r="G567" s="7" t="n"/>
      <c r="H567" s="6" t="n"/>
      <c r="I567" s="8">
        <f>IF(OR(F567="",G567=""),"",F567*G567)</f>
        <v/>
      </c>
      <c r="J567" s="6" t="n"/>
    </row>
    <row r="568">
      <c r="A568" s="5" t="n"/>
      <c r="B568" s="6">
        <f>IF(A568="","",IFERROR(INT((A568-DATE(2026,4,27))/7)+1,""))</f>
        <v/>
      </c>
      <c r="C568" s="6" t="n"/>
      <c r="D568" s="6" t="n"/>
      <c r="E568" s="6" t="n"/>
      <c r="F568" s="6" t="n"/>
      <c r="G568" s="7" t="n"/>
      <c r="H568" s="6" t="n"/>
      <c r="I568" s="8">
        <f>IF(OR(F568="",G568=""),"",F568*G568)</f>
        <v/>
      </c>
      <c r="J568" s="6" t="n"/>
    </row>
    <row r="569">
      <c r="A569" s="5" t="n"/>
      <c r="B569" s="6">
        <f>IF(A569="","",IFERROR(INT((A569-DATE(2026,4,27))/7)+1,""))</f>
        <v/>
      </c>
      <c r="C569" s="6" t="n"/>
      <c r="D569" s="6" t="n"/>
      <c r="E569" s="6" t="n"/>
      <c r="F569" s="6" t="n"/>
      <c r="G569" s="7" t="n"/>
      <c r="H569" s="6" t="n"/>
      <c r="I569" s="8">
        <f>IF(OR(F569="",G569=""),"",F569*G569)</f>
        <v/>
      </c>
      <c r="J569" s="6" t="n"/>
    </row>
    <row r="570">
      <c r="A570" s="5" t="n"/>
      <c r="B570" s="6">
        <f>IF(A570="","",IFERROR(INT((A570-DATE(2026,4,27))/7)+1,""))</f>
        <v/>
      </c>
      <c r="C570" s="6" t="n"/>
      <c r="D570" s="6" t="n"/>
      <c r="E570" s="6" t="n"/>
      <c r="F570" s="6" t="n"/>
      <c r="G570" s="7" t="n"/>
      <c r="H570" s="6" t="n"/>
      <c r="I570" s="8">
        <f>IF(OR(F570="",G570=""),"",F570*G570)</f>
        <v/>
      </c>
      <c r="J570" s="6" t="n"/>
    </row>
    <row r="571">
      <c r="A571" s="5" t="n"/>
      <c r="B571" s="6">
        <f>IF(A571="","",IFERROR(INT((A571-DATE(2026,4,27))/7)+1,""))</f>
        <v/>
      </c>
      <c r="C571" s="6" t="n"/>
      <c r="D571" s="6" t="n"/>
      <c r="E571" s="6" t="n"/>
      <c r="F571" s="6" t="n"/>
      <c r="G571" s="7" t="n"/>
      <c r="H571" s="6" t="n"/>
      <c r="I571" s="8">
        <f>IF(OR(F571="",G571=""),"",F571*G571)</f>
        <v/>
      </c>
      <c r="J571" s="6" t="n"/>
    </row>
    <row r="572">
      <c r="A572" s="5" t="n"/>
      <c r="B572" s="6">
        <f>IF(A572="","",IFERROR(INT((A572-DATE(2026,4,27))/7)+1,""))</f>
        <v/>
      </c>
      <c r="C572" s="6" t="n"/>
      <c r="D572" s="6" t="n"/>
      <c r="E572" s="6" t="n"/>
      <c r="F572" s="6" t="n"/>
      <c r="G572" s="7" t="n"/>
      <c r="H572" s="6" t="n"/>
      <c r="I572" s="8">
        <f>IF(OR(F572="",G572=""),"",F572*G572)</f>
        <v/>
      </c>
      <c r="J572" s="6" t="n"/>
    </row>
    <row r="573">
      <c r="A573" s="5" t="n"/>
      <c r="B573" s="6">
        <f>IF(A573="","",IFERROR(INT((A573-DATE(2026,4,27))/7)+1,""))</f>
        <v/>
      </c>
      <c r="C573" s="6" t="n"/>
      <c r="D573" s="6" t="n"/>
      <c r="E573" s="6" t="n"/>
      <c r="F573" s="6" t="n"/>
      <c r="G573" s="7" t="n"/>
      <c r="H573" s="6" t="n"/>
      <c r="I573" s="8">
        <f>IF(OR(F573="",G573=""),"",F573*G573)</f>
        <v/>
      </c>
      <c r="J573" s="6" t="n"/>
    </row>
    <row r="574">
      <c r="A574" s="5" t="n"/>
      <c r="B574" s="6">
        <f>IF(A574="","",IFERROR(INT((A574-DATE(2026,4,27))/7)+1,""))</f>
        <v/>
      </c>
      <c r="C574" s="6" t="n"/>
      <c r="D574" s="6" t="n"/>
      <c r="E574" s="6" t="n"/>
      <c r="F574" s="6" t="n"/>
      <c r="G574" s="7" t="n"/>
      <c r="H574" s="6" t="n"/>
      <c r="I574" s="8">
        <f>IF(OR(F574="",G574=""),"",F574*G574)</f>
        <v/>
      </c>
      <c r="J574" s="6" t="n"/>
    </row>
    <row r="575">
      <c r="A575" s="5" t="n"/>
      <c r="B575" s="6">
        <f>IF(A575="","",IFERROR(INT((A575-DATE(2026,4,27))/7)+1,""))</f>
        <v/>
      </c>
      <c r="C575" s="6" t="n"/>
      <c r="D575" s="6" t="n"/>
      <c r="E575" s="6" t="n"/>
      <c r="F575" s="6" t="n"/>
      <c r="G575" s="7" t="n"/>
      <c r="H575" s="6" t="n"/>
      <c r="I575" s="8">
        <f>IF(OR(F575="",G575=""),"",F575*G575)</f>
        <v/>
      </c>
      <c r="J575" s="6" t="n"/>
    </row>
    <row r="576">
      <c r="A576" s="5" t="n"/>
      <c r="B576" s="6">
        <f>IF(A576="","",IFERROR(INT((A576-DATE(2026,4,27))/7)+1,""))</f>
        <v/>
      </c>
      <c r="C576" s="6" t="n"/>
      <c r="D576" s="6" t="n"/>
      <c r="E576" s="6" t="n"/>
      <c r="F576" s="6" t="n"/>
      <c r="G576" s="7" t="n"/>
      <c r="H576" s="6" t="n"/>
      <c r="I576" s="8">
        <f>IF(OR(F576="",G576=""),"",F576*G576)</f>
        <v/>
      </c>
      <c r="J576" s="6" t="n"/>
    </row>
    <row r="577">
      <c r="A577" s="5" t="n"/>
      <c r="B577" s="6">
        <f>IF(A577="","",IFERROR(INT((A577-DATE(2026,4,27))/7)+1,""))</f>
        <v/>
      </c>
      <c r="C577" s="6" t="n"/>
      <c r="D577" s="6" t="n"/>
      <c r="E577" s="6" t="n"/>
      <c r="F577" s="6" t="n"/>
      <c r="G577" s="7" t="n"/>
      <c r="H577" s="6" t="n"/>
      <c r="I577" s="8">
        <f>IF(OR(F577="",G577=""),"",F577*G577)</f>
        <v/>
      </c>
      <c r="J577" s="6" t="n"/>
    </row>
    <row r="578">
      <c r="A578" s="5" t="n"/>
      <c r="B578" s="6">
        <f>IF(A578="","",IFERROR(INT((A578-DATE(2026,4,27))/7)+1,""))</f>
        <v/>
      </c>
      <c r="C578" s="6" t="n"/>
      <c r="D578" s="6" t="n"/>
      <c r="E578" s="6" t="n"/>
      <c r="F578" s="6" t="n"/>
      <c r="G578" s="7" t="n"/>
      <c r="H578" s="6" t="n"/>
      <c r="I578" s="8">
        <f>IF(OR(F578="",G578=""),"",F578*G578)</f>
        <v/>
      </c>
      <c r="J578" s="6" t="n"/>
    </row>
    <row r="579">
      <c r="A579" s="5" t="n"/>
      <c r="B579" s="6">
        <f>IF(A579="","",IFERROR(INT((A579-DATE(2026,4,27))/7)+1,""))</f>
        <v/>
      </c>
      <c r="C579" s="6" t="n"/>
      <c r="D579" s="6" t="n"/>
      <c r="E579" s="6" t="n"/>
      <c r="F579" s="6" t="n"/>
      <c r="G579" s="7" t="n"/>
      <c r="H579" s="6" t="n"/>
      <c r="I579" s="8">
        <f>IF(OR(F579="",G579=""),"",F579*G579)</f>
        <v/>
      </c>
      <c r="J579" s="6" t="n"/>
    </row>
    <row r="580">
      <c r="A580" s="5" t="n"/>
      <c r="B580" s="6">
        <f>IF(A580="","",IFERROR(INT((A580-DATE(2026,4,27))/7)+1,""))</f>
        <v/>
      </c>
      <c r="C580" s="6" t="n"/>
      <c r="D580" s="6" t="n"/>
      <c r="E580" s="6" t="n"/>
      <c r="F580" s="6" t="n"/>
      <c r="G580" s="7" t="n"/>
      <c r="H580" s="6" t="n"/>
      <c r="I580" s="8">
        <f>IF(OR(F580="",G580=""),"",F580*G580)</f>
        <v/>
      </c>
      <c r="J580" s="6" t="n"/>
    </row>
    <row r="581">
      <c r="A581" s="5" t="n"/>
      <c r="B581" s="6">
        <f>IF(A581="","",IFERROR(INT((A581-DATE(2026,4,27))/7)+1,""))</f>
        <v/>
      </c>
      <c r="C581" s="6" t="n"/>
      <c r="D581" s="6" t="n"/>
      <c r="E581" s="6" t="n"/>
      <c r="F581" s="6" t="n"/>
      <c r="G581" s="7" t="n"/>
      <c r="H581" s="6" t="n"/>
      <c r="I581" s="8">
        <f>IF(OR(F581="",G581=""),"",F581*G581)</f>
        <v/>
      </c>
      <c r="J581" s="6" t="n"/>
    </row>
    <row r="582">
      <c r="A582" s="5" t="n"/>
      <c r="B582" s="6">
        <f>IF(A582="","",IFERROR(INT((A582-DATE(2026,4,27))/7)+1,""))</f>
        <v/>
      </c>
      <c r="C582" s="6" t="n"/>
      <c r="D582" s="6" t="n"/>
      <c r="E582" s="6" t="n"/>
      <c r="F582" s="6" t="n"/>
      <c r="G582" s="7" t="n"/>
      <c r="H582" s="6" t="n"/>
      <c r="I582" s="8">
        <f>IF(OR(F582="",G582=""),"",F582*G582)</f>
        <v/>
      </c>
      <c r="J582" s="6" t="n"/>
    </row>
    <row r="583">
      <c r="A583" s="5" t="n"/>
      <c r="B583" s="6">
        <f>IF(A583="","",IFERROR(INT((A583-DATE(2026,4,27))/7)+1,""))</f>
        <v/>
      </c>
      <c r="C583" s="6" t="n"/>
      <c r="D583" s="6" t="n"/>
      <c r="E583" s="6" t="n"/>
      <c r="F583" s="6" t="n"/>
      <c r="G583" s="7" t="n"/>
      <c r="H583" s="6" t="n"/>
      <c r="I583" s="8">
        <f>IF(OR(F583="",G583=""),"",F583*G583)</f>
        <v/>
      </c>
      <c r="J583" s="6" t="n"/>
    </row>
    <row r="584">
      <c r="A584" s="5" t="n"/>
      <c r="B584" s="6">
        <f>IF(A584="","",IFERROR(INT((A584-DATE(2026,4,27))/7)+1,""))</f>
        <v/>
      </c>
      <c r="C584" s="6" t="n"/>
      <c r="D584" s="6" t="n"/>
      <c r="E584" s="6" t="n"/>
      <c r="F584" s="6" t="n"/>
      <c r="G584" s="7" t="n"/>
      <c r="H584" s="6" t="n"/>
      <c r="I584" s="8">
        <f>IF(OR(F584="",G584=""),"",F584*G584)</f>
        <v/>
      </c>
      <c r="J584" s="6" t="n"/>
    </row>
    <row r="585">
      <c r="A585" s="5" t="n"/>
      <c r="B585" s="6">
        <f>IF(A585="","",IFERROR(INT((A585-DATE(2026,4,27))/7)+1,""))</f>
        <v/>
      </c>
      <c r="C585" s="6" t="n"/>
      <c r="D585" s="6" t="n"/>
      <c r="E585" s="6" t="n"/>
      <c r="F585" s="6" t="n"/>
      <c r="G585" s="7" t="n"/>
      <c r="H585" s="6" t="n"/>
      <c r="I585" s="8">
        <f>IF(OR(F585="",G585=""),"",F585*G585)</f>
        <v/>
      </c>
      <c r="J585" s="6" t="n"/>
    </row>
    <row r="586">
      <c r="A586" s="5" t="n"/>
      <c r="B586" s="6">
        <f>IF(A586="","",IFERROR(INT((A586-DATE(2026,4,27))/7)+1,""))</f>
        <v/>
      </c>
      <c r="C586" s="6" t="n"/>
      <c r="D586" s="6" t="n"/>
      <c r="E586" s="6" t="n"/>
      <c r="F586" s="6" t="n"/>
      <c r="G586" s="7" t="n"/>
      <c r="H586" s="6" t="n"/>
      <c r="I586" s="8">
        <f>IF(OR(F586="",G586=""),"",F586*G586)</f>
        <v/>
      </c>
      <c r="J586" s="6" t="n"/>
    </row>
    <row r="587">
      <c r="A587" s="5" t="n"/>
      <c r="B587" s="6">
        <f>IF(A587="","",IFERROR(INT((A587-DATE(2026,4,27))/7)+1,""))</f>
        <v/>
      </c>
      <c r="C587" s="6" t="n"/>
      <c r="D587" s="6" t="n"/>
      <c r="E587" s="6" t="n"/>
      <c r="F587" s="6" t="n"/>
      <c r="G587" s="7" t="n"/>
      <c r="H587" s="6" t="n"/>
      <c r="I587" s="8">
        <f>IF(OR(F587="",G587=""),"",F587*G587)</f>
        <v/>
      </c>
      <c r="J587" s="6" t="n"/>
    </row>
    <row r="588">
      <c r="A588" s="5" t="n"/>
      <c r="B588" s="6">
        <f>IF(A588="","",IFERROR(INT((A588-DATE(2026,4,27))/7)+1,""))</f>
        <v/>
      </c>
      <c r="C588" s="6" t="n"/>
      <c r="D588" s="6" t="n"/>
      <c r="E588" s="6" t="n"/>
      <c r="F588" s="6" t="n"/>
      <c r="G588" s="7" t="n"/>
      <c r="H588" s="6" t="n"/>
      <c r="I588" s="8">
        <f>IF(OR(F588="",G588=""),"",F588*G588)</f>
        <v/>
      </c>
      <c r="J588" s="6" t="n"/>
    </row>
    <row r="589">
      <c r="A589" s="5" t="n"/>
      <c r="B589" s="6">
        <f>IF(A589="","",IFERROR(INT((A589-DATE(2026,4,27))/7)+1,""))</f>
        <v/>
      </c>
      <c r="C589" s="6" t="n"/>
      <c r="D589" s="6" t="n"/>
      <c r="E589" s="6" t="n"/>
      <c r="F589" s="6" t="n"/>
      <c r="G589" s="7" t="n"/>
      <c r="H589" s="6" t="n"/>
      <c r="I589" s="8">
        <f>IF(OR(F589="",G589=""),"",F589*G589)</f>
        <v/>
      </c>
      <c r="J589" s="6" t="n"/>
    </row>
    <row r="590">
      <c r="A590" s="5" t="n"/>
      <c r="B590" s="6">
        <f>IF(A590="","",IFERROR(INT((A590-DATE(2026,4,27))/7)+1,""))</f>
        <v/>
      </c>
      <c r="C590" s="6" t="n"/>
      <c r="D590" s="6" t="n"/>
      <c r="E590" s="6" t="n"/>
      <c r="F590" s="6" t="n"/>
      <c r="G590" s="7" t="n"/>
      <c r="H590" s="6" t="n"/>
      <c r="I590" s="8">
        <f>IF(OR(F590="",G590=""),"",F590*G590)</f>
        <v/>
      </c>
      <c r="J590" s="6" t="n"/>
    </row>
    <row r="591">
      <c r="A591" s="5" t="n"/>
      <c r="B591" s="6">
        <f>IF(A591="","",IFERROR(INT((A591-DATE(2026,4,27))/7)+1,""))</f>
        <v/>
      </c>
      <c r="C591" s="6" t="n"/>
      <c r="D591" s="6" t="n"/>
      <c r="E591" s="6" t="n"/>
      <c r="F591" s="6" t="n"/>
      <c r="G591" s="7" t="n"/>
      <c r="H591" s="6" t="n"/>
      <c r="I591" s="8">
        <f>IF(OR(F591="",G591=""),"",F591*G591)</f>
        <v/>
      </c>
      <c r="J591" s="6" t="n"/>
    </row>
    <row r="592">
      <c r="A592" s="5" t="n"/>
      <c r="B592" s="6">
        <f>IF(A592="","",IFERROR(INT((A592-DATE(2026,4,27))/7)+1,""))</f>
        <v/>
      </c>
      <c r="C592" s="6" t="n"/>
      <c r="D592" s="6" t="n"/>
      <c r="E592" s="6" t="n"/>
      <c r="F592" s="6" t="n"/>
      <c r="G592" s="7" t="n"/>
      <c r="H592" s="6" t="n"/>
      <c r="I592" s="8">
        <f>IF(OR(F592="",G592=""),"",F592*G592)</f>
        <v/>
      </c>
      <c r="J592" s="6" t="n"/>
    </row>
    <row r="593">
      <c r="A593" s="5" t="n"/>
      <c r="B593" s="6">
        <f>IF(A593="","",IFERROR(INT((A593-DATE(2026,4,27))/7)+1,""))</f>
        <v/>
      </c>
      <c r="C593" s="6" t="n"/>
      <c r="D593" s="6" t="n"/>
      <c r="E593" s="6" t="n"/>
      <c r="F593" s="6" t="n"/>
      <c r="G593" s="7" t="n"/>
      <c r="H593" s="6" t="n"/>
      <c r="I593" s="8">
        <f>IF(OR(F593="",G593=""),"",F593*G593)</f>
        <v/>
      </c>
      <c r="J593" s="6" t="n"/>
    </row>
    <row r="594">
      <c r="A594" s="5" t="n"/>
      <c r="B594" s="6">
        <f>IF(A594="","",IFERROR(INT((A594-DATE(2026,4,27))/7)+1,""))</f>
        <v/>
      </c>
      <c r="C594" s="6" t="n"/>
      <c r="D594" s="6" t="n"/>
      <c r="E594" s="6" t="n"/>
      <c r="F594" s="6" t="n"/>
      <c r="G594" s="7" t="n"/>
      <c r="H594" s="6" t="n"/>
      <c r="I594" s="8">
        <f>IF(OR(F594="",G594=""),"",F594*G594)</f>
        <v/>
      </c>
      <c r="J594" s="6" t="n"/>
    </row>
    <row r="595">
      <c r="A595" s="5" t="n"/>
      <c r="B595" s="6">
        <f>IF(A595="","",IFERROR(INT((A595-DATE(2026,4,27))/7)+1,""))</f>
        <v/>
      </c>
      <c r="C595" s="6" t="n"/>
      <c r="D595" s="6" t="n"/>
      <c r="E595" s="6" t="n"/>
      <c r="F595" s="6" t="n"/>
      <c r="G595" s="7" t="n"/>
      <c r="H595" s="6" t="n"/>
      <c r="I595" s="8">
        <f>IF(OR(F595="",G595=""),"",F595*G595)</f>
        <v/>
      </c>
      <c r="J595" s="6" t="n"/>
    </row>
    <row r="596">
      <c r="A596" s="5" t="n"/>
      <c r="B596" s="6">
        <f>IF(A596="","",IFERROR(INT((A596-DATE(2026,4,27))/7)+1,""))</f>
        <v/>
      </c>
      <c r="C596" s="6" t="n"/>
      <c r="D596" s="6" t="n"/>
      <c r="E596" s="6" t="n"/>
      <c r="F596" s="6" t="n"/>
      <c r="G596" s="7" t="n"/>
      <c r="H596" s="6" t="n"/>
      <c r="I596" s="8">
        <f>IF(OR(F596="",G596=""),"",F596*G596)</f>
        <v/>
      </c>
      <c r="J596" s="6" t="n"/>
    </row>
    <row r="597">
      <c r="A597" s="5" t="n"/>
      <c r="B597" s="6">
        <f>IF(A597="","",IFERROR(INT((A597-DATE(2026,4,27))/7)+1,""))</f>
        <v/>
      </c>
      <c r="C597" s="6" t="n"/>
      <c r="D597" s="6" t="n"/>
      <c r="E597" s="6" t="n"/>
      <c r="F597" s="6" t="n"/>
      <c r="G597" s="7" t="n"/>
      <c r="H597" s="6" t="n"/>
      <c r="I597" s="8">
        <f>IF(OR(F597="",G597=""),"",F597*G597)</f>
        <v/>
      </c>
      <c r="J597" s="6" t="n"/>
    </row>
    <row r="598">
      <c r="A598" s="5" t="n"/>
      <c r="B598" s="6">
        <f>IF(A598="","",IFERROR(INT((A598-DATE(2026,4,27))/7)+1,""))</f>
        <v/>
      </c>
      <c r="C598" s="6" t="n"/>
      <c r="D598" s="6" t="n"/>
      <c r="E598" s="6" t="n"/>
      <c r="F598" s="6" t="n"/>
      <c r="G598" s="7" t="n"/>
      <c r="H598" s="6" t="n"/>
      <c r="I598" s="8">
        <f>IF(OR(F598="",G598=""),"",F598*G598)</f>
        <v/>
      </c>
      <c r="J598" s="6" t="n"/>
    </row>
    <row r="599">
      <c r="A599" s="5" t="n"/>
      <c r="B599" s="6">
        <f>IF(A599="","",IFERROR(INT((A599-DATE(2026,4,27))/7)+1,""))</f>
        <v/>
      </c>
      <c r="C599" s="6" t="n"/>
      <c r="D599" s="6" t="n"/>
      <c r="E599" s="6" t="n"/>
      <c r="F599" s="6" t="n"/>
      <c r="G599" s="7" t="n"/>
      <c r="H599" s="6" t="n"/>
      <c r="I599" s="8">
        <f>IF(OR(F599="",G599=""),"",F599*G599)</f>
        <v/>
      </c>
      <c r="J599" s="6" t="n"/>
    </row>
    <row r="600">
      <c r="A600" s="5" t="n"/>
      <c r="B600" s="6">
        <f>IF(A600="","",IFERROR(INT((A600-DATE(2026,4,27))/7)+1,""))</f>
        <v/>
      </c>
      <c r="C600" s="6" t="n"/>
      <c r="D600" s="6" t="n"/>
      <c r="E600" s="6" t="n"/>
      <c r="F600" s="6" t="n"/>
      <c r="G600" s="7" t="n"/>
      <c r="H600" s="6" t="n"/>
      <c r="I600" s="8">
        <f>IF(OR(F600="",G600=""),"",F600*G600)</f>
        <v/>
      </c>
      <c r="J600" s="6" t="n"/>
    </row>
    <row r="601">
      <c r="A601" s="5" t="n"/>
      <c r="B601" s="6">
        <f>IF(A601="","",IFERROR(INT((A601-DATE(2026,4,27))/7)+1,""))</f>
        <v/>
      </c>
      <c r="C601" s="6" t="n"/>
      <c r="D601" s="6" t="n"/>
      <c r="E601" s="6" t="n"/>
      <c r="F601" s="6" t="n"/>
      <c r="G601" s="7" t="n"/>
      <c r="H601" s="6" t="n"/>
      <c r="I601" s="8">
        <f>IF(OR(F601="",G601=""),"",F601*G601)</f>
        <v/>
      </c>
      <c r="J601" s="6" t="n"/>
    </row>
  </sheetData>
  <dataValidations count="2">
    <dataValidation sqref="C2:C601" showDropDown="0" showInputMessage="0" showErrorMessage="0" allowBlank="1" type="list">
      <formula1>"Upper A,Lower A,Upper B,Lower B"</formula1>
    </dataValidation>
    <dataValidation sqref="H2:H601" showDropDown="0" showInputMessage="0" showErrorMessage="0" allowBlank="1" type="list">
      <formula1>"5,5.5,6,6.5,7,7.5,8,8.5,9,9.5,10"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12" customWidth="1" min="4" max="4"/>
    <col width="14" customWidth="1" min="5" max="5"/>
    <col width="10" customWidth="1" min="6" max="6"/>
    <col width="10" customWidth="1" min="7" max="7"/>
    <col width="8" customWidth="1" min="8" max="8"/>
    <col width="14" customWidth="1" min="9" max="9"/>
    <col width="35" customWidth="1" min="10" max="10"/>
  </cols>
  <sheetData>
    <row r="1" ht="22" customHeight="1">
      <c r="A1" s="4" t="inlineStr">
        <is>
          <t>Date</t>
        </is>
      </c>
      <c r="B1" s="4" t="inlineStr">
        <is>
          <t>Week</t>
        </is>
      </c>
      <c r="C1" s="4" t="inlineStr">
        <is>
          <t>Distance (km)</t>
        </is>
      </c>
      <c r="D1" s="4" t="inlineStr">
        <is>
          <t>Time (min)</t>
        </is>
      </c>
      <c r="E1" s="4" t="inlineStr">
        <is>
          <t>Pace (min/km)</t>
        </is>
      </c>
      <c r="F1" s="4" t="inlineStr">
        <is>
          <t>Avg HR</t>
        </is>
      </c>
      <c r="G1" s="4" t="inlineStr">
        <is>
          <t>Max HR</t>
        </is>
      </c>
      <c r="H1" s="4" t="inlineStr">
        <is>
          <t>RPE</t>
        </is>
      </c>
      <c r="I1" s="4" t="inlineStr">
        <is>
          <t>Type</t>
        </is>
      </c>
      <c r="J1" s="4" t="inlineStr">
        <is>
          <t>Notes</t>
        </is>
      </c>
    </row>
    <row r="2">
      <c r="A2" s="5" t="n"/>
      <c r="B2" s="6">
        <f>IF(A2="","",IFERROR(INT((A2-DATE(2026,4,27))/7)+1,""))</f>
        <v/>
      </c>
      <c r="C2" s="9" t="n"/>
      <c r="D2" s="7" t="n"/>
      <c r="E2" s="9">
        <f>IF(OR(C2="",D2=""),"",D2/C2)</f>
        <v/>
      </c>
      <c r="F2" s="6" t="n"/>
      <c r="G2" s="6" t="n"/>
      <c r="H2" s="6" t="n"/>
      <c r="I2" s="6" t="n"/>
      <c r="J2" s="6" t="n"/>
    </row>
    <row r="3">
      <c r="A3" s="5" t="n"/>
      <c r="B3" s="6">
        <f>IF(A3="","",IFERROR(INT((A3-DATE(2026,4,27))/7)+1,""))</f>
        <v/>
      </c>
      <c r="C3" s="9" t="n"/>
      <c r="D3" s="7" t="n"/>
      <c r="E3" s="9">
        <f>IF(OR(C3="",D3=""),"",D3/C3)</f>
        <v/>
      </c>
      <c r="F3" s="6" t="n"/>
      <c r="G3" s="6" t="n"/>
      <c r="H3" s="6" t="n"/>
      <c r="I3" s="6" t="n"/>
      <c r="J3" s="6" t="n"/>
    </row>
    <row r="4">
      <c r="A4" s="5" t="n"/>
      <c r="B4" s="6">
        <f>IF(A4="","",IFERROR(INT((A4-DATE(2026,4,27))/7)+1,""))</f>
        <v/>
      </c>
      <c r="C4" s="9" t="n"/>
      <c r="D4" s="7" t="n"/>
      <c r="E4" s="9">
        <f>IF(OR(C4="",D4=""),"",D4/C4)</f>
        <v/>
      </c>
      <c r="F4" s="6" t="n"/>
      <c r="G4" s="6" t="n"/>
      <c r="H4" s="6" t="n"/>
      <c r="I4" s="6" t="n"/>
      <c r="J4" s="6" t="n"/>
    </row>
    <row r="5">
      <c r="A5" s="5" t="n"/>
      <c r="B5" s="6">
        <f>IF(A5="","",IFERROR(INT((A5-DATE(2026,4,27))/7)+1,""))</f>
        <v/>
      </c>
      <c r="C5" s="9" t="n"/>
      <c r="D5" s="7" t="n"/>
      <c r="E5" s="9">
        <f>IF(OR(C5="",D5=""),"",D5/C5)</f>
        <v/>
      </c>
      <c r="F5" s="6" t="n"/>
      <c r="G5" s="6" t="n"/>
      <c r="H5" s="6" t="n"/>
      <c r="I5" s="6" t="n"/>
      <c r="J5" s="6" t="n"/>
    </row>
    <row r="6">
      <c r="A6" s="5" t="n"/>
      <c r="B6" s="6">
        <f>IF(A6="","",IFERROR(INT((A6-DATE(2026,4,27))/7)+1,""))</f>
        <v/>
      </c>
      <c r="C6" s="9" t="n"/>
      <c r="D6" s="7" t="n"/>
      <c r="E6" s="9">
        <f>IF(OR(C6="",D6=""),"",D6/C6)</f>
        <v/>
      </c>
      <c r="F6" s="6" t="n"/>
      <c r="G6" s="6" t="n"/>
      <c r="H6" s="6" t="n"/>
      <c r="I6" s="6" t="n"/>
      <c r="J6" s="6" t="n"/>
    </row>
    <row r="7">
      <c r="A7" s="5" t="n"/>
      <c r="B7" s="6">
        <f>IF(A7="","",IFERROR(INT((A7-DATE(2026,4,27))/7)+1,""))</f>
        <v/>
      </c>
      <c r="C7" s="9" t="n"/>
      <c r="D7" s="7" t="n"/>
      <c r="E7" s="9">
        <f>IF(OR(C7="",D7=""),"",D7/C7)</f>
        <v/>
      </c>
      <c r="F7" s="6" t="n"/>
      <c r="G7" s="6" t="n"/>
      <c r="H7" s="6" t="n"/>
      <c r="I7" s="6" t="n"/>
      <c r="J7" s="6" t="n"/>
    </row>
    <row r="8">
      <c r="A8" s="5" t="n"/>
      <c r="B8" s="6">
        <f>IF(A8="","",IFERROR(INT((A8-DATE(2026,4,27))/7)+1,""))</f>
        <v/>
      </c>
      <c r="C8" s="9" t="n"/>
      <c r="D8" s="7" t="n"/>
      <c r="E8" s="9">
        <f>IF(OR(C8="",D8=""),"",D8/C8)</f>
        <v/>
      </c>
      <c r="F8" s="6" t="n"/>
      <c r="G8" s="6" t="n"/>
      <c r="H8" s="6" t="n"/>
      <c r="I8" s="6" t="n"/>
      <c r="J8" s="6" t="n"/>
    </row>
    <row r="9">
      <c r="A9" s="5" t="n"/>
      <c r="B9" s="6">
        <f>IF(A9="","",IFERROR(INT((A9-DATE(2026,4,27))/7)+1,""))</f>
        <v/>
      </c>
      <c r="C9" s="9" t="n"/>
      <c r="D9" s="7" t="n"/>
      <c r="E9" s="9">
        <f>IF(OR(C9="",D9=""),"",D9/C9)</f>
        <v/>
      </c>
      <c r="F9" s="6" t="n"/>
      <c r="G9" s="6" t="n"/>
      <c r="H9" s="6" t="n"/>
      <c r="I9" s="6" t="n"/>
      <c r="J9" s="6" t="n"/>
    </row>
    <row r="10">
      <c r="A10" s="5" t="n"/>
      <c r="B10" s="6">
        <f>IF(A10="","",IFERROR(INT((A10-DATE(2026,4,27))/7)+1,""))</f>
        <v/>
      </c>
      <c r="C10" s="9" t="n"/>
      <c r="D10" s="7" t="n"/>
      <c r="E10" s="9">
        <f>IF(OR(C10="",D10=""),"",D10/C10)</f>
        <v/>
      </c>
      <c r="F10" s="6" t="n"/>
      <c r="G10" s="6" t="n"/>
      <c r="H10" s="6" t="n"/>
      <c r="I10" s="6" t="n"/>
      <c r="J10" s="6" t="n"/>
    </row>
    <row r="11">
      <c r="A11" s="5" t="n"/>
      <c r="B11" s="6">
        <f>IF(A11="","",IFERROR(INT((A11-DATE(2026,4,27))/7)+1,""))</f>
        <v/>
      </c>
      <c r="C11" s="9" t="n"/>
      <c r="D11" s="7" t="n"/>
      <c r="E11" s="9">
        <f>IF(OR(C11="",D11=""),"",D11/C11)</f>
        <v/>
      </c>
      <c r="F11" s="6" t="n"/>
      <c r="G11" s="6" t="n"/>
      <c r="H11" s="6" t="n"/>
      <c r="I11" s="6" t="n"/>
      <c r="J11" s="6" t="n"/>
    </row>
    <row r="12">
      <c r="A12" s="5" t="n"/>
      <c r="B12" s="6">
        <f>IF(A12="","",IFERROR(INT((A12-DATE(2026,4,27))/7)+1,""))</f>
        <v/>
      </c>
      <c r="C12" s="9" t="n"/>
      <c r="D12" s="7" t="n"/>
      <c r="E12" s="9">
        <f>IF(OR(C12="",D12=""),"",D12/C12)</f>
        <v/>
      </c>
      <c r="F12" s="6" t="n"/>
      <c r="G12" s="6" t="n"/>
      <c r="H12" s="6" t="n"/>
      <c r="I12" s="6" t="n"/>
      <c r="J12" s="6" t="n"/>
    </row>
    <row r="13">
      <c r="A13" s="5" t="n"/>
      <c r="B13" s="6">
        <f>IF(A13="","",IFERROR(INT((A13-DATE(2026,4,27))/7)+1,""))</f>
        <v/>
      </c>
      <c r="C13" s="9" t="n"/>
      <c r="D13" s="7" t="n"/>
      <c r="E13" s="9">
        <f>IF(OR(C13="",D13=""),"",D13/C13)</f>
        <v/>
      </c>
      <c r="F13" s="6" t="n"/>
      <c r="G13" s="6" t="n"/>
      <c r="H13" s="6" t="n"/>
      <c r="I13" s="6" t="n"/>
      <c r="J13" s="6" t="n"/>
    </row>
    <row r="14">
      <c r="A14" s="5" t="n"/>
      <c r="B14" s="6">
        <f>IF(A14="","",IFERROR(INT((A14-DATE(2026,4,27))/7)+1,""))</f>
        <v/>
      </c>
      <c r="C14" s="9" t="n"/>
      <c r="D14" s="7" t="n"/>
      <c r="E14" s="9">
        <f>IF(OR(C14="",D14=""),"",D14/C14)</f>
        <v/>
      </c>
      <c r="F14" s="6" t="n"/>
      <c r="G14" s="6" t="n"/>
      <c r="H14" s="6" t="n"/>
      <c r="I14" s="6" t="n"/>
      <c r="J14" s="6" t="n"/>
    </row>
    <row r="15">
      <c r="A15" s="5" t="n"/>
      <c r="B15" s="6">
        <f>IF(A15="","",IFERROR(INT((A15-DATE(2026,4,27))/7)+1,""))</f>
        <v/>
      </c>
      <c r="C15" s="9" t="n"/>
      <c r="D15" s="7" t="n"/>
      <c r="E15" s="9">
        <f>IF(OR(C15="",D15=""),"",D15/C15)</f>
        <v/>
      </c>
      <c r="F15" s="6" t="n"/>
      <c r="G15" s="6" t="n"/>
      <c r="H15" s="6" t="n"/>
      <c r="I15" s="6" t="n"/>
      <c r="J15" s="6" t="n"/>
    </row>
    <row r="16">
      <c r="A16" s="5" t="n"/>
      <c r="B16" s="6">
        <f>IF(A16="","",IFERROR(INT((A16-DATE(2026,4,27))/7)+1,""))</f>
        <v/>
      </c>
      <c r="C16" s="9" t="n"/>
      <c r="D16" s="7" t="n"/>
      <c r="E16" s="9">
        <f>IF(OR(C16="",D16=""),"",D16/C16)</f>
        <v/>
      </c>
      <c r="F16" s="6" t="n"/>
      <c r="G16" s="6" t="n"/>
      <c r="H16" s="6" t="n"/>
      <c r="I16" s="6" t="n"/>
      <c r="J16" s="6" t="n"/>
    </row>
    <row r="17">
      <c r="A17" s="5" t="n"/>
      <c r="B17" s="6">
        <f>IF(A17="","",IFERROR(INT((A17-DATE(2026,4,27))/7)+1,""))</f>
        <v/>
      </c>
      <c r="C17" s="9" t="n"/>
      <c r="D17" s="7" t="n"/>
      <c r="E17" s="9">
        <f>IF(OR(C17="",D17=""),"",D17/C17)</f>
        <v/>
      </c>
      <c r="F17" s="6" t="n"/>
      <c r="G17" s="6" t="n"/>
      <c r="H17" s="6" t="n"/>
      <c r="I17" s="6" t="n"/>
      <c r="J17" s="6" t="n"/>
    </row>
    <row r="18">
      <c r="A18" s="5" t="n"/>
      <c r="B18" s="6">
        <f>IF(A18="","",IFERROR(INT((A18-DATE(2026,4,27))/7)+1,""))</f>
        <v/>
      </c>
      <c r="C18" s="9" t="n"/>
      <c r="D18" s="7" t="n"/>
      <c r="E18" s="9">
        <f>IF(OR(C18="",D18=""),"",D18/C18)</f>
        <v/>
      </c>
      <c r="F18" s="6" t="n"/>
      <c r="G18" s="6" t="n"/>
      <c r="H18" s="6" t="n"/>
      <c r="I18" s="6" t="n"/>
      <c r="J18" s="6" t="n"/>
    </row>
    <row r="19">
      <c r="A19" s="5" t="n"/>
      <c r="B19" s="6">
        <f>IF(A19="","",IFERROR(INT((A19-DATE(2026,4,27))/7)+1,""))</f>
        <v/>
      </c>
      <c r="C19" s="9" t="n"/>
      <c r="D19" s="7" t="n"/>
      <c r="E19" s="9">
        <f>IF(OR(C19="",D19=""),"",D19/C19)</f>
        <v/>
      </c>
      <c r="F19" s="6" t="n"/>
      <c r="G19" s="6" t="n"/>
      <c r="H19" s="6" t="n"/>
      <c r="I19" s="6" t="n"/>
      <c r="J19" s="6" t="n"/>
    </row>
    <row r="20">
      <c r="A20" s="5" t="n"/>
      <c r="B20" s="6">
        <f>IF(A20="","",IFERROR(INT((A20-DATE(2026,4,27))/7)+1,""))</f>
        <v/>
      </c>
      <c r="C20" s="9" t="n"/>
      <c r="D20" s="7" t="n"/>
      <c r="E20" s="9">
        <f>IF(OR(C20="",D20=""),"",D20/C20)</f>
        <v/>
      </c>
      <c r="F20" s="6" t="n"/>
      <c r="G20" s="6" t="n"/>
      <c r="H20" s="6" t="n"/>
      <c r="I20" s="6" t="n"/>
      <c r="J20" s="6" t="n"/>
    </row>
    <row r="21">
      <c r="A21" s="5" t="n"/>
      <c r="B21" s="6">
        <f>IF(A21="","",IFERROR(INT((A21-DATE(2026,4,27))/7)+1,""))</f>
        <v/>
      </c>
      <c r="C21" s="9" t="n"/>
      <c r="D21" s="7" t="n"/>
      <c r="E21" s="9">
        <f>IF(OR(C21="",D21=""),"",D21/C21)</f>
        <v/>
      </c>
      <c r="F21" s="6" t="n"/>
      <c r="G21" s="6" t="n"/>
      <c r="H21" s="6" t="n"/>
      <c r="I21" s="6" t="n"/>
      <c r="J21" s="6" t="n"/>
    </row>
    <row r="22">
      <c r="A22" s="5" t="n"/>
      <c r="B22" s="6">
        <f>IF(A22="","",IFERROR(INT((A22-DATE(2026,4,27))/7)+1,""))</f>
        <v/>
      </c>
      <c r="C22" s="9" t="n"/>
      <c r="D22" s="7" t="n"/>
      <c r="E22" s="9">
        <f>IF(OR(C22="",D22=""),"",D22/C22)</f>
        <v/>
      </c>
      <c r="F22" s="6" t="n"/>
      <c r="G22" s="6" t="n"/>
      <c r="H22" s="6" t="n"/>
      <c r="I22" s="6" t="n"/>
      <c r="J22" s="6" t="n"/>
    </row>
    <row r="23">
      <c r="A23" s="5" t="n"/>
      <c r="B23" s="6">
        <f>IF(A23="","",IFERROR(INT((A23-DATE(2026,4,27))/7)+1,""))</f>
        <v/>
      </c>
      <c r="C23" s="9" t="n"/>
      <c r="D23" s="7" t="n"/>
      <c r="E23" s="9">
        <f>IF(OR(C23="",D23=""),"",D23/C23)</f>
        <v/>
      </c>
      <c r="F23" s="6" t="n"/>
      <c r="G23" s="6" t="n"/>
      <c r="H23" s="6" t="n"/>
      <c r="I23" s="6" t="n"/>
      <c r="J23" s="6" t="n"/>
    </row>
    <row r="24">
      <c r="A24" s="5" t="n"/>
      <c r="B24" s="6">
        <f>IF(A24="","",IFERROR(INT((A24-DATE(2026,4,27))/7)+1,""))</f>
        <v/>
      </c>
      <c r="C24" s="9" t="n"/>
      <c r="D24" s="7" t="n"/>
      <c r="E24" s="9">
        <f>IF(OR(C24="",D24=""),"",D24/C24)</f>
        <v/>
      </c>
      <c r="F24" s="6" t="n"/>
      <c r="G24" s="6" t="n"/>
      <c r="H24" s="6" t="n"/>
      <c r="I24" s="6" t="n"/>
      <c r="J24" s="6" t="n"/>
    </row>
    <row r="25">
      <c r="A25" s="5" t="n"/>
      <c r="B25" s="6">
        <f>IF(A25="","",IFERROR(INT((A25-DATE(2026,4,27))/7)+1,""))</f>
        <v/>
      </c>
      <c r="C25" s="9" t="n"/>
      <c r="D25" s="7" t="n"/>
      <c r="E25" s="9">
        <f>IF(OR(C25="",D25=""),"",D25/C25)</f>
        <v/>
      </c>
      <c r="F25" s="6" t="n"/>
      <c r="G25" s="6" t="n"/>
      <c r="H25" s="6" t="n"/>
      <c r="I25" s="6" t="n"/>
      <c r="J25" s="6" t="n"/>
    </row>
    <row r="26">
      <c r="A26" s="5" t="n"/>
      <c r="B26" s="6">
        <f>IF(A26="","",IFERROR(INT((A26-DATE(2026,4,27))/7)+1,""))</f>
        <v/>
      </c>
      <c r="C26" s="9" t="n"/>
      <c r="D26" s="7" t="n"/>
      <c r="E26" s="9">
        <f>IF(OR(C26="",D26=""),"",D26/C26)</f>
        <v/>
      </c>
      <c r="F26" s="6" t="n"/>
      <c r="G26" s="6" t="n"/>
      <c r="H26" s="6" t="n"/>
      <c r="I26" s="6" t="n"/>
      <c r="J26" s="6" t="n"/>
    </row>
    <row r="27">
      <c r="A27" s="5" t="n"/>
      <c r="B27" s="6">
        <f>IF(A27="","",IFERROR(INT((A27-DATE(2026,4,27))/7)+1,""))</f>
        <v/>
      </c>
      <c r="C27" s="9" t="n"/>
      <c r="D27" s="7" t="n"/>
      <c r="E27" s="9">
        <f>IF(OR(C27="",D27=""),"",D27/C27)</f>
        <v/>
      </c>
      <c r="F27" s="6" t="n"/>
      <c r="G27" s="6" t="n"/>
      <c r="H27" s="6" t="n"/>
      <c r="I27" s="6" t="n"/>
      <c r="J27" s="6" t="n"/>
    </row>
    <row r="28">
      <c r="A28" s="5" t="n"/>
      <c r="B28" s="6">
        <f>IF(A28="","",IFERROR(INT((A28-DATE(2026,4,27))/7)+1,""))</f>
        <v/>
      </c>
      <c r="C28" s="9" t="n"/>
      <c r="D28" s="7" t="n"/>
      <c r="E28" s="9">
        <f>IF(OR(C28="",D28=""),"",D28/C28)</f>
        <v/>
      </c>
      <c r="F28" s="6" t="n"/>
      <c r="G28" s="6" t="n"/>
      <c r="H28" s="6" t="n"/>
      <c r="I28" s="6" t="n"/>
      <c r="J28" s="6" t="n"/>
    </row>
    <row r="29">
      <c r="A29" s="5" t="n"/>
      <c r="B29" s="6">
        <f>IF(A29="","",IFERROR(INT((A29-DATE(2026,4,27))/7)+1,""))</f>
        <v/>
      </c>
      <c r="C29" s="9" t="n"/>
      <c r="D29" s="7" t="n"/>
      <c r="E29" s="9">
        <f>IF(OR(C29="",D29=""),"",D29/C29)</f>
        <v/>
      </c>
      <c r="F29" s="6" t="n"/>
      <c r="G29" s="6" t="n"/>
      <c r="H29" s="6" t="n"/>
      <c r="I29" s="6" t="n"/>
      <c r="J29" s="6" t="n"/>
    </row>
    <row r="30">
      <c r="A30" s="5" t="n"/>
      <c r="B30" s="6">
        <f>IF(A30="","",IFERROR(INT((A30-DATE(2026,4,27))/7)+1,""))</f>
        <v/>
      </c>
      <c r="C30" s="9" t="n"/>
      <c r="D30" s="7" t="n"/>
      <c r="E30" s="9">
        <f>IF(OR(C30="",D30=""),"",D30/C30)</f>
        <v/>
      </c>
      <c r="F30" s="6" t="n"/>
      <c r="G30" s="6" t="n"/>
      <c r="H30" s="6" t="n"/>
      <c r="I30" s="6" t="n"/>
      <c r="J30" s="6" t="n"/>
    </row>
    <row r="31">
      <c r="A31" s="5" t="n"/>
      <c r="B31" s="6">
        <f>IF(A31="","",IFERROR(INT((A31-DATE(2026,4,27))/7)+1,""))</f>
        <v/>
      </c>
      <c r="C31" s="9" t="n"/>
      <c r="D31" s="7" t="n"/>
      <c r="E31" s="9">
        <f>IF(OR(C31="",D31=""),"",D31/C31)</f>
        <v/>
      </c>
      <c r="F31" s="6" t="n"/>
      <c r="G31" s="6" t="n"/>
      <c r="H31" s="6" t="n"/>
      <c r="I31" s="6" t="n"/>
      <c r="J31" s="6" t="n"/>
    </row>
    <row r="32">
      <c r="A32" s="5" t="n"/>
      <c r="B32" s="6">
        <f>IF(A32="","",IFERROR(INT((A32-DATE(2026,4,27))/7)+1,""))</f>
        <v/>
      </c>
      <c r="C32" s="9" t="n"/>
      <c r="D32" s="7" t="n"/>
      <c r="E32" s="9">
        <f>IF(OR(C32="",D32=""),"",D32/C32)</f>
        <v/>
      </c>
      <c r="F32" s="6" t="n"/>
      <c r="G32" s="6" t="n"/>
      <c r="H32" s="6" t="n"/>
      <c r="I32" s="6" t="n"/>
      <c r="J32" s="6" t="n"/>
    </row>
    <row r="33">
      <c r="A33" s="5" t="n"/>
      <c r="B33" s="6">
        <f>IF(A33="","",IFERROR(INT((A33-DATE(2026,4,27))/7)+1,""))</f>
        <v/>
      </c>
      <c r="C33" s="9" t="n"/>
      <c r="D33" s="7" t="n"/>
      <c r="E33" s="9">
        <f>IF(OR(C33="",D33=""),"",D33/C33)</f>
        <v/>
      </c>
      <c r="F33" s="6" t="n"/>
      <c r="G33" s="6" t="n"/>
      <c r="H33" s="6" t="n"/>
      <c r="I33" s="6" t="n"/>
      <c r="J33" s="6" t="n"/>
    </row>
    <row r="34">
      <c r="A34" s="5" t="n"/>
      <c r="B34" s="6">
        <f>IF(A34="","",IFERROR(INT((A34-DATE(2026,4,27))/7)+1,""))</f>
        <v/>
      </c>
      <c r="C34" s="9" t="n"/>
      <c r="D34" s="7" t="n"/>
      <c r="E34" s="9">
        <f>IF(OR(C34="",D34=""),"",D34/C34)</f>
        <v/>
      </c>
      <c r="F34" s="6" t="n"/>
      <c r="G34" s="6" t="n"/>
      <c r="H34" s="6" t="n"/>
      <c r="I34" s="6" t="n"/>
      <c r="J34" s="6" t="n"/>
    </row>
    <row r="35">
      <c r="A35" s="5" t="n"/>
      <c r="B35" s="6">
        <f>IF(A35="","",IFERROR(INT((A35-DATE(2026,4,27))/7)+1,""))</f>
        <v/>
      </c>
      <c r="C35" s="9" t="n"/>
      <c r="D35" s="7" t="n"/>
      <c r="E35" s="9">
        <f>IF(OR(C35="",D35=""),"",D35/C35)</f>
        <v/>
      </c>
      <c r="F35" s="6" t="n"/>
      <c r="G35" s="6" t="n"/>
      <c r="H35" s="6" t="n"/>
      <c r="I35" s="6" t="n"/>
      <c r="J35" s="6" t="n"/>
    </row>
    <row r="36">
      <c r="A36" s="5" t="n"/>
      <c r="B36" s="6">
        <f>IF(A36="","",IFERROR(INT((A36-DATE(2026,4,27))/7)+1,""))</f>
        <v/>
      </c>
      <c r="C36" s="9" t="n"/>
      <c r="D36" s="7" t="n"/>
      <c r="E36" s="9">
        <f>IF(OR(C36="",D36=""),"",D36/C36)</f>
        <v/>
      </c>
      <c r="F36" s="6" t="n"/>
      <c r="G36" s="6" t="n"/>
      <c r="H36" s="6" t="n"/>
      <c r="I36" s="6" t="n"/>
      <c r="J36" s="6" t="n"/>
    </row>
    <row r="37">
      <c r="A37" s="5" t="n"/>
      <c r="B37" s="6">
        <f>IF(A37="","",IFERROR(INT((A37-DATE(2026,4,27))/7)+1,""))</f>
        <v/>
      </c>
      <c r="C37" s="9" t="n"/>
      <c r="D37" s="7" t="n"/>
      <c r="E37" s="9">
        <f>IF(OR(C37="",D37=""),"",D37/C37)</f>
        <v/>
      </c>
      <c r="F37" s="6" t="n"/>
      <c r="G37" s="6" t="n"/>
      <c r="H37" s="6" t="n"/>
      <c r="I37" s="6" t="n"/>
      <c r="J37" s="6" t="n"/>
    </row>
    <row r="38">
      <c r="A38" s="5" t="n"/>
      <c r="B38" s="6">
        <f>IF(A38="","",IFERROR(INT((A38-DATE(2026,4,27))/7)+1,""))</f>
        <v/>
      </c>
      <c r="C38" s="9" t="n"/>
      <c r="D38" s="7" t="n"/>
      <c r="E38" s="9">
        <f>IF(OR(C38="",D38=""),"",D38/C38)</f>
        <v/>
      </c>
      <c r="F38" s="6" t="n"/>
      <c r="G38" s="6" t="n"/>
      <c r="H38" s="6" t="n"/>
      <c r="I38" s="6" t="n"/>
      <c r="J38" s="6" t="n"/>
    </row>
    <row r="39">
      <c r="A39" s="5" t="n"/>
      <c r="B39" s="6">
        <f>IF(A39="","",IFERROR(INT((A39-DATE(2026,4,27))/7)+1,""))</f>
        <v/>
      </c>
      <c r="C39" s="9" t="n"/>
      <c r="D39" s="7" t="n"/>
      <c r="E39" s="9">
        <f>IF(OR(C39="",D39=""),"",D39/C39)</f>
        <v/>
      </c>
      <c r="F39" s="6" t="n"/>
      <c r="G39" s="6" t="n"/>
      <c r="H39" s="6" t="n"/>
      <c r="I39" s="6" t="n"/>
      <c r="J39" s="6" t="n"/>
    </row>
    <row r="40">
      <c r="A40" s="5" t="n"/>
      <c r="B40" s="6">
        <f>IF(A40="","",IFERROR(INT((A40-DATE(2026,4,27))/7)+1,""))</f>
        <v/>
      </c>
      <c r="C40" s="9" t="n"/>
      <c r="D40" s="7" t="n"/>
      <c r="E40" s="9">
        <f>IF(OR(C40="",D40=""),"",D40/C40)</f>
        <v/>
      </c>
      <c r="F40" s="6" t="n"/>
      <c r="G40" s="6" t="n"/>
      <c r="H40" s="6" t="n"/>
      <c r="I40" s="6" t="n"/>
      <c r="J40" s="6" t="n"/>
    </row>
    <row r="41">
      <c r="A41" s="5" t="n"/>
      <c r="B41" s="6">
        <f>IF(A41="","",IFERROR(INT((A41-DATE(2026,4,27))/7)+1,""))</f>
        <v/>
      </c>
      <c r="C41" s="9" t="n"/>
      <c r="D41" s="7" t="n"/>
      <c r="E41" s="9">
        <f>IF(OR(C41="",D41=""),"",D41/C41)</f>
        <v/>
      </c>
      <c r="F41" s="6" t="n"/>
      <c r="G41" s="6" t="n"/>
      <c r="H41" s="6" t="n"/>
      <c r="I41" s="6" t="n"/>
      <c r="J41" s="6" t="n"/>
    </row>
    <row r="42">
      <c r="A42" s="5" t="n"/>
      <c r="B42" s="6">
        <f>IF(A42="","",IFERROR(INT((A42-DATE(2026,4,27))/7)+1,""))</f>
        <v/>
      </c>
      <c r="C42" s="9" t="n"/>
      <c r="D42" s="7" t="n"/>
      <c r="E42" s="9">
        <f>IF(OR(C42="",D42=""),"",D42/C42)</f>
        <v/>
      </c>
      <c r="F42" s="6" t="n"/>
      <c r="G42" s="6" t="n"/>
      <c r="H42" s="6" t="n"/>
      <c r="I42" s="6" t="n"/>
      <c r="J42" s="6" t="n"/>
    </row>
    <row r="43">
      <c r="A43" s="5" t="n"/>
      <c r="B43" s="6">
        <f>IF(A43="","",IFERROR(INT((A43-DATE(2026,4,27))/7)+1,""))</f>
        <v/>
      </c>
      <c r="C43" s="9" t="n"/>
      <c r="D43" s="7" t="n"/>
      <c r="E43" s="9">
        <f>IF(OR(C43="",D43=""),"",D43/C43)</f>
        <v/>
      </c>
      <c r="F43" s="6" t="n"/>
      <c r="G43" s="6" t="n"/>
      <c r="H43" s="6" t="n"/>
      <c r="I43" s="6" t="n"/>
      <c r="J43" s="6" t="n"/>
    </row>
    <row r="44">
      <c r="A44" s="5" t="n"/>
      <c r="B44" s="6">
        <f>IF(A44="","",IFERROR(INT((A44-DATE(2026,4,27))/7)+1,""))</f>
        <v/>
      </c>
      <c r="C44" s="9" t="n"/>
      <c r="D44" s="7" t="n"/>
      <c r="E44" s="9">
        <f>IF(OR(C44="",D44=""),"",D44/C44)</f>
        <v/>
      </c>
      <c r="F44" s="6" t="n"/>
      <c r="G44" s="6" t="n"/>
      <c r="H44" s="6" t="n"/>
      <c r="I44" s="6" t="n"/>
      <c r="J44" s="6" t="n"/>
    </row>
    <row r="45">
      <c r="A45" s="5" t="n"/>
      <c r="B45" s="6">
        <f>IF(A45="","",IFERROR(INT((A45-DATE(2026,4,27))/7)+1,""))</f>
        <v/>
      </c>
      <c r="C45" s="9" t="n"/>
      <c r="D45" s="7" t="n"/>
      <c r="E45" s="9">
        <f>IF(OR(C45="",D45=""),"",D45/C45)</f>
        <v/>
      </c>
      <c r="F45" s="6" t="n"/>
      <c r="G45" s="6" t="n"/>
      <c r="H45" s="6" t="n"/>
      <c r="I45" s="6" t="n"/>
      <c r="J45" s="6" t="n"/>
    </row>
    <row r="46">
      <c r="A46" s="5" t="n"/>
      <c r="B46" s="6">
        <f>IF(A46="","",IFERROR(INT((A46-DATE(2026,4,27))/7)+1,""))</f>
        <v/>
      </c>
      <c r="C46" s="9" t="n"/>
      <c r="D46" s="7" t="n"/>
      <c r="E46" s="9">
        <f>IF(OR(C46="",D46=""),"",D46/C46)</f>
        <v/>
      </c>
      <c r="F46" s="6" t="n"/>
      <c r="G46" s="6" t="n"/>
      <c r="H46" s="6" t="n"/>
      <c r="I46" s="6" t="n"/>
      <c r="J46" s="6" t="n"/>
    </row>
    <row r="47">
      <c r="A47" s="5" t="n"/>
      <c r="B47" s="6">
        <f>IF(A47="","",IFERROR(INT((A47-DATE(2026,4,27))/7)+1,""))</f>
        <v/>
      </c>
      <c r="C47" s="9" t="n"/>
      <c r="D47" s="7" t="n"/>
      <c r="E47" s="9">
        <f>IF(OR(C47="",D47=""),"",D47/C47)</f>
        <v/>
      </c>
      <c r="F47" s="6" t="n"/>
      <c r="G47" s="6" t="n"/>
      <c r="H47" s="6" t="n"/>
      <c r="I47" s="6" t="n"/>
      <c r="J47" s="6" t="n"/>
    </row>
    <row r="48">
      <c r="A48" s="5" t="n"/>
      <c r="B48" s="6">
        <f>IF(A48="","",IFERROR(INT((A48-DATE(2026,4,27))/7)+1,""))</f>
        <v/>
      </c>
      <c r="C48" s="9" t="n"/>
      <c r="D48" s="7" t="n"/>
      <c r="E48" s="9">
        <f>IF(OR(C48="",D48=""),"",D48/C48)</f>
        <v/>
      </c>
      <c r="F48" s="6" t="n"/>
      <c r="G48" s="6" t="n"/>
      <c r="H48" s="6" t="n"/>
      <c r="I48" s="6" t="n"/>
      <c r="J48" s="6" t="n"/>
    </row>
    <row r="49">
      <c r="A49" s="5" t="n"/>
      <c r="B49" s="6">
        <f>IF(A49="","",IFERROR(INT((A49-DATE(2026,4,27))/7)+1,""))</f>
        <v/>
      </c>
      <c r="C49" s="9" t="n"/>
      <c r="D49" s="7" t="n"/>
      <c r="E49" s="9">
        <f>IF(OR(C49="",D49=""),"",D49/C49)</f>
        <v/>
      </c>
      <c r="F49" s="6" t="n"/>
      <c r="G49" s="6" t="n"/>
      <c r="H49" s="6" t="n"/>
      <c r="I49" s="6" t="n"/>
      <c r="J49" s="6" t="n"/>
    </row>
    <row r="50">
      <c r="A50" s="5" t="n"/>
      <c r="B50" s="6">
        <f>IF(A50="","",IFERROR(INT((A50-DATE(2026,4,27))/7)+1,""))</f>
        <v/>
      </c>
      <c r="C50" s="9" t="n"/>
      <c r="D50" s="7" t="n"/>
      <c r="E50" s="9">
        <f>IF(OR(C50="",D50=""),"",D50/C50)</f>
        <v/>
      </c>
      <c r="F50" s="6" t="n"/>
      <c r="G50" s="6" t="n"/>
      <c r="H50" s="6" t="n"/>
      <c r="I50" s="6" t="n"/>
      <c r="J50" s="6" t="n"/>
    </row>
    <row r="51">
      <c r="A51" s="5" t="n"/>
      <c r="B51" s="6">
        <f>IF(A51="","",IFERROR(INT((A51-DATE(2026,4,27))/7)+1,""))</f>
        <v/>
      </c>
      <c r="C51" s="9" t="n"/>
      <c r="D51" s="7" t="n"/>
      <c r="E51" s="9">
        <f>IF(OR(C51="",D51=""),"",D51/C51)</f>
        <v/>
      </c>
      <c r="F51" s="6" t="n"/>
      <c r="G51" s="6" t="n"/>
      <c r="H51" s="6" t="n"/>
      <c r="I51" s="6" t="n"/>
      <c r="J51" s="6" t="n"/>
    </row>
    <row r="52">
      <c r="A52" s="5" t="n"/>
      <c r="B52" s="6">
        <f>IF(A52="","",IFERROR(INT((A52-DATE(2026,4,27))/7)+1,""))</f>
        <v/>
      </c>
      <c r="C52" s="9" t="n"/>
      <c r="D52" s="7" t="n"/>
      <c r="E52" s="9">
        <f>IF(OR(C52="",D52=""),"",D52/C52)</f>
        <v/>
      </c>
      <c r="F52" s="6" t="n"/>
      <c r="G52" s="6" t="n"/>
      <c r="H52" s="6" t="n"/>
      <c r="I52" s="6" t="n"/>
      <c r="J52" s="6" t="n"/>
    </row>
    <row r="53">
      <c r="A53" s="5" t="n"/>
      <c r="B53" s="6">
        <f>IF(A53="","",IFERROR(INT((A53-DATE(2026,4,27))/7)+1,""))</f>
        <v/>
      </c>
      <c r="C53" s="9" t="n"/>
      <c r="D53" s="7" t="n"/>
      <c r="E53" s="9">
        <f>IF(OR(C53="",D53=""),"",D53/C53)</f>
        <v/>
      </c>
      <c r="F53" s="6" t="n"/>
      <c r="G53" s="6" t="n"/>
      <c r="H53" s="6" t="n"/>
      <c r="I53" s="6" t="n"/>
      <c r="J53" s="6" t="n"/>
    </row>
    <row r="54">
      <c r="A54" s="5" t="n"/>
      <c r="B54" s="6">
        <f>IF(A54="","",IFERROR(INT((A54-DATE(2026,4,27))/7)+1,""))</f>
        <v/>
      </c>
      <c r="C54" s="9" t="n"/>
      <c r="D54" s="7" t="n"/>
      <c r="E54" s="9">
        <f>IF(OR(C54="",D54=""),"",D54/C54)</f>
        <v/>
      </c>
      <c r="F54" s="6" t="n"/>
      <c r="G54" s="6" t="n"/>
      <c r="H54" s="6" t="n"/>
      <c r="I54" s="6" t="n"/>
      <c r="J54" s="6" t="n"/>
    </row>
    <row r="55">
      <c r="A55" s="5" t="n"/>
      <c r="B55" s="6">
        <f>IF(A55="","",IFERROR(INT((A55-DATE(2026,4,27))/7)+1,""))</f>
        <v/>
      </c>
      <c r="C55" s="9" t="n"/>
      <c r="D55" s="7" t="n"/>
      <c r="E55" s="9">
        <f>IF(OR(C55="",D55=""),"",D55/C55)</f>
        <v/>
      </c>
      <c r="F55" s="6" t="n"/>
      <c r="G55" s="6" t="n"/>
      <c r="H55" s="6" t="n"/>
      <c r="I55" s="6" t="n"/>
      <c r="J55" s="6" t="n"/>
    </row>
    <row r="56">
      <c r="A56" s="5" t="n"/>
      <c r="B56" s="6">
        <f>IF(A56="","",IFERROR(INT((A56-DATE(2026,4,27))/7)+1,""))</f>
        <v/>
      </c>
      <c r="C56" s="9" t="n"/>
      <c r="D56" s="7" t="n"/>
      <c r="E56" s="9">
        <f>IF(OR(C56="",D56=""),"",D56/C56)</f>
        <v/>
      </c>
      <c r="F56" s="6" t="n"/>
      <c r="G56" s="6" t="n"/>
      <c r="H56" s="6" t="n"/>
      <c r="I56" s="6" t="n"/>
      <c r="J56" s="6" t="n"/>
    </row>
    <row r="57">
      <c r="A57" s="5" t="n"/>
      <c r="B57" s="6">
        <f>IF(A57="","",IFERROR(INT((A57-DATE(2026,4,27))/7)+1,""))</f>
        <v/>
      </c>
      <c r="C57" s="9" t="n"/>
      <c r="D57" s="7" t="n"/>
      <c r="E57" s="9">
        <f>IF(OR(C57="",D57=""),"",D57/C57)</f>
        <v/>
      </c>
      <c r="F57" s="6" t="n"/>
      <c r="G57" s="6" t="n"/>
      <c r="H57" s="6" t="n"/>
      <c r="I57" s="6" t="n"/>
      <c r="J57" s="6" t="n"/>
    </row>
    <row r="58">
      <c r="A58" s="5" t="n"/>
      <c r="B58" s="6">
        <f>IF(A58="","",IFERROR(INT((A58-DATE(2026,4,27))/7)+1,""))</f>
        <v/>
      </c>
      <c r="C58" s="9" t="n"/>
      <c r="D58" s="7" t="n"/>
      <c r="E58" s="9">
        <f>IF(OR(C58="",D58=""),"",D58/C58)</f>
        <v/>
      </c>
      <c r="F58" s="6" t="n"/>
      <c r="G58" s="6" t="n"/>
      <c r="H58" s="6" t="n"/>
      <c r="I58" s="6" t="n"/>
      <c r="J58" s="6" t="n"/>
    </row>
    <row r="59">
      <c r="A59" s="5" t="n"/>
      <c r="B59" s="6">
        <f>IF(A59="","",IFERROR(INT((A59-DATE(2026,4,27))/7)+1,""))</f>
        <v/>
      </c>
      <c r="C59" s="9" t="n"/>
      <c r="D59" s="7" t="n"/>
      <c r="E59" s="9">
        <f>IF(OR(C59="",D59=""),"",D59/C59)</f>
        <v/>
      </c>
      <c r="F59" s="6" t="n"/>
      <c r="G59" s="6" t="n"/>
      <c r="H59" s="6" t="n"/>
      <c r="I59" s="6" t="n"/>
      <c r="J59" s="6" t="n"/>
    </row>
    <row r="60">
      <c r="A60" s="5" t="n"/>
      <c r="B60" s="6">
        <f>IF(A60="","",IFERROR(INT((A60-DATE(2026,4,27))/7)+1,""))</f>
        <v/>
      </c>
      <c r="C60" s="9" t="n"/>
      <c r="D60" s="7" t="n"/>
      <c r="E60" s="9">
        <f>IF(OR(C60="",D60=""),"",D60/C60)</f>
        <v/>
      </c>
      <c r="F60" s="6" t="n"/>
      <c r="G60" s="6" t="n"/>
      <c r="H60" s="6" t="n"/>
      <c r="I60" s="6" t="n"/>
      <c r="J60" s="6" t="n"/>
    </row>
    <row r="61">
      <c r="A61" s="5" t="n"/>
      <c r="B61" s="6">
        <f>IF(A61="","",IFERROR(INT((A61-DATE(2026,4,27))/7)+1,""))</f>
        <v/>
      </c>
      <c r="C61" s="9" t="n"/>
      <c r="D61" s="7" t="n"/>
      <c r="E61" s="9">
        <f>IF(OR(C61="",D61=""),"",D61/C61)</f>
        <v/>
      </c>
      <c r="F61" s="6" t="n"/>
      <c r="G61" s="6" t="n"/>
      <c r="H61" s="6" t="n"/>
      <c r="I61" s="6" t="n"/>
      <c r="J61" s="6" t="n"/>
    </row>
    <row r="62">
      <c r="A62" s="5" t="n"/>
      <c r="B62" s="6">
        <f>IF(A62="","",IFERROR(INT((A62-DATE(2026,4,27))/7)+1,""))</f>
        <v/>
      </c>
      <c r="C62" s="9" t="n"/>
      <c r="D62" s="7" t="n"/>
      <c r="E62" s="9">
        <f>IF(OR(C62="",D62=""),"",D62/C62)</f>
        <v/>
      </c>
      <c r="F62" s="6" t="n"/>
      <c r="G62" s="6" t="n"/>
      <c r="H62" s="6" t="n"/>
      <c r="I62" s="6" t="n"/>
      <c r="J62" s="6" t="n"/>
    </row>
    <row r="63">
      <c r="A63" s="5" t="n"/>
      <c r="B63" s="6">
        <f>IF(A63="","",IFERROR(INT((A63-DATE(2026,4,27))/7)+1,""))</f>
        <v/>
      </c>
      <c r="C63" s="9" t="n"/>
      <c r="D63" s="7" t="n"/>
      <c r="E63" s="9">
        <f>IF(OR(C63="",D63=""),"",D63/C63)</f>
        <v/>
      </c>
      <c r="F63" s="6" t="n"/>
      <c r="G63" s="6" t="n"/>
      <c r="H63" s="6" t="n"/>
      <c r="I63" s="6" t="n"/>
      <c r="J63" s="6" t="n"/>
    </row>
    <row r="64">
      <c r="A64" s="5" t="n"/>
      <c r="B64" s="6">
        <f>IF(A64="","",IFERROR(INT((A64-DATE(2026,4,27))/7)+1,""))</f>
        <v/>
      </c>
      <c r="C64" s="9" t="n"/>
      <c r="D64" s="7" t="n"/>
      <c r="E64" s="9">
        <f>IF(OR(C64="",D64=""),"",D64/C64)</f>
        <v/>
      </c>
      <c r="F64" s="6" t="n"/>
      <c r="G64" s="6" t="n"/>
      <c r="H64" s="6" t="n"/>
      <c r="I64" s="6" t="n"/>
      <c r="J64" s="6" t="n"/>
    </row>
    <row r="65">
      <c r="A65" s="5" t="n"/>
      <c r="B65" s="6">
        <f>IF(A65="","",IFERROR(INT((A65-DATE(2026,4,27))/7)+1,""))</f>
        <v/>
      </c>
      <c r="C65" s="9" t="n"/>
      <c r="D65" s="7" t="n"/>
      <c r="E65" s="9">
        <f>IF(OR(C65="",D65=""),"",D65/C65)</f>
        <v/>
      </c>
      <c r="F65" s="6" t="n"/>
      <c r="G65" s="6" t="n"/>
      <c r="H65" s="6" t="n"/>
      <c r="I65" s="6" t="n"/>
      <c r="J65" s="6" t="n"/>
    </row>
    <row r="66">
      <c r="A66" s="5" t="n"/>
      <c r="B66" s="6">
        <f>IF(A66="","",IFERROR(INT((A66-DATE(2026,4,27))/7)+1,""))</f>
        <v/>
      </c>
      <c r="C66" s="9" t="n"/>
      <c r="D66" s="7" t="n"/>
      <c r="E66" s="9">
        <f>IF(OR(C66="",D66=""),"",D66/C66)</f>
        <v/>
      </c>
      <c r="F66" s="6" t="n"/>
      <c r="G66" s="6" t="n"/>
      <c r="H66" s="6" t="n"/>
      <c r="I66" s="6" t="n"/>
      <c r="J66" s="6" t="n"/>
    </row>
    <row r="67">
      <c r="A67" s="5" t="n"/>
      <c r="B67" s="6">
        <f>IF(A67="","",IFERROR(INT((A67-DATE(2026,4,27))/7)+1,""))</f>
        <v/>
      </c>
      <c r="C67" s="9" t="n"/>
      <c r="D67" s="7" t="n"/>
      <c r="E67" s="9">
        <f>IF(OR(C67="",D67=""),"",D67/C67)</f>
        <v/>
      </c>
      <c r="F67" s="6" t="n"/>
      <c r="G67" s="6" t="n"/>
      <c r="H67" s="6" t="n"/>
      <c r="I67" s="6" t="n"/>
      <c r="J67" s="6" t="n"/>
    </row>
    <row r="68">
      <c r="A68" s="5" t="n"/>
      <c r="B68" s="6">
        <f>IF(A68="","",IFERROR(INT((A68-DATE(2026,4,27))/7)+1,""))</f>
        <v/>
      </c>
      <c r="C68" s="9" t="n"/>
      <c r="D68" s="7" t="n"/>
      <c r="E68" s="9">
        <f>IF(OR(C68="",D68=""),"",D68/C68)</f>
        <v/>
      </c>
      <c r="F68" s="6" t="n"/>
      <c r="G68" s="6" t="n"/>
      <c r="H68" s="6" t="n"/>
      <c r="I68" s="6" t="n"/>
      <c r="J68" s="6" t="n"/>
    </row>
    <row r="69">
      <c r="A69" s="5" t="n"/>
      <c r="B69" s="6">
        <f>IF(A69="","",IFERROR(INT((A69-DATE(2026,4,27))/7)+1,""))</f>
        <v/>
      </c>
      <c r="C69" s="9" t="n"/>
      <c r="D69" s="7" t="n"/>
      <c r="E69" s="9">
        <f>IF(OR(C69="",D69=""),"",D69/C69)</f>
        <v/>
      </c>
      <c r="F69" s="6" t="n"/>
      <c r="G69" s="6" t="n"/>
      <c r="H69" s="6" t="n"/>
      <c r="I69" s="6" t="n"/>
      <c r="J69" s="6" t="n"/>
    </row>
    <row r="70">
      <c r="A70" s="5" t="n"/>
      <c r="B70" s="6">
        <f>IF(A70="","",IFERROR(INT((A70-DATE(2026,4,27))/7)+1,""))</f>
        <v/>
      </c>
      <c r="C70" s="9" t="n"/>
      <c r="D70" s="7" t="n"/>
      <c r="E70" s="9">
        <f>IF(OR(C70="",D70=""),"",D70/C70)</f>
        <v/>
      </c>
      <c r="F70" s="6" t="n"/>
      <c r="G70" s="6" t="n"/>
      <c r="H70" s="6" t="n"/>
      <c r="I70" s="6" t="n"/>
      <c r="J70" s="6" t="n"/>
    </row>
    <row r="71">
      <c r="A71" s="5" t="n"/>
      <c r="B71" s="6">
        <f>IF(A71="","",IFERROR(INT((A71-DATE(2026,4,27))/7)+1,""))</f>
        <v/>
      </c>
      <c r="C71" s="9" t="n"/>
      <c r="D71" s="7" t="n"/>
      <c r="E71" s="9">
        <f>IF(OR(C71="",D71=""),"",D71/C71)</f>
        <v/>
      </c>
      <c r="F71" s="6" t="n"/>
      <c r="G71" s="6" t="n"/>
      <c r="H71" s="6" t="n"/>
      <c r="I71" s="6" t="n"/>
      <c r="J71" s="6" t="n"/>
    </row>
    <row r="72">
      <c r="A72" s="5" t="n"/>
      <c r="B72" s="6">
        <f>IF(A72="","",IFERROR(INT((A72-DATE(2026,4,27))/7)+1,""))</f>
        <v/>
      </c>
      <c r="C72" s="9" t="n"/>
      <c r="D72" s="7" t="n"/>
      <c r="E72" s="9">
        <f>IF(OR(C72="",D72=""),"",D72/C72)</f>
        <v/>
      </c>
      <c r="F72" s="6" t="n"/>
      <c r="G72" s="6" t="n"/>
      <c r="H72" s="6" t="n"/>
      <c r="I72" s="6" t="n"/>
      <c r="J72" s="6" t="n"/>
    </row>
    <row r="73">
      <c r="A73" s="5" t="n"/>
      <c r="B73" s="6">
        <f>IF(A73="","",IFERROR(INT((A73-DATE(2026,4,27))/7)+1,""))</f>
        <v/>
      </c>
      <c r="C73" s="9" t="n"/>
      <c r="D73" s="7" t="n"/>
      <c r="E73" s="9">
        <f>IF(OR(C73="",D73=""),"",D73/C73)</f>
        <v/>
      </c>
      <c r="F73" s="6" t="n"/>
      <c r="G73" s="6" t="n"/>
      <c r="H73" s="6" t="n"/>
      <c r="I73" s="6" t="n"/>
      <c r="J73" s="6" t="n"/>
    </row>
    <row r="74">
      <c r="A74" s="5" t="n"/>
      <c r="B74" s="6">
        <f>IF(A74="","",IFERROR(INT((A74-DATE(2026,4,27))/7)+1,""))</f>
        <v/>
      </c>
      <c r="C74" s="9" t="n"/>
      <c r="D74" s="7" t="n"/>
      <c r="E74" s="9">
        <f>IF(OR(C74="",D74=""),"",D74/C74)</f>
        <v/>
      </c>
      <c r="F74" s="6" t="n"/>
      <c r="G74" s="6" t="n"/>
      <c r="H74" s="6" t="n"/>
      <c r="I74" s="6" t="n"/>
      <c r="J74" s="6" t="n"/>
    </row>
    <row r="75">
      <c r="A75" s="5" t="n"/>
      <c r="B75" s="6">
        <f>IF(A75="","",IFERROR(INT((A75-DATE(2026,4,27))/7)+1,""))</f>
        <v/>
      </c>
      <c r="C75" s="9" t="n"/>
      <c r="D75" s="7" t="n"/>
      <c r="E75" s="9">
        <f>IF(OR(C75="",D75=""),"",D75/C75)</f>
        <v/>
      </c>
      <c r="F75" s="6" t="n"/>
      <c r="G75" s="6" t="n"/>
      <c r="H75" s="6" t="n"/>
      <c r="I75" s="6" t="n"/>
      <c r="J75" s="6" t="n"/>
    </row>
    <row r="76">
      <c r="A76" s="5" t="n"/>
      <c r="B76" s="6">
        <f>IF(A76="","",IFERROR(INT((A76-DATE(2026,4,27))/7)+1,""))</f>
        <v/>
      </c>
      <c r="C76" s="9" t="n"/>
      <c r="D76" s="7" t="n"/>
      <c r="E76" s="9">
        <f>IF(OR(C76="",D76=""),"",D76/C76)</f>
        <v/>
      </c>
      <c r="F76" s="6" t="n"/>
      <c r="G76" s="6" t="n"/>
      <c r="H76" s="6" t="n"/>
      <c r="I76" s="6" t="n"/>
      <c r="J76" s="6" t="n"/>
    </row>
    <row r="77">
      <c r="A77" s="5" t="n"/>
      <c r="B77" s="6">
        <f>IF(A77="","",IFERROR(INT((A77-DATE(2026,4,27))/7)+1,""))</f>
        <v/>
      </c>
      <c r="C77" s="9" t="n"/>
      <c r="D77" s="7" t="n"/>
      <c r="E77" s="9">
        <f>IF(OR(C77="",D77=""),"",D77/C77)</f>
        <v/>
      </c>
      <c r="F77" s="6" t="n"/>
      <c r="G77" s="6" t="n"/>
      <c r="H77" s="6" t="n"/>
      <c r="I77" s="6" t="n"/>
      <c r="J77" s="6" t="n"/>
    </row>
    <row r="78">
      <c r="A78" s="5" t="n"/>
      <c r="B78" s="6">
        <f>IF(A78="","",IFERROR(INT((A78-DATE(2026,4,27))/7)+1,""))</f>
        <v/>
      </c>
      <c r="C78" s="9" t="n"/>
      <c r="D78" s="7" t="n"/>
      <c r="E78" s="9">
        <f>IF(OR(C78="",D78=""),"",D78/C78)</f>
        <v/>
      </c>
      <c r="F78" s="6" t="n"/>
      <c r="G78" s="6" t="n"/>
      <c r="H78" s="6" t="n"/>
      <c r="I78" s="6" t="n"/>
      <c r="J78" s="6" t="n"/>
    </row>
    <row r="79">
      <c r="A79" s="5" t="n"/>
      <c r="B79" s="6">
        <f>IF(A79="","",IFERROR(INT((A79-DATE(2026,4,27))/7)+1,""))</f>
        <v/>
      </c>
      <c r="C79" s="9" t="n"/>
      <c r="D79" s="7" t="n"/>
      <c r="E79" s="9">
        <f>IF(OR(C79="",D79=""),"",D79/C79)</f>
        <v/>
      </c>
      <c r="F79" s="6" t="n"/>
      <c r="G79" s="6" t="n"/>
      <c r="H79" s="6" t="n"/>
      <c r="I79" s="6" t="n"/>
      <c r="J79" s="6" t="n"/>
    </row>
    <row r="80">
      <c r="A80" s="5" t="n"/>
      <c r="B80" s="6">
        <f>IF(A80="","",IFERROR(INT((A80-DATE(2026,4,27))/7)+1,""))</f>
        <v/>
      </c>
      <c r="C80" s="9" t="n"/>
      <c r="D80" s="7" t="n"/>
      <c r="E80" s="9">
        <f>IF(OR(C80="",D80=""),"",D80/C80)</f>
        <v/>
      </c>
      <c r="F80" s="6" t="n"/>
      <c r="G80" s="6" t="n"/>
      <c r="H80" s="6" t="n"/>
      <c r="I80" s="6" t="n"/>
      <c r="J80" s="6" t="n"/>
    </row>
    <row r="81">
      <c r="A81" s="5" t="n"/>
      <c r="B81" s="6">
        <f>IF(A81="","",IFERROR(INT((A81-DATE(2026,4,27))/7)+1,""))</f>
        <v/>
      </c>
      <c r="C81" s="9" t="n"/>
      <c r="D81" s="7" t="n"/>
      <c r="E81" s="9">
        <f>IF(OR(C81="",D81=""),"",D81/C81)</f>
        <v/>
      </c>
      <c r="F81" s="6" t="n"/>
      <c r="G81" s="6" t="n"/>
      <c r="H81" s="6" t="n"/>
      <c r="I81" s="6" t="n"/>
      <c r="J81" s="6" t="n"/>
    </row>
    <row r="82">
      <c r="A82" s="5" t="n"/>
      <c r="B82" s="6">
        <f>IF(A82="","",IFERROR(INT((A82-DATE(2026,4,27))/7)+1,""))</f>
        <v/>
      </c>
      <c r="C82" s="9" t="n"/>
      <c r="D82" s="7" t="n"/>
      <c r="E82" s="9">
        <f>IF(OR(C82="",D82=""),"",D82/C82)</f>
        <v/>
      </c>
      <c r="F82" s="6" t="n"/>
      <c r="G82" s="6" t="n"/>
      <c r="H82" s="6" t="n"/>
      <c r="I82" s="6" t="n"/>
      <c r="J82" s="6" t="n"/>
    </row>
    <row r="83">
      <c r="A83" s="5" t="n"/>
      <c r="B83" s="6">
        <f>IF(A83="","",IFERROR(INT((A83-DATE(2026,4,27))/7)+1,""))</f>
        <v/>
      </c>
      <c r="C83" s="9" t="n"/>
      <c r="D83" s="7" t="n"/>
      <c r="E83" s="9">
        <f>IF(OR(C83="",D83=""),"",D83/C83)</f>
        <v/>
      </c>
      <c r="F83" s="6" t="n"/>
      <c r="G83" s="6" t="n"/>
      <c r="H83" s="6" t="n"/>
      <c r="I83" s="6" t="n"/>
      <c r="J83" s="6" t="n"/>
    </row>
    <row r="84">
      <c r="A84" s="5" t="n"/>
      <c r="B84" s="6">
        <f>IF(A84="","",IFERROR(INT((A84-DATE(2026,4,27))/7)+1,""))</f>
        <v/>
      </c>
      <c r="C84" s="9" t="n"/>
      <c r="D84" s="7" t="n"/>
      <c r="E84" s="9">
        <f>IF(OR(C84="",D84=""),"",D84/C84)</f>
        <v/>
      </c>
      <c r="F84" s="6" t="n"/>
      <c r="G84" s="6" t="n"/>
      <c r="H84" s="6" t="n"/>
      <c r="I84" s="6" t="n"/>
      <c r="J84" s="6" t="n"/>
    </row>
    <row r="85">
      <c r="A85" s="5" t="n"/>
      <c r="B85" s="6">
        <f>IF(A85="","",IFERROR(INT((A85-DATE(2026,4,27))/7)+1,""))</f>
        <v/>
      </c>
      <c r="C85" s="9" t="n"/>
      <c r="D85" s="7" t="n"/>
      <c r="E85" s="9">
        <f>IF(OR(C85="",D85=""),"",D85/C85)</f>
        <v/>
      </c>
      <c r="F85" s="6" t="n"/>
      <c r="G85" s="6" t="n"/>
      <c r="H85" s="6" t="n"/>
      <c r="I85" s="6" t="n"/>
      <c r="J85" s="6" t="n"/>
    </row>
    <row r="86">
      <c r="A86" s="5" t="n"/>
      <c r="B86" s="6">
        <f>IF(A86="","",IFERROR(INT((A86-DATE(2026,4,27))/7)+1,""))</f>
        <v/>
      </c>
      <c r="C86" s="9" t="n"/>
      <c r="D86" s="7" t="n"/>
      <c r="E86" s="9">
        <f>IF(OR(C86="",D86=""),"",D86/C86)</f>
        <v/>
      </c>
      <c r="F86" s="6" t="n"/>
      <c r="G86" s="6" t="n"/>
      <c r="H86" s="6" t="n"/>
      <c r="I86" s="6" t="n"/>
      <c r="J86" s="6" t="n"/>
    </row>
    <row r="87">
      <c r="A87" s="5" t="n"/>
      <c r="B87" s="6">
        <f>IF(A87="","",IFERROR(INT((A87-DATE(2026,4,27))/7)+1,""))</f>
        <v/>
      </c>
      <c r="C87" s="9" t="n"/>
      <c r="D87" s="7" t="n"/>
      <c r="E87" s="9">
        <f>IF(OR(C87="",D87=""),"",D87/C87)</f>
        <v/>
      </c>
      <c r="F87" s="6" t="n"/>
      <c r="G87" s="6" t="n"/>
      <c r="H87" s="6" t="n"/>
      <c r="I87" s="6" t="n"/>
      <c r="J87" s="6" t="n"/>
    </row>
    <row r="88">
      <c r="A88" s="5" t="n"/>
      <c r="B88" s="6">
        <f>IF(A88="","",IFERROR(INT((A88-DATE(2026,4,27))/7)+1,""))</f>
        <v/>
      </c>
      <c r="C88" s="9" t="n"/>
      <c r="D88" s="7" t="n"/>
      <c r="E88" s="9">
        <f>IF(OR(C88="",D88=""),"",D88/C88)</f>
        <v/>
      </c>
      <c r="F88" s="6" t="n"/>
      <c r="G88" s="6" t="n"/>
      <c r="H88" s="6" t="n"/>
      <c r="I88" s="6" t="n"/>
      <c r="J88" s="6" t="n"/>
    </row>
    <row r="89">
      <c r="A89" s="5" t="n"/>
      <c r="B89" s="6">
        <f>IF(A89="","",IFERROR(INT((A89-DATE(2026,4,27))/7)+1,""))</f>
        <v/>
      </c>
      <c r="C89" s="9" t="n"/>
      <c r="D89" s="7" t="n"/>
      <c r="E89" s="9">
        <f>IF(OR(C89="",D89=""),"",D89/C89)</f>
        <v/>
      </c>
      <c r="F89" s="6" t="n"/>
      <c r="G89" s="6" t="n"/>
      <c r="H89" s="6" t="n"/>
      <c r="I89" s="6" t="n"/>
      <c r="J89" s="6" t="n"/>
    </row>
    <row r="90">
      <c r="A90" s="5" t="n"/>
      <c r="B90" s="6">
        <f>IF(A90="","",IFERROR(INT((A90-DATE(2026,4,27))/7)+1,""))</f>
        <v/>
      </c>
      <c r="C90" s="9" t="n"/>
      <c r="D90" s="7" t="n"/>
      <c r="E90" s="9">
        <f>IF(OR(C90="",D90=""),"",D90/C90)</f>
        <v/>
      </c>
      <c r="F90" s="6" t="n"/>
      <c r="G90" s="6" t="n"/>
      <c r="H90" s="6" t="n"/>
      <c r="I90" s="6" t="n"/>
      <c r="J90" s="6" t="n"/>
    </row>
    <row r="91">
      <c r="A91" s="5" t="n"/>
      <c r="B91" s="6">
        <f>IF(A91="","",IFERROR(INT((A91-DATE(2026,4,27))/7)+1,""))</f>
        <v/>
      </c>
      <c r="C91" s="9" t="n"/>
      <c r="D91" s="7" t="n"/>
      <c r="E91" s="9">
        <f>IF(OR(C91="",D91=""),"",D91/C91)</f>
        <v/>
      </c>
      <c r="F91" s="6" t="n"/>
      <c r="G91" s="6" t="n"/>
      <c r="H91" s="6" t="n"/>
      <c r="I91" s="6" t="n"/>
      <c r="J91" s="6" t="n"/>
    </row>
    <row r="92">
      <c r="A92" s="5" t="n"/>
      <c r="B92" s="6">
        <f>IF(A92="","",IFERROR(INT((A92-DATE(2026,4,27))/7)+1,""))</f>
        <v/>
      </c>
      <c r="C92" s="9" t="n"/>
      <c r="D92" s="7" t="n"/>
      <c r="E92" s="9">
        <f>IF(OR(C92="",D92=""),"",D92/C92)</f>
        <v/>
      </c>
      <c r="F92" s="6" t="n"/>
      <c r="G92" s="6" t="n"/>
      <c r="H92" s="6" t="n"/>
      <c r="I92" s="6" t="n"/>
      <c r="J92" s="6" t="n"/>
    </row>
    <row r="93">
      <c r="A93" s="5" t="n"/>
      <c r="B93" s="6">
        <f>IF(A93="","",IFERROR(INT((A93-DATE(2026,4,27))/7)+1,""))</f>
        <v/>
      </c>
      <c r="C93" s="9" t="n"/>
      <c r="D93" s="7" t="n"/>
      <c r="E93" s="9">
        <f>IF(OR(C93="",D93=""),"",D93/C93)</f>
        <v/>
      </c>
      <c r="F93" s="6" t="n"/>
      <c r="G93" s="6" t="n"/>
      <c r="H93" s="6" t="n"/>
      <c r="I93" s="6" t="n"/>
      <c r="J93" s="6" t="n"/>
    </row>
    <row r="94">
      <c r="A94" s="5" t="n"/>
      <c r="B94" s="6">
        <f>IF(A94="","",IFERROR(INT((A94-DATE(2026,4,27))/7)+1,""))</f>
        <v/>
      </c>
      <c r="C94" s="9" t="n"/>
      <c r="D94" s="7" t="n"/>
      <c r="E94" s="9">
        <f>IF(OR(C94="",D94=""),"",D94/C94)</f>
        <v/>
      </c>
      <c r="F94" s="6" t="n"/>
      <c r="G94" s="6" t="n"/>
      <c r="H94" s="6" t="n"/>
      <c r="I94" s="6" t="n"/>
      <c r="J94" s="6" t="n"/>
    </row>
    <row r="95">
      <c r="A95" s="5" t="n"/>
      <c r="B95" s="6">
        <f>IF(A95="","",IFERROR(INT((A95-DATE(2026,4,27))/7)+1,""))</f>
        <v/>
      </c>
      <c r="C95" s="9" t="n"/>
      <c r="D95" s="7" t="n"/>
      <c r="E95" s="9">
        <f>IF(OR(C95="",D95=""),"",D95/C95)</f>
        <v/>
      </c>
      <c r="F95" s="6" t="n"/>
      <c r="G95" s="6" t="n"/>
      <c r="H95" s="6" t="n"/>
      <c r="I95" s="6" t="n"/>
      <c r="J95" s="6" t="n"/>
    </row>
    <row r="96">
      <c r="A96" s="5" t="n"/>
      <c r="B96" s="6">
        <f>IF(A96="","",IFERROR(INT((A96-DATE(2026,4,27))/7)+1,""))</f>
        <v/>
      </c>
      <c r="C96" s="9" t="n"/>
      <c r="D96" s="7" t="n"/>
      <c r="E96" s="9">
        <f>IF(OR(C96="",D96=""),"",D96/C96)</f>
        <v/>
      </c>
      <c r="F96" s="6" t="n"/>
      <c r="G96" s="6" t="n"/>
      <c r="H96" s="6" t="n"/>
      <c r="I96" s="6" t="n"/>
      <c r="J96" s="6" t="n"/>
    </row>
    <row r="97">
      <c r="A97" s="5" t="n"/>
      <c r="B97" s="6">
        <f>IF(A97="","",IFERROR(INT((A97-DATE(2026,4,27))/7)+1,""))</f>
        <v/>
      </c>
      <c r="C97" s="9" t="n"/>
      <c r="D97" s="7" t="n"/>
      <c r="E97" s="9">
        <f>IF(OR(C97="",D97=""),"",D97/C97)</f>
        <v/>
      </c>
      <c r="F97" s="6" t="n"/>
      <c r="G97" s="6" t="n"/>
      <c r="H97" s="6" t="n"/>
      <c r="I97" s="6" t="n"/>
      <c r="J97" s="6" t="n"/>
    </row>
    <row r="98">
      <c r="A98" s="5" t="n"/>
      <c r="B98" s="6">
        <f>IF(A98="","",IFERROR(INT((A98-DATE(2026,4,27))/7)+1,""))</f>
        <v/>
      </c>
      <c r="C98" s="9" t="n"/>
      <c r="D98" s="7" t="n"/>
      <c r="E98" s="9">
        <f>IF(OR(C98="",D98=""),"",D98/C98)</f>
        <v/>
      </c>
      <c r="F98" s="6" t="n"/>
      <c r="G98" s="6" t="n"/>
      <c r="H98" s="6" t="n"/>
      <c r="I98" s="6" t="n"/>
      <c r="J98" s="6" t="n"/>
    </row>
    <row r="99">
      <c r="A99" s="5" t="n"/>
      <c r="B99" s="6">
        <f>IF(A99="","",IFERROR(INT((A99-DATE(2026,4,27))/7)+1,""))</f>
        <v/>
      </c>
      <c r="C99" s="9" t="n"/>
      <c r="D99" s="7" t="n"/>
      <c r="E99" s="9">
        <f>IF(OR(C99="",D99=""),"",D99/C99)</f>
        <v/>
      </c>
      <c r="F99" s="6" t="n"/>
      <c r="G99" s="6" t="n"/>
      <c r="H99" s="6" t="n"/>
      <c r="I99" s="6" t="n"/>
      <c r="J99" s="6" t="n"/>
    </row>
    <row r="100">
      <c r="A100" s="5" t="n"/>
      <c r="B100" s="6">
        <f>IF(A100="","",IFERROR(INT((A100-DATE(2026,4,27))/7)+1,""))</f>
        <v/>
      </c>
      <c r="C100" s="9" t="n"/>
      <c r="D100" s="7" t="n"/>
      <c r="E100" s="9">
        <f>IF(OR(C100="",D100=""),"",D100/C100)</f>
        <v/>
      </c>
      <c r="F100" s="6" t="n"/>
      <c r="G100" s="6" t="n"/>
      <c r="H100" s="6" t="n"/>
      <c r="I100" s="6" t="n"/>
      <c r="J100" s="6" t="n"/>
    </row>
    <row r="101">
      <c r="A101" s="5" t="n"/>
      <c r="B101" s="6">
        <f>IF(A101="","",IFERROR(INT((A101-DATE(2026,4,27))/7)+1,""))</f>
        <v/>
      </c>
      <c r="C101" s="9" t="n"/>
      <c r="D101" s="7" t="n"/>
      <c r="E101" s="9">
        <f>IF(OR(C101="",D101=""),"",D101/C101)</f>
        <v/>
      </c>
      <c r="F101" s="6" t="n"/>
      <c r="G101" s="6" t="n"/>
      <c r="H101" s="6" t="n"/>
      <c r="I101" s="6" t="n"/>
      <c r="J101" s="6" t="n"/>
    </row>
  </sheetData>
  <dataValidations count="2">
    <dataValidation sqref="I2:I101" showDropDown="0" showInputMessage="0" showErrorMessage="0" allowBlank="1" type="list">
      <formula1>"Easy,Easy + pickups,Long easy,Tempo,Other"</formula1>
    </dataValidation>
    <dataValidation sqref="H2:H101" showDropDown="0" showInputMessage="0" showErrorMessage="0" allowBlank="1" type="list">
      <formula1>"3,3.5,4,4.5,5,5.5,6,6.5,7,7.5,8"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17" customWidth="1" min="3" max="3"/>
    <col width="12" customWidth="1" min="4" max="4"/>
    <col width="12" customWidth="1" min="5" max="5"/>
    <col width="12" customWidth="1" min="6" max="6"/>
    <col width="11" customWidth="1" min="7" max="7"/>
    <col width="12" customWidth="1" min="8" max="8"/>
    <col width="35" customWidth="1" min="9" max="9"/>
  </cols>
  <sheetData>
    <row r="1" ht="22" customHeight="1">
      <c r="A1" s="4" t="inlineStr">
        <is>
          <t>Date</t>
        </is>
      </c>
      <c r="B1" s="4" t="inlineStr">
        <is>
          <t>Week</t>
        </is>
      </c>
      <c r="C1" s="4" t="inlineStr">
        <is>
          <t>Body Weight (kg)</t>
        </is>
      </c>
      <c r="D1" s="4" t="inlineStr">
        <is>
          <t>Sleep (hrs)</t>
        </is>
      </c>
      <c r="E1" s="4" t="inlineStr">
        <is>
          <t>Waist (cm)</t>
        </is>
      </c>
      <c r="F1" s="4" t="inlineStr">
        <is>
          <t>Chest (cm)</t>
        </is>
      </c>
      <c r="G1" s="4" t="inlineStr">
        <is>
          <t>Arm (cm)</t>
        </is>
      </c>
      <c r="H1" s="4" t="inlineStr">
        <is>
          <t>Thigh (cm)</t>
        </is>
      </c>
      <c r="I1" s="4" t="inlineStr">
        <is>
          <t>Notes</t>
        </is>
      </c>
    </row>
    <row r="2">
      <c r="A2" s="5" t="n">
        <v>46141</v>
      </c>
      <c r="B2" s="6">
        <f>IF(A2="","",IFERROR(INT((A2-DATE(2026,4,27))/7)+1,""))</f>
        <v/>
      </c>
      <c r="C2" s="7" t="n">
        <v>77.7</v>
      </c>
      <c r="D2" s="7" t="n">
        <v>8</v>
      </c>
      <c r="E2" s="7" t="n"/>
      <c r="F2" s="7" t="n"/>
      <c r="G2" s="7" t="n"/>
      <c r="H2" s="7" t="n"/>
      <c r="I2" s="6" t="inlineStr">
        <is>
          <t>Recovery 9/10, race fatigue 7/10, session 80 min. Soreness from race but trained.</t>
        </is>
      </c>
    </row>
    <row r="3">
      <c r="A3" s="5" t="n"/>
      <c r="B3" s="6">
        <f>IF(A3="","",IFERROR(INT((A3-DATE(2026,4,27))/7)+1,""))</f>
        <v/>
      </c>
      <c r="C3" s="7" t="n"/>
      <c r="D3" s="7" t="n"/>
      <c r="E3" s="7" t="n"/>
      <c r="F3" s="7" t="n"/>
      <c r="G3" s="7" t="n"/>
      <c r="H3" s="7" t="n"/>
      <c r="I3" s="6" t="n"/>
    </row>
    <row r="4">
      <c r="A4" s="5" t="n"/>
      <c r="B4" s="6">
        <f>IF(A4="","",IFERROR(INT((A4-DATE(2026,4,27))/7)+1,""))</f>
        <v/>
      </c>
      <c r="C4" s="7" t="n"/>
      <c r="D4" s="7" t="n"/>
      <c r="E4" s="7" t="n"/>
      <c r="F4" s="7" t="n"/>
      <c r="G4" s="7" t="n"/>
      <c r="H4" s="7" t="n"/>
      <c r="I4" s="6" t="n"/>
    </row>
    <row r="5">
      <c r="A5" s="5" t="n"/>
      <c r="B5" s="6">
        <f>IF(A5="","",IFERROR(INT((A5-DATE(2026,4,27))/7)+1,""))</f>
        <v/>
      </c>
      <c r="C5" s="7" t="n"/>
      <c r="D5" s="7" t="n"/>
      <c r="E5" s="7" t="n"/>
      <c r="F5" s="7" t="n"/>
      <c r="G5" s="7" t="n"/>
      <c r="H5" s="7" t="n"/>
      <c r="I5" s="6" t="n"/>
    </row>
    <row r="6">
      <c r="A6" s="5" t="n"/>
      <c r="B6" s="6">
        <f>IF(A6="","",IFERROR(INT((A6-DATE(2026,4,27))/7)+1,""))</f>
        <v/>
      </c>
      <c r="C6" s="7" t="n"/>
      <c r="D6" s="7" t="n"/>
      <c r="E6" s="7" t="n"/>
      <c r="F6" s="7" t="n"/>
      <c r="G6" s="7" t="n"/>
      <c r="H6" s="7" t="n"/>
      <c r="I6" s="6" t="n"/>
    </row>
    <row r="7">
      <c r="A7" s="5" t="n"/>
      <c r="B7" s="6">
        <f>IF(A7="","",IFERROR(INT((A7-DATE(2026,4,27))/7)+1,""))</f>
        <v/>
      </c>
      <c r="C7" s="7" t="n"/>
      <c r="D7" s="7" t="n"/>
      <c r="E7" s="7" t="n"/>
      <c r="F7" s="7" t="n"/>
      <c r="G7" s="7" t="n"/>
      <c r="H7" s="7" t="n"/>
      <c r="I7" s="6" t="n"/>
    </row>
    <row r="8">
      <c r="A8" s="5" t="n"/>
      <c r="B8" s="6">
        <f>IF(A8="","",IFERROR(INT((A8-DATE(2026,4,27))/7)+1,""))</f>
        <v/>
      </c>
      <c r="C8" s="7" t="n"/>
      <c r="D8" s="7" t="n"/>
      <c r="E8" s="7" t="n"/>
      <c r="F8" s="7" t="n"/>
      <c r="G8" s="7" t="n"/>
      <c r="H8" s="7" t="n"/>
      <c r="I8" s="6" t="n"/>
    </row>
    <row r="9">
      <c r="A9" s="5" t="n"/>
      <c r="B9" s="6">
        <f>IF(A9="","",IFERROR(INT((A9-DATE(2026,4,27))/7)+1,""))</f>
        <v/>
      </c>
      <c r="C9" s="7" t="n"/>
      <c r="D9" s="7" t="n"/>
      <c r="E9" s="7" t="n"/>
      <c r="F9" s="7" t="n"/>
      <c r="G9" s="7" t="n"/>
      <c r="H9" s="7" t="n"/>
      <c r="I9" s="6" t="n"/>
    </row>
    <row r="10">
      <c r="A10" s="5" t="n"/>
      <c r="B10" s="6">
        <f>IF(A10="","",IFERROR(INT((A10-DATE(2026,4,27))/7)+1,""))</f>
        <v/>
      </c>
      <c r="C10" s="7" t="n"/>
      <c r="D10" s="7" t="n"/>
      <c r="E10" s="7" t="n"/>
      <c r="F10" s="7" t="n"/>
      <c r="G10" s="7" t="n"/>
      <c r="H10" s="7" t="n"/>
      <c r="I10" s="6" t="n"/>
    </row>
    <row r="11">
      <c r="A11" s="5" t="n"/>
      <c r="B11" s="6">
        <f>IF(A11="","",IFERROR(INT((A11-DATE(2026,4,27))/7)+1,""))</f>
        <v/>
      </c>
      <c r="C11" s="7" t="n"/>
      <c r="D11" s="7" t="n"/>
      <c r="E11" s="7" t="n"/>
      <c r="F11" s="7" t="n"/>
      <c r="G11" s="7" t="n"/>
      <c r="H11" s="7" t="n"/>
      <c r="I11" s="6" t="n"/>
    </row>
    <row r="12">
      <c r="A12" s="5" t="n"/>
      <c r="B12" s="6">
        <f>IF(A12="","",IFERROR(INT((A12-DATE(2026,4,27))/7)+1,""))</f>
        <v/>
      </c>
      <c r="C12" s="7" t="n"/>
      <c r="D12" s="7" t="n"/>
      <c r="E12" s="7" t="n"/>
      <c r="F12" s="7" t="n"/>
      <c r="G12" s="7" t="n"/>
      <c r="H12" s="7" t="n"/>
      <c r="I12" s="6" t="n"/>
    </row>
    <row r="13">
      <c r="A13" s="5" t="n"/>
      <c r="B13" s="6">
        <f>IF(A13="","",IFERROR(INT((A13-DATE(2026,4,27))/7)+1,""))</f>
        <v/>
      </c>
      <c r="C13" s="7" t="n"/>
      <c r="D13" s="7" t="n"/>
      <c r="E13" s="7" t="n"/>
      <c r="F13" s="7" t="n"/>
      <c r="G13" s="7" t="n"/>
      <c r="H13" s="7" t="n"/>
      <c r="I13" s="6" t="n"/>
    </row>
    <row r="14">
      <c r="A14" s="5" t="n"/>
      <c r="B14" s="6">
        <f>IF(A14="","",IFERROR(INT((A14-DATE(2026,4,27))/7)+1,""))</f>
        <v/>
      </c>
      <c r="C14" s="7" t="n"/>
      <c r="D14" s="7" t="n"/>
      <c r="E14" s="7" t="n"/>
      <c r="F14" s="7" t="n"/>
      <c r="G14" s="7" t="n"/>
      <c r="H14" s="7" t="n"/>
      <c r="I14" s="6" t="n"/>
    </row>
    <row r="15">
      <c r="A15" s="5" t="n"/>
      <c r="B15" s="6">
        <f>IF(A15="","",IFERROR(INT((A15-DATE(2026,4,27))/7)+1,""))</f>
        <v/>
      </c>
      <c r="C15" s="7" t="n"/>
      <c r="D15" s="7" t="n"/>
      <c r="E15" s="7" t="n"/>
      <c r="F15" s="7" t="n"/>
      <c r="G15" s="7" t="n"/>
      <c r="H15" s="7" t="n"/>
      <c r="I15" s="6" t="n"/>
    </row>
    <row r="16">
      <c r="A16" s="5" t="n"/>
      <c r="B16" s="6">
        <f>IF(A16="","",IFERROR(INT((A16-DATE(2026,4,27))/7)+1,""))</f>
        <v/>
      </c>
      <c r="C16" s="7" t="n"/>
      <c r="D16" s="7" t="n"/>
      <c r="E16" s="7" t="n"/>
      <c r="F16" s="7" t="n"/>
      <c r="G16" s="7" t="n"/>
      <c r="H16" s="7" t="n"/>
      <c r="I16" s="6" t="n"/>
    </row>
    <row r="17">
      <c r="A17" s="5" t="n"/>
      <c r="B17" s="6">
        <f>IF(A17="","",IFERROR(INT((A17-DATE(2026,4,27))/7)+1,""))</f>
        <v/>
      </c>
      <c r="C17" s="7" t="n"/>
      <c r="D17" s="7" t="n"/>
      <c r="E17" s="7" t="n"/>
      <c r="F17" s="7" t="n"/>
      <c r="G17" s="7" t="n"/>
      <c r="H17" s="7" t="n"/>
      <c r="I17" s="6" t="n"/>
    </row>
    <row r="18">
      <c r="A18" s="5" t="n"/>
      <c r="B18" s="6">
        <f>IF(A18="","",IFERROR(INT((A18-DATE(2026,4,27))/7)+1,""))</f>
        <v/>
      </c>
      <c r="C18" s="7" t="n"/>
      <c r="D18" s="7" t="n"/>
      <c r="E18" s="7" t="n"/>
      <c r="F18" s="7" t="n"/>
      <c r="G18" s="7" t="n"/>
      <c r="H18" s="7" t="n"/>
      <c r="I18" s="6" t="n"/>
    </row>
    <row r="19">
      <c r="A19" s="5" t="n"/>
      <c r="B19" s="6">
        <f>IF(A19="","",IFERROR(INT((A19-DATE(2026,4,27))/7)+1,""))</f>
        <v/>
      </c>
      <c r="C19" s="7" t="n"/>
      <c r="D19" s="7" t="n"/>
      <c r="E19" s="7" t="n"/>
      <c r="F19" s="7" t="n"/>
      <c r="G19" s="7" t="n"/>
      <c r="H19" s="7" t="n"/>
      <c r="I19" s="6" t="n"/>
    </row>
    <row r="20">
      <c r="A20" s="5" t="n"/>
      <c r="B20" s="6">
        <f>IF(A20="","",IFERROR(INT((A20-DATE(2026,4,27))/7)+1,""))</f>
        <v/>
      </c>
      <c r="C20" s="7" t="n"/>
      <c r="D20" s="7" t="n"/>
      <c r="E20" s="7" t="n"/>
      <c r="F20" s="7" t="n"/>
      <c r="G20" s="7" t="n"/>
      <c r="H20" s="7" t="n"/>
      <c r="I20" s="6" t="n"/>
    </row>
    <row r="21">
      <c r="A21" s="5" t="n"/>
      <c r="B21" s="6">
        <f>IF(A21="","",IFERROR(INT((A21-DATE(2026,4,27))/7)+1,""))</f>
        <v/>
      </c>
      <c r="C21" s="7" t="n"/>
      <c r="D21" s="7" t="n"/>
      <c r="E21" s="7" t="n"/>
      <c r="F21" s="7" t="n"/>
      <c r="G21" s="7" t="n"/>
      <c r="H21" s="7" t="n"/>
      <c r="I21" s="6" t="n"/>
    </row>
    <row r="22">
      <c r="A22" s="5" t="n"/>
      <c r="B22" s="6">
        <f>IF(A22="","",IFERROR(INT((A22-DATE(2026,4,27))/7)+1,""))</f>
        <v/>
      </c>
      <c r="C22" s="7" t="n"/>
      <c r="D22" s="7" t="n"/>
      <c r="E22" s="7" t="n"/>
      <c r="F22" s="7" t="n"/>
      <c r="G22" s="7" t="n"/>
      <c r="H22" s="7" t="n"/>
      <c r="I22" s="6" t="n"/>
    </row>
    <row r="23">
      <c r="A23" s="5" t="n"/>
      <c r="B23" s="6">
        <f>IF(A23="","",IFERROR(INT((A23-DATE(2026,4,27))/7)+1,""))</f>
        <v/>
      </c>
      <c r="C23" s="7" t="n"/>
      <c r="D23" s="7" t="n"/>
      <c r="E23" s="7" t="n"/>
      <c r="F23" s="7" t="n"/>
      <c r="G23" s="7" t="n"/>
      <c r="H23" s="7" t="n"/>
      <c r="I23" s="6" t="n"/>
    </row>
    <row r="24">
      <c r="A24" s="5" t="n"/>
      <c r="B24" s="6">
        <f>IF(A24="","",IFERROR(INT((A24-DATE(2026,4,27))/7)+1,""))</f>
        <v/>
      </c>
      <c r="C24" s="7" t="n"/>
      <c r="D24" s="7" t="n"/>
      <c r="E24" s="7" t="n"/>
      <c r="F24" s="7" t="n"/>
      <c r="G24" s="7" t="n"/>
      <c r="H24" s="7" t="n"/>
      <c r="I24" s="6" t="n"/>
    </row>
    <row r="25">
      <c r="A25" s="5" t="n"/>
      <c r="B25" s="6">
        <f>IF(A25="","",IFERROR(INT((A25-DATE(2026,4,27))/7)+1,""))</f>
        <v/>
      </c>
      <c r="C25" s="7" t="n"/>
      <c r="D25" s="7" t="n"/>
      <c r="E25" s="7" t="n"/>
      <c r="F25" s="7" t="n"/>
      <c r="G25" s="7" t="n"/>
      <c r="H25" s="7" t="n"/>
      <c r="I25" s="6" t="n"/>
    </row>
    <row r="26">
      <c r="A26" s="5" t="n"/>
      <c r="B26" s="6">
        <f>IF(A26="","",IFERROR(INT((A26-DATE(2026,4,27))/7)+1,""))</f>
        <v/>
      </c>
      <c r="C26" s="7" t="n"/>
      <c r="D26" s="7" t="n"/>
      <c r="E26" s="7" t="n"/>
      <c r="F26" s="7" t="n"/>
      <c r="G26" s="7" t="n"/>
      <c r="H26" s="7" t="n"/>
      <c r="I26" s="6" t="n"/>
    </row>
    <row r="27">
      <c r="A27" s="5" t="n"/>
      <c r="B27" s="6">
        <f>IF(A27="","",IFERROR(INT((A27-DATE(2026,4,27))/7)+1,""))</f>
        <v/>
      </c>
      <c r="C27" s="7" t="n"/>
      <c r="D27" s="7" t="n"/>
      <c r="E27" s="7" t="n"/>
      <c r="F27" s="7" t="n"/>
      <c r="G27" s="7" t="n"/>
      <c r="H27" s="7" t="n"/>
      <c r="I27" s="6" t="n"/>
    </row>
    <row r="28">
      <c r="A28" s="5" t="n"/>
      <c r="B28" s="6">
        <f>IF(A28="","",IFERROR(INT((A28-DATE(2026,4,27))/7)+1,""))</f>
        <v/>
      </c>
      <c r="C28" s="7" t="n"/>
      <c r="D28" s="7" t="n"/>
      <c r="E28" s="7" t="n"/>
      <c r="F28" s="7" t="n"/>
      <c r="G28" s="7" t="n"/>
      <c r="H28" s="7" t="n"/>
      <c r="I28" s="6" t="n"/>
    </row>
    <row r="29">
      <c r="A29" s="5" t="n"/>
      <c r="B29" s="6">
        <f>IF(A29="","",IFERROR(INT((A29-DATE(2026,4,27))/7)+1,""))</f>
        <v/>
      </c>
      <c r="C29" s="7" t="n"/>
      <c r="D29" s="7" t="n"/>
      <c r="E29" s="7" t="n"/>
      <c r="F29" s="7" t="n"/>
      <c r="G29" s="7" t="n"/>
      <c r="H29" s="7" t="n"/>
      <c r="I29" s="6" t="n"/>
    </row>
    <row r="30">
      <c r="A30" s="5" t="n"/>
      <c r="B30" s="6">
        <f>IF(A30="","",IFERROR(INT((A30-DATE(2026,4,27))/7)+1,""))</f>
        <v/>
      </c>
      <c r="C30" s="7" t="n"/>
      <c r="D30" s="7" t="n"/>
      <c r="E30" s="7" t="n"/>
      <c r="F30" s="7" t="n"/>
      <c r="G30" s="7" t="n"/>
      <c r="H30" s="7" t="n"/>
      <c r="I30" s="6" t="n"/>
    </row>
    <row r="31">
      <c r="A31" s="5" t="n"/>
      <c r="B31" s="6">
        <f>IF(A31="","",IFERROR(INT((A31-DATE(2026,4,27))/7)+1,""))</f>
        <v/>
      </c>
      <c r="C31" s="7" t="n"/>
      <c r="D31" s="7" t="n"/>
      <c r="E31" s="7" t="n"/>
      <c r="F31" s="7" t="n"/>
      <c r="G31" s="7" t="n"/>
      <c r="H31" s="7" t="n"/>
      <c r="I31" s="6" t="n"/>
    </row>
    <row r="32">
      <c r="A32" s="5" t="n"/>
      <c r="B32" s="6">
        <f>IF(A32="","",IFERROR(INT((A32-DATE(2026,4,27))/7)+1,""))</f>
        <v/>
      </c>
      <c r="C32" s="7" t="n"/>
      <c r="D32" s="7" t="n"/>
      <c r="E32" s="7" t="n"/>
      <c r="F32" s="7" t="n"/>
      <c r="G32" s="7" t="n"/>
      <c r="H32" s="7" t="n"/>
      <c r="I32" s="6" t="n"/>
    </row>
    <row r="33">
      <c r="A33" s="5" t="n"/>
      <c r="B33" s="6">
        <f>IF(A33="","",IFERROR(INT((A33-DATE(2026,4,27))/7)+1,""))</f>
        <v/>
      </c>
      <c r="C33" s="7" t="n"/>
      <c r="D33" s="7" t="n"/>
      <c r="E33" s="7" t="n"/>
      <c r="F33" s="7" t="n"/>
      <c r="G33" s="7" t="n"/>
      <c r="H33" s="7" t="n"/>
      <c r="I33" s="6" t="n"/>
    </row>
    <row r="34">
      <c r="A34" s="5" t="n"/>
      <c r="B34" s="6">
        <f>IF(A34="","",IFERROR(INT((A34-DATE(2026,4,27))/7)+1,""))</f>
        <v/>
      </c>
      <c r="C34" s="7" t="n"/>
      <c r="D34" s="7" t="n"/>
      <c r="E34" s="7" t="n"/>
      <c r="F34" s="7" t="n"/>
      <c r="G34" s="7" t="n"/>
      <c r="H34" s="7" t="n"/>
      <c r="I34" s="6" t="n"/>
    </row>
    <row r="35">
      <c r="A35" s="5" t="n"/>
      <c r="B35" s="6">
        <f>IF(A35="","",IFERROR(INT((A35-DATE(2026,4,27))/7)+1,""))</f>
        <v/>
      </c>
      <c r="C35" s="7" t="n"/>
      <c r="D35" s="7" t="n"/>
      <c r="E35" s="7" t="n"/>
      <c r="F35" s="7" t="n"/>
      <c r="G35" s="7" t="n"/>
      <c r="H35" s="7" t="n"/>
      <c r="I35" s="6" t="n"/>
    </row>
    <row r="36">
      <c r="A36" s="5" t="n"/>
      <c r="B36" s="6">
        <f>IF(A36="","",IFERROR(INT((A36-DATE(2026,4,27))/7)+1,""))</f>
        <v/>
      </c>
      <c r="C36" s="7" t="n"/>
      <c r="D36" s="7" t="n"/>
      <c r="E36" s="7" t="n"/>
      <c r="F36" s="7" t="n"/>
      <c r="G36" s="7" t="n"/>
      <c r="H36" s="7" t="n"/>
      <c r="I36" s="6" t="n"/>
    </row>
    <row r="37">
      <c r="A37" s="5" t="n"/>
      <c r="B37" s="6">
        <f>IF(A37="","",IFERROR(INT((A37-DATE(2026,4,27))/7)+1,""))</f>
        <v/>
      </c>
      <c r="C37" s="7" t="n"/>
      <c r="D37" s="7" t="n"/>
      <c r="E37" s="7" t="n"/>
      <c r="F37" s="7" t="n"/>
      <c r="G37" s="7" t="n"/>
      <c r="H37" s="7" t="n"/>
      <c r="I37" s="6" t="n"/>
    </row>
    <row r="38">
      <c r="A38" s="5" t="n"/>
      <c r="B38" s="6">
        <f>IF(A38="","",IFERROR(INT((A38-DATE(2026,4,27))/7)+1,""))</f>
        <v/>
      </c>
      <c r="C38" s="7" t="n"/>
      <c r="D38" s="7" t="n"/>
      <c r="E38" s="7" t="n"/>
      <c r="F38" s="7" t="n"/>
      <c r="G38" s="7" t="n"/>
      <c r="H38" s="7" t="n"/>
      <c r="I38" s="6" t="n"/>
    </row>
    <row r="39">
      <c r="A39" s="5" t="n"/>
      <c r="B39" s="6">
        <f>IF(A39="","",IFERROR(INT((A39-DATE(2026,4,27))/7)+1,""))</f>
        <v/>
      </c>
      <c r="C39" s="7" t="n"/>
      <c r="D39" s="7" t="n"/>
      <c r="E39" s="7" t="n"/>
      <c r="F39" s="7" t="n"/>
      <c r="G39" s="7" t="n"/>
      <c r="H39" s="7" t="n"/>
      <c r="I39" s="6" t="n"/>
    </row>
    <row r="40">
      <c r="A40" s="5" t="n"/>
      <c r="B40" s="6">
        <f>IF(A40="","",IFERROR(INT((A40-DATE(2026,4,27))/7)+1,""))</f>
        <v/>
      </c>
      <c r="C40" s="7" t="n"/>
      <c r="D40" s="7" t="n"/>
      <c r="E40" s="7" t="n"/>
      <c r="F40" s="7" t="n"/>
      <c r="G40" s="7" t="n"/>
      <c r="H40" s="7" t="n"/>
      <c r="I40" s="6" t="n"/>
    </row>
    <row r="41">
      <c r="A41" s="5" t="n"/>
      <c r="B41" s="6">
        <f>IF(A41="","",IFERROR(INT((A41-DATE(2026,4,27))/7)+1,""))</f>
        <v/>
      </c>
      <c r="C41" s="7" t="n"/>
      <c r="D41" s="7" t="n"/>
      <c r="E41" s="7" t="n"/>
      <c r="F41" s="7" t="n"/>
      <c r="G41" s="7" t="n"/>
      <c r="H41" s="7" t="n"/>
      <c r="I41" s="6" t="n"/>
    </row>
    <row r="42">
      <c r="A42" s="5" t="n"/>
      <c r="B42" s="6">
        <f>IF(A42="","",IFERROR(INT((A42-DATE(2026,4,27))/7)+1,""))</f>
        <v/>
      </c>
      <c r="C42" s="7" t="n"/>
      <c r="D42" s="7" t="n"/>
      <c r="E42" s="7" t="n"/>
      <c r="F42" s="7" t="n"/>
      <c r="G42" s="7" t="n"/>
      <c r="H42" s="7" t="n"/>
      <c r="I42" s="6" t="n"/>
    </row>
    <row r="43">
      <c r="A43" s="5" t="n"/>
      <c r="B43" s="6">
        <f>IF(A43="","",IFERROR(INT((A43-DATE(2026,4,27))/7)+1,""))</f>
        <v/>
      </c>
      <c r="C43" s="7" t="n"/>
      <c r="D43" s="7" t="n"/>
      <c r="E43" s="7" t="n"/>
      <c r="F43" s="7" t="n"/>
      <c r="G43" s="7" t="n"/>
      <c r="H43" s="7" t="n"/>
      <c r="I43" s="6" t="n"/>
    </row>
    <row r="44">
      <c r="A44" s="5" t="n"/>
      <c r="B44" s="6">
        <f>IF(A44="","",IFERROR(INT((A44-DATE(2026,4,27))/7)+1,""))</f>
        <v/>
      </c>
      <c r="C44" s="7" t="n"/>
      <c r="D44" s="7" t="n"/>
      <c r="E44" s="7" t="n"/>
      <c r="F44" s="7" t="n"/>
      <c r="G44" s="7" t="n"/>
      <c r="H44" s="7" t="n"/>
      <c r="I44" s="6" t="n"/>
    </row>
    <row r="45">
      <c r="A45" s="5" t="n"/>
      <c r="B45" s="6">
        <f>IF(A45="","",IFERROR(INT((A45-DATE(2026,4,27))/7)+1,""))</f>
        <v/>
      </c>
      <c r="C45" s="7" t="n"/>
      <c r="D45" s="7" t="n"/>
      <c r="E45" s="7" t="n"/>
      <c r="F45" s="7" t="n"/>
      <c r="G45" s="7" t="n"/>
      <c r="H45" s="7" t="n"/>
      <c r="I45" s="6" t="n"/>
    </row>
    <row r="46">
      <c r="A46" s="5" t="n"/>
      <c r="B46" s="6">
        <f>IF(A46="","",IFERROR(INT((A46-DATE(2026,4,27))/7)+1,""))</f>
        <v/>
      </c>
      <c r="C46" s="7" t="n"/>
      <c r="D46" s="7" t="n"/>
      <c r="E46" s="7" t="n"/>
      <c r="F46" s="7" t="n"/>
      <c r="G46" s="7" t="n"/>
      <c r="H46" s="7" t="n"/>
      <c r="I46" s="6" t="n"/>
    </row>
    <row r="47">
      <c r="A47" s="5" t="n"/>
      <c r="B47" s="6">
        <f>IF(A47="","",IFERROR(INT((A47-DATE(2026,4,27))/7)+1,""))</f>
        <v/>
      </c>
      <c r="C47" s="7" t="n"/>
      <c r="D47" s="7" t="n"/>
      <c r="E47" s="7" t="n"/>
      <c r="F47" s="7" t="n"/>
      <c r="G47" s="7" t="n"/>
      <c r="H47" s="7" t="n"/>
      <c r="I47" s="6" t="n"/>
    </row>
    <row r="48">
      <c r="A48" s="5" t="n"/>
      <c r="B48" s="6">
        <f>IF(A48="","",IFERROR(INT((A48-DATE(2026,4,27))/7)+1,""))</f>
        <v/>
      </c>
      <c r="C48" s="7" t="n"/>
      <c r="D48" s="7" t="n"/>
      <c r="E48" s="7" t="n"/>
      <c r="F48" s="7" t="n"/>
      <c r="G48" s="7" t="n"/>
      <c r="H48" s="7" t="n"/>
      <c r="I48" s="6" t="n"/>
    </row>
    <row r="49">
      <c r="A49" s="5" t="n"/>
      <c r="B49" s="6">
        <f>IF(A49="","",IFERROR(INT((A49-DATE(2026,4,27))/7)+1,""))</f>
        <v/>
      </c>
      <c r="C49" s="7" t="n"/>
      <c r="D49" s="7" t="n"/>
      <c r="E49" s="7" t="n"/>
      <c r="F49" s="7" t="n"/>
      <c r="G49" s="7" t="n"/>
      <c r="H49" s="7" t="n"/>
      <c r="I49" s="6" t="n"/>
    </row>
    <row r="50">
      <c r="A50" s="5" t="n"/>
      <c r="B50" s="6">
        <f>IF(A50="","",IFERROR(INT((A50-DATE(2026,4,27))/7)+1,""))</f>
        <v/>
      </c>
      <c r="C50" s="7" t="n"/>
      <c r="D50" s="7" t="n"/>
      <c r="E50" s="7" t="n"/>
      <c r="F50" s="7" t="n"/>
      <c r="G50" s="7" t="n"/>
      <c r="H50" s="7" t="n"/>
      <c r="I50" s="6" t="n"/>
    </row>
    <row r="51">
      <c r="A51" s="5" t="n"/>
      <c r="B51" s="6">
        <f>IF(A51="","",IFERROR(INT((A51-DATE(2026,4,27))/7)+1,""))</f>
        <v/>
      </c>
      <c r="C51" s="7" t="n"/>
      <c r="D51" s="7" t="n"/>
      <c r="E51" s="7" t="n"/>
      <c r="F51" s="7" t="n"/>
      <c r="G51" s="7" t="n"/>
      <c r="H51" s="7" t="n"/>
      <c r="I51" s="6" t="n"/>
    </row>
    <row r="52">
      <c r="A52" s="5" t="n"/>
      <c r="B52" s="6">
        <f>IF(A52="","",IFERROR(INT((A52-DATE(2026,4,27))/7)+1,""))</f>
        <v/>
      </c>
      <c r="C52" s="7" t="n"/>
      <c r="D52" s="7" t="n"/>
      <c r="E52" s="7" t="n"/>
      <c r="F52" s="7" t="n"/>
      <c r="G52" s="7" t="n"/>
      <c r="H52" s="7" t="n"/>
      <c r="I52" s="6" t="n"/>
    </row>
    <row r="53">
      <c r="A53" s="5" t="n"/>
      <c r="B53" s="6">
        <f>IF(A53="","",IFERROR(INT((A53-DATE(2026,4,27))/7)+1,""))</f>
        <v/>
      </c>
      <c r="C53" s="7" t="n"/>
      <c r="D53" s="7" t="n"/>
      <c r="E53" s="7" t="n"/>
      <c r="F53" s="7" t="n"/>
      <c r="G53" s="7" t="n"/>
      <c r="H53" s="7" t="n"/>
      <c r="I53" s="6" t="n"/>
    </row>
    <row r="54">
      <c r="A54" s="5" t="n"/>
      <c r="B54" s="6">
        <f>IF(A54="","",IFERROR(INT((A54-DATE(2026,4,27))/7)+1,""))</f>
        <v/>
      </c>
      <c r="C54" s="7" t="n"/>
      <c r="D54" s="7" t="n"/>
      <c r="E54" s="7" t="n"/>
      <c r="F54" s="7" t="n"/>
      <c r="G54" s="7" t="n"/>
      <c r="H54" s="7" t="n"/>
      <c r="I54" s="6" t="n"/>
    </row>
    <row r="55">
      <c r="A55" s="5" t="n"/>
      <c r="B55" s="6">
        <f>IF(A55="","",IFERROR(INT((A55-DATE(2026,4,27))/7)+1,""))</f>
        <v/>
      </c>
      <c r="C55" s="7" t="n"/>
      <c r="D55" s="7" t="n"/>
      <c r="E55" s="7" t="n"/>
      <c r="F55" s="7" t="n"/>
      <c r="G55" s="7" t="n"/>
      <c r="H55" s="7" t="n"/>
      <c r="I55" s="6" t="n"/>
    </row>
    <row r="56">
      <c r="A56" s="5" t="n"/>
      <c r="B56" s="6">
        <f>IF(A56="","",IFERROR(INT((A56-DATE(2026,4,27))/7)+1,""))</f>
        <v/>
      </c>
      <c r="C56" s="7" t="n"/>
      <c r="D56" s="7" t="n"/>
      <c r="E56" s="7" t="n"/>
      <c r="F56" s="7" t="n"/>
      <c r="G56" s="7" t="n"/>
      <c r="H56" s="7" t="n"/>
      <c r="I56" s="6" t="n"/>
    </row>
    <row r="57">
      <c r="A57" s="5" t="n"/>
      <c r="B57" s="6">
        <f>IF(A57="","",IFERROR(INT((A57-DATE(2026,4,27))/7)+1,""))</f>
        <v/>
      </c>
      <c r="C57" s="7" t="n"/>
      <c r="D57" s="7" t="n"/>
      <c r="E57" s="7" t="n"/>
      <c r="F57" s="7" t="n"/>
      <c r="G57" s="7" t="n"/>
      <c r="H57" s="7" t="n"/>
      <c r="I57" s="6" t="n"/>
    </row>
    <row r="58">
      <c r="A58" s="5" t="n"/>
      <c r="B58" s="6">
        <f>IF(A58="","",IFERROR(INT((A58-DATE(2026,4,27))/7)+1,""))</f>
        <v/>
      </c>
      <c r="C58" s="7" t="n"/>
      <c r="D58" s="7" t="n"/>
      <c r="E58" s="7" t="n"/>
      <c r="F58" s="7" t="n"/>
      <c r="G58" s="7" t="n"/>
      <c r="H58" s="7" t="n"/>
      <c r="I58" s="6" t="n"/>
    </row>
    <row r="59">
      <c r="A59" s="5" t="n"/>
      <c r="B59" s="6">
        <f>IF(A59="","",IFERROR(INT((A59-DATE(2026,4,27))/7)+1,""))</f>
        <v/>
      </c>
      <c r="C59" s="7" t="n"/>
      <c r="D59" s="7" t="n"/>
      <c r="E59" s="7" t="n"/>
      <c r="F59" s="7" t="n"/>
      <c r="G59" s="7" t="n"/>
      <c r="H59" s="7" t="n"/>
      <c r="I59" s="6" t="n"/>
    </row>
    <row r="60">
      <c r="A60" s="5" t="n"/>
      <c r="B60" s="6">
        <f>IF(A60="","",IFERROR(INT((A60-DATE(2026,4,27))/7)+1,""))</f>
        <v/>
      </c>
      <c r="C60" s="7" t="n"/>
      <c r="D60" s="7" t="n"/>
      <c r="E60" s="7" t="n"/>
      <c r="F60" s="7" t="n"/>
      <c r="G60" s="7" t="n"/>
      <c r="H60" s="7" t="n"/>
      <c r="I60" s="6" t="n"/>
    </row>
    <row r="61">
      <c r="A61" s="5" t="n"/>
      <c r="B61" s="6">
        <f>IF(A61="","",IFERROR(INT((A61-DATE(2026,4,27))/7)+1,""))</f>
        <v/>
      </c>
      <c r="C61" s="7" t="n"/>
      <c r="D61" s="7" t="n"/>
      <c r="E61" s="7" t="n"/>
      <c r="F61" s="7" t="n"/>
      <c r="G61" s="7" t="n"/>
      <c r="H61" s="7" t="n"/>
      <c r="I61" s="6" t="n"/>
    </row>
    <row r="62">
      <c r="A62" s="5" t="n"/>
      <c r="B62" s="6">
        <f>IF(A62="","",IFERROR(INT((A62-DATE(2026,4,27))/7)+1,""))</f>
        <v/>
      </c>
      <c r="C62" s="7" t="n"/>
      <c r="D62" s="7" t="n"/>
      <c r="E62" s="7" t="n"/>
      <c r="F62" s="7" t="n"/>
      <c r="G62" s="7" t="n"/>
      <c r="H62" s="7" t="n"/>
      <c r="I62" s="6" t="n"/>
    </row>
    <row r="63">
      <c r="A63" s="5" t="n"/>
      <c r="B63" s="6">
        <f>IF(A63="","",IFERROR(INT((A63-DATE(2026,4,27))/7)+1,""))</f>
        <v/>
      </c>
      <c r="C63" s="7" t="n"/>
      <c r="D63" s="7" t="n"/>
      <c r="E63" s="7" t="n"/>
      <c r="F63" s="7" t="n"/>
      <c r="G63" s="7" t="n"/>
      <c r="H63" s="7" t="n"/>
      <c r="I63" s="6" t="n"/>
    </row>
    <row r="64">
      <c r="A64" s="5" t="n"/>
      <c r="B64" s="6">
        <f>IF(A64="","",IFERROR(INT((A64-DATE(2026,4,27))/7)+1,""))</f>
        <v/>
      </c>
      <c r="C64" s="7" t="n"/>
      <c r="D64" s="7" t="n"/>
      <c r="E64" s="7" t="n"/>
      <c r="F64" s="7" t="n"/>
      <c r="G64" s="7" t="n"/>
      <c r="H64" s="7" t="n"/>
      <c r="I64" s="6" t="n"/>
    </row>
    <row r="65">
      <c r="A65" s="5" t="n"/>
      <c r="B65" s="6">
        <f>IF(A65="","",IFERROR(INT((A65-DATE(2026,4,27))/7)+1,""))</f>
        <v/>
      </c>
      <c r="C65" s="7" t="n"/>
      <c r="D65" s="7" t="n"/>
      <c r="E65" s="7" t="n"/>
      <c r="F65" s="7" t="n"/>
      <c r="G65" s="7" t="n"/>
      <c r="H65" s="7" t="n"/>
      <c r="I65" s="6" t="n"/>
    </row>
    <row r="66">
      <c r="A66" s="5" t="n"/>
      <c r="B66" s="6">
        <f>IF(A66="","",IFERROR(INT((A66-DATE(2026,4,27))/7)+1,""))</f>
        <v/>
      </c>
      <c r="C66" s="7" t="n"/>
      <c r="D66" s="7" t="n"/>
      <c r="E66" s="7" t="n"/>
      <c r="F66" s="7" t="n"/>
      <c r="G66" s="7" t="n"/>
      <c r="H66" s="7" t="n"/>
      <c r="I66" s="6" t="n"/>
    </row>
    <row r="67">
      <c r="A67" s="5" t="n"/>
      <c r="B67" s="6">
        <f>IF(A67="","",IFERROR(INT((A67-DATE(2026,4,27))/7)+1,""))</f>
        <v/>
      </c>
      <c r="C67" s="7" t="n"/>
      <c r="D67" s="7" t="n"/>
      <c r="E67" s="7" t="n"/>
      <c r="F67" s="7" t="n"/>
      <c r="G67" s="7" t="n"/>
      <c r="H67" s="7" t="n"/>
      <c r="I67" s="6" t="n"/>
    </row>
    <row r="68">
      <c r="A68" s="5" t="n"/>
      <c r="B68" s="6">
        <f>IF(A68="","",IFERROR(INT((A68-DATE(2026,4,27))/7)+1,""))</f>
        <v/>
      </c>
      <c r="C68" s="7" t="n"/>
      <c r="D68" s="7" t="n"/>
      <c r="E68" s="7" t="n"/>
      <c r="F68" s="7" t="n"/>
      <c r="G68" s="7" t="n"/>
      <c r="H68" s="7" t="n"/>
      <c r="I68" s="6" t="n"/>
    </row>
    <row r="69">
      <c r="A69" s="5" t="n"/>
      <c r="B69" s="6">
        <f>IF(A69="","",IFERROR(INT((A69-DATE(2026,4,27))/7)+1,""))</f>
        <v/>
      </c>
      <c r="C69" s="7" t="n"/>
      <c r="D69" s="7" t="n"/>
      <c r="E69" s="7" t="n"/>
      <c r="F69" s="7" t="n"/>
      <c r="G69" s="7" t="n"/>
      <c r="H69" s="7" t="n"/>
      <c r="I69" s="6" t="n"/>
    </row>
    <row r="70">
      <c r="A70" s="5" t="n"/>
      <c r="B70" s="6">
        <f>IF(A70="","",IFERROR(INT((A70-DATE(2026,4,27))/7)+1,""))</f>
        <v/>
      </c>
      <c r="C70" s="7" t="n"/>
      <c r="D70" s="7" t="n"/>
      <c r="E70" s="7" t="n"/>
      <c r="F70" s="7" t="n"/>
      <c r="G70" s="7" t="n"/>
      <c r="H70" s="7" t="n"/>
      <c r="I70" s="6" t="n"/>
    </row>
    <row r="71">
      <c r="A71" s="5" t="n"/>
      <c r="B71" s="6">
        <f>IF(A71="","",IFERROR(INT((A71-DATE(2026,4,27))/7)+1,""))</f>
        <v/>
      </c>
      <c r="C71" s="7" t="n"/>
      <c r="D71" s="7" t="n"/>
      <c r="E71" s="7" t="n"/>
      <c r="F71" s="7" t="n"/>
      <c r="G71" s="7" t="n"/>
      <c r="H71" s="7" t="n"/>
      <c r="I71" s="6" t="n"/>
    </row>
    <row r="72">
      <c r="A72" s="5" t="n"/>
      <c r="B72" s="6">
        <f>IF(A72="","",IFERROR(INT((A72-DATE(2026,4,27))/7)+1,""))</f>
        <v/>
      </c>
      <c r="C72" s="7" t="n"/>
      <c r="D72" s="7" t="n"/>
      <c r="E72" s="7" t="n"/>
      <c r="F72" s="7" t="n"/>
      <c r="G72" s="7" t="n"/>
      <c r="H72" s="7" t="n"/>
      <c r="I72" s="6" t="n"/>
    </row>
    <row r="73">
      <c r="A73" s="5" t="n"/>
      <c r="B73" s="6">
        <f>IF(A73="","",IFERROR(INT((A73-DATE(2026,4,27))/7)+1,""))</f>
        <v/>
      </c>
      <c r="C73" s="7" t="n"/>
      <c r="D73" s="7" t="n"/>
      <c r="E73" s="7" t="n"/>
      <c r="F73" s="7" t="n"/>
      <c r="G73" s="7" t="n"/>
      <c r="H73" s="7" t="n"/>
      <c r="I73" s="6" t="n"/>
    </row>
    <row r="74">
      <c r="A74" s="5" t="n"/>
      <c r="B74" s="6">
        <f>IF(A74="","",IFERROR(INT((A74-DATE(2026,4,27))/7)+1,""))</f>
        <v/>
      </c>
      <c r="C74" s="7" t="n"/>
      <c r="D74" s="7" t="n"/>
      <c r="E74" s="7" t="n"/>
      <c r="F74" s="7" t="n"/>
      <c r="G74" s="7" t="n"/>
      <c r="H74" s="7" t="n"/>
      <c r="I74" s="6" t="n"/>
    </row>
    <row r="75">
      <c r="A75" s="5" t="n"/>
      <c r="B75" s="6">
        <f>IF(A75="","",IFERROR(INT((A75-DATE(2026,4,27))/7)+1,""))</f>
        <v/>
      </c>
      <c r="C75" s="7" t="n"/>
      <c r="D75" s="7" t="n"/>
      <c r="E75" s="7" t="n"/>
      <c r="F75" s="7" t="n"/>
      <c r="G75" s="7" t="n"/>
      <c r="H75" s="7" t="n"/>
      <c r="I75" s="6" t="n"/>
    </row>
    <row r="76">
      <c r="A76" s="5" t="n"/>
      <c r="B76" s="6">
        <f>IF(A76="","",IFERROR(INT((A76-DATE(2026,4,27))/7)+1,""))</f>
        <v/>
      </c>
      <c r="C76" s="7" t="n"/>
      <c r="D76" s="7" t="n"/>
      <c r="E76" s="7" t="n"/>
      <c r="F76" s="7" t="n"/>
      <c r="G76" s="7" t="n"/>
      <c r="H76" s="7" t="n"/>
      <c r="I76" s="6" t="n"/>
    </row>
    <row r="77">
      <c r="A77" s="5" t="n"/>
      <c r="B77" s="6">
        <f>IF(A77="","",IFERROR(INT((A77-DATE(2026,4,27))/7)+1,""))</f>
        <v/>
      </c>
      <c r="C77" s="7" t="n"/>
      <c r="D77" s="7" t="n"/>
      <c r="E77" s="7" t="n"/>
      <c r="F77" s="7" t="n"/>
      <c r="G77" s="7" t="n"/>
      <c r="H77" s="7" t="n"/>
      <c r="I77" s="6" t="n"/>
    </row>
    <row r="78">
      <c r="A78" s="5" t="n"/>
      <c r="B78" s="6">
        <f>IF(A78="","",IFERROR(INT((A78-DATE(2026,4,27))/7)+1,""))</f>
        <v/>
      </c>
      <c r="C78" s="7" t="n"/>
      <c r="D78" s="7" t="n"/>
      <c r="E78" s="7" t="n"/>
      <c r="F78" s="7" t="n"/>
      <c r="G78" s="7" t="n"/>
      <c r="H78" s="7" t="n"/>
      <c r="I78" s="6" t="n"/>
    </row>
    <row r="79">
      <c r="A79" s="5" t="n"/>
      <c r="B79" s="6">
        <f>IF(A79="","",IFERROR(INT((A79-DATE(2026,4,27))/7)+1,""))</f>
        <v/>
      </c>
      <c r="C79" s="7" t="n"/>
      <c r="D79" s="7" t="n"/>
      <c r="E79" s="7" t="n"/>
      <c r="F79" s="7" t="n"/>
      <c r="G79" s="7" t="n"/>
      <c r="H79" s="7" t="n"/>
      <c r="I79" s="6" t="n"/>
    </row>
    <row r="80">
      <c r="A80" s="5" t="n"/>
      <c r="B80" s="6">
        <f>IF(A80="","",IFERROR(INT((A80-DATE(2026,4,27))/7)+1,""))</f>
        <v/>
      </c>
      <c r="C80" s="7" t="n"/>
      <c r="D80" s="7" t="n"/>
      <c r="E80" s="7" t="n"/>
      <c r="F80" s="7" t="n"/>
      <c r="G80" s="7" t="n"/>
      <c r="H80" s="7" t="n"/>
      <c r="I80" s="6" t="n"/>
    </row>
    <row r="81">
      <c r="A81" s="5" t="n"/>
      <c r="B81" s="6">
        <f>IF(A81="","",IFERROR(INT((A81-DATE(2026,4,27))/7)+1,""))</f>
        <v/>
      </c>
      <c r="C81" s="7" t="n"/>
      <c r="D81" s="7" t="n"/>
      <c r="E81" s="7" t="n"/>
      <c r="F81" s="7" t="n"/>
      <c r="G81" s="7" t="n"/>
      <c r="H81" s="7" t="n"/>
      <c r="I81" s="6" t="n"/>
    </row>
    <row r="82">
      <c r="A82" s="5" t="n"/>
      <c r="B82" s="6">
        <f>IF(A82="","",IFERROR(INT((A82-DATE(2026,4,27))/7)+1,""))</f>
        <v/>
      </c>
      <c r="C82" s="7" t="n"/>
      <c r="D82" s="7" t="n"/>
      <c r="E82" s="7" t="n"/>
      <c r="F82" s="7" t="n"/>
      <c r="G82" s="7" t="n"/>
      <c r="H82" s="7" t="n"/>
      <c r="I82" s="6" t="n"/>
    </row>
    <row r="83">
      <c r="A83" s="5" t="n"/>
      <c r="B83" s="6">
        <f>IF(A83="","",IFERROR(INT((A83-DATE(2026,4,27))/7)+1,""))</f>
        <v/>
      </c>
      <c r="C83" s="7" t="n"/>
      <c r="D83" s="7" t="n"/>
      <c r="E83" s="7" t="n"/>
      <c r="F83" s="7" t="n"/>
      <c r="G83" s="7" t="n"/>
      <c r="H83" s="7" t="n"/>
      <c r="I83" s="6" t="n"/>
    </row>
    <row r="84">
      <c r="A84" s="5" t="n"/>
      <c r="B84" s="6">
        <f>IF(A84="","",IFERROR(INT((A84-DATE(2026,4,27))/7)+1,""))</f>
        <v/>
      </c>
      <c r="C84" s="7" t="n"/>
      <c r="D84" s="7" t="n"/>
      <c r="E84" s="7" t="n"/>
      <c r="F84" s="7" t="n"/>
      <c r="G84" s="7" t="n"/>
      <c r="H84" s="7" t="n"/>
      <c r="I84" s="6" t="n"/>
    </row>
    <row r="85">
      <c r="A85" s="5" t="n"/>
      <c r="B85" s="6">
        <f>IF(A85="","",IFERROR(INT((A85-DATE(2026,4,27))/7)+1,""))</f>
        <v/>
      </c>
      <c r="C85" s="7" t="n"/>
      <c r="D85" s="7" t="n"/>
      <c r="E85" s="7" t="n"/>
      <c r="F85" s="7" t="n"/>
      <c r="G85" s="7" t="n"/>
      <c r="H85" s="7" t="n"/>
      <c r="I85" s="6" t="n"/>
    </row>
    <row r="86">
      <c r="A86" s="5" t="n"/>
      <c r="B86" s="6">
        <f>IF(A86="","",IFERROR(INT((A86-DATE(2026,4,27))/7)+1,""))</f>
        <v/>
      </c>
      <c r="C86" s="7" t="n"/>
      <c r="D86" s="7" t="n"/>
      <c r="E86" s="7" t="n"/>
      <c r="F86" s="7" t="n"/>
      <c r="G86" s="7" t="n"/>
      <c r="H86" s="7" t="n"/>
      <c r="I86" s="6" t="n"/>
    </row>
    <row r="87">
      <c r="A87" s="5" t="n"/>
      <c r="B87" s="6">
        <f>IF(A87="","",IFERROR(INT((A87-DATE(2026,4,27))/7)+1,""))</f>
        <v/>
      </c>
      <c r="C87" s="7" t="n"/>
      <c r="D87" s="7" t="n"/>
      <c r="E87" s="7" t="n"/>
      <c r="F87" s="7" t="n"/>
      <c r="G87" s="7" t="n"/>
      <c r="H87" s="7" t="n"/>
      <c r="I87" s="6" t="n"/>
    </row>
    <row r="88">
      <c r="A88" s="5" t="n"/>
      <c r="B88" s="6">
        <f>IF(A88="","",IFERROR(INT((A88-DATE(2026,4,27))/7)+1,""))</f>
        <v/>
      </c>
      <c r="C88" s="7" t="n"/>
      <c r="D88" s="7" t="n"/>
      <c r="E88" s="7" t="n"/>
      <c r="F88" s="7" t="n"/>
      <c r="G88" s="7" t="n"/>
      <c r="H88" s="7" t="n"/>
      <c r="I88" s="6" t="n"/>
    </row>
    <row r="89">
      <c r="A89" s="5" t="n"/>
      <c r="B89" s="6">
        <f>IF(A89="","",IFERROR(INT((A89-DATE(2026,4,27))/7)+1,""))</f>
        <v/>
      </c>
      <c r="C89" s="7" t="n"/>
      <c r="D89" s="7" t="n"/>
      <c r="E89" s="7" t="n"/>
      <c r="F89" s="7" t="n"/>
      <c r="G89" s="7" t="n"/>
      <c r="H89" s="7" t="n"/>
      <c r="I89" s="6" t="n"/>
    </row>
    <row r="90">
      <c r="A90" s="5" t="n"/>
      <c r="B90" s="6">
        <f>IF(A90="","",IFERROR(INT((A90-DATE(2026,4,27))/7)+1,""))</f>
        <v/>
      </c>
      <c r="C90" s="7" t="n"/>
      <c r="D90" s="7" t="n"/>
      <c r="E90" s="7" t="n"/>
      <c r="F90" s="7" t="n"/>
      <c r="G90" s="7" t="n"/>
      <c r="H90" s="7" t="n"/>
      <c r="I90" s="6" t="n"/>
    </row>
    <row r="91">
      <c r="A91" s="5" t="n"/>
      <c r="B91" s="6">
        <f>IF(A91="","",IFERROR(INT((A91-DATE(2026,4,27))/7)+1,""))</f>
        <v/>
      </c>
      <c r="C91" s="7" t="n"/>
      <c r="D91" s="7" t="n"/>
      <c r="E91" s="7" t="n"/>
      <c r="F91" s="7" t="n"/>
      <c r="G91" s="7" t="n"/>
      <c r="H91" s="7" t="n"/>
      <c r="I91" s="6" t="n"/>
    </row>
    <row r="92">
      <c r="A92" s="5" t="n"/>
      <c r="B92" s="6">
        <f>IF(A92="","",IFERROR(INT((A92-DATE(2026,4,27))/7)+1,""))</f>
        <v/>
      </c>
      <c r="C92" s="7" t="n"/>
      <c r="D92" s="7" t="n"/>
      <c r="E92" s="7" t="n"/>
      <c r="F92" s="7" t="n"/>
      <c r="G92" s="7" t="n"/>
      <c r="H92" s="7" t="n"/>
      <c r="I92" s="6" t="n"/>
    </row>
    <row r="93">
      <c r="A93" s="5" t="n"/>
      <c r="B93" s="6">
        <f>IF(A93="","",IFERROR(INT((A93-DATE(2026,4,27))/7)+1,""))</f>
        <v/>
      </c>
      <c r="C93" s="7" t="n"/>
      <c r="D93" s="7" t="n"/>
      <c r="E93" s="7" t="n"/>
      <c r="F93" s="7" t="n"/>
      <c r="G93" s="7" t="n"/>
      <c r="H93" s="7" t="n"/>
      <c r="I93" s="6" t="n"/>
    </row>
    <row r="94">
      <c r="A94" s="5" t="n"/>
      <c r="B94" s="6">
        <f>IF(A94="","",IFERROR(INT((A94-DATE(2026,4,27))/7)+1,""))</f>
        <v/>
      </c>
      <c r="C94" s="7" t="n"/>
      <c r="D94" s="7" t="n"/>
      <c r="E94" s="7" t="n"/>
      <c r="F94" s="7" t="n"/>
      <c r="G94" s="7" t="n"/>
      <c r="H94" s="7" t="n"/>
      <c r="I94" s="6" t="n"/>
    </row>
    <row r="95">
      <c r="A95" s="5" t="n"/>
      <c r="B95" s="6">
        <f>IF(A95="","",IFERROR(INT((A95-DATE(2026,4,27))/7)+1,""))</f>
        <v/>
      </c>
      <c r="C95" s="7" t="n"/>
      <c r="D95" s="7" t="n"/>
      <c r="E95" s="7" t="n"/>
      <c r="F95" s="7" t="n"/>
      <c r="G95" s="7" t="n"/>
      <c r="H95" s="7" t="n"/>
      <c r="I95" s="6" t="n"/>
    </row>
    <row r="96">
      <c r="A96" s="5" t="n"/>
      <c r="B96" s="6">
        <f>IF(A96="","",IFERROR(INT((A96-DATE(2026,4,27))/7)+1,""))</f>
        <v/>
      </c>
      <c r="C96" s="7" t="n"/>
      <c r="D96" s="7" t="n"/>
      <c r="E96" s="7" t="n"/>
      <c r="F96" s="7" t="n"/>
      <c r="G96" s="7" t="n"/>
      <c r="H96" s="7" t="n"/>
      <c r="I96" s="6" t="n"/>
    </row>
    <row r="97">
      <c r="A97" s="5" t="n"/>
      <c r="B97" s="6">
        <f>IF(A97="","",IFERROR(INT((A97-DATE(2026,4,27))/7)+1,""))</f>
        <v/>
      </c>
      <c r="C97" s="7" t="n"/>
      <c r="D97" s="7" t="n"/>
      <c r="E97" s="7" t="n"/>
      <c r="F97" s="7" t="n"/>
      <c r="G97" s="7" t="n"/>
      <c r="H97" s="7" t="n"/>
      <c r="I97" s="6" t="n"/>
    </row>
    <row r="98">
      <c r="A98" s="5" t="n"/>
      <c r="B98" s="6">
        <f>IF(A98="","",IFERROR(INT((A98-DATE(2026,4,27))/7)+1,""))</f>
        <v/>
      </c>
      <c r="C98" s="7" t="n"/>
      <c r="D98" s="7" t="n"/>
      <c r="E98" s="7" t="n"/>
      <c r="F98" s="7" t="n"/>
      <c r="G98" s="7" t="n"/>
      <c r="H98" s="7" t="n"/>
      <c r="I98" s="6" t="n"/>
    </row>
    <row r="99">
      <c r="A99" s="5" t="n"/>
      <c r="B99" s="6">
        <f>IF(A99="","",IFERROR(INT((A99-DATE(2026,4,27))/7)+1,""))</f>
        <v/>
      </c>
      <c r="C99" s="7" t="n"/>
      <c r="D99" s="7" t="n"/>
      <c r="E99" s="7" t="n"/>
      <c r="F99" s="7" t="n"/>
      <c r="G99" s="7" t="n"/>
      <c r="H99" s="7" t="n"/>
      <c r="I99" s="6" t="n"/>
    </row>
    <row r="100">
      <c r="A100" s="5" t="n"/>
      <c r="B100" s="6">
        <f>IF(A100="","",IFERROR(INT((A100-DATE(2026,4,27))/7)+1,""))</f>
        <v/>
      </c>
      <c r="C100" s="7" t="n"/>
      <c r="D100" s="7" t="n"/>
      <c r="E100" s="7" t="n"/>
      <c r="F100" s="7" t="n"/>
      <c r="G100" s="7" t="n"/>
      <c r="H100" s="7" t="n"/>
      <c r="I100" s="6" t="n"/>
    </row>
    <row r="101">
      <c r="A101" s="5" t="n"/>
      <c r="B101" s="6">
        <f>IF(A101="","",IFERROR(INT((A101-DATE(2026,4,27))/7)+1,""))</f>
        <v/>
      </c>
      <c r="C101" s="7" t="n"/>
      <c r="D101" s="7" t="n"/>
      <c r="E101" s="7" t="n"/>
      <c r="F101" s="7" t="n"/>
      <c r="G101" s="7" t="n"/>
      <c r="H101" s="7" t="n"/>
      <c r="I101" s="6" t="n"/>
    </row>
    <row r="102">
      <c r="A102" s="5" t="n"/>
      <c r="B102" s="6">
        <f>IF(A102="","",IFERROR(INT((A102-DATE(2026,4,27))/7)+1,""))</f>
        <v/>
      </c>
      <c r="C102" s="7" t="n"/>
      <c r="D102" s="7" t="n"/>
      <c r="E102" s="7" t="n"/>
      <c r="F102" s="7" t="n"/>
      <c r="G102" s="7" t="n"/>
      <c r="H102" s="7" t="n"/>
      <c r="I102" s="6" t="n"/>
    </row>
    <row r="103">
      <c r="A103" s="5" t="n"/>
      <c r="B103" s="6">
        <f>IF(A103="","",IFERROR(INT((A103-DATE(2026,4,27))/7)+1,""))</f>
        <v/>
      </c>
      <c r="C103" s="7" t="n"/>
      <c r="D103" s="7" t="n"/>
      <c r="E103" s="7" t="n"/>
      <c r="F103" s="7" t="n"/>
      <c r="G103" s="7" t="n"/>
      <c r="H103" s="7" t="n"/>
      <c r="I103" s="6" t="n"/>
    </row>
    <row r="104">
      <c r="A104" s="5" t="n"/>
      <c r="B104" s="6">
        <f>IF(A104="","",IFERROR(INT((A104-DATE(2026,4,27))/7)+1,""))</f>
        <v/>
      </c>
      <c r="C104" s="7" t="n"/>
      <c r="D104" s="7" t="n"/>
      <c r="E104" s="7" t="n"/>
      <c r="F104" s="7" t="n"/>
      <c r="G104" s="7" t="n"/>
      <c r="H104" s="7" t="n"/>
      <c r="I104" s="6" t="n"/>
    </row>
    <row r="105">
      <c r="A105" s="5" t="n"/>
      <c r="B105" s="6">
        <f>IF(A105="","",IFERROR(INT((A105-DATE(2026,4,27))/7)+1,""))</f>
        <v/>
      </c>
      <c r="C105" s="7" t="n"/>
      <c r="D105" s="7" t="n"/>
      <c r="E105" s="7" t="n"/>
      <c r="F105" s="7" t="n"/>
      <c r="G105" s="7" t="n"/>
      <c r="H105" s="7" t="n"/>
      <c r="I105" s="6" t="n"/>
    </row>
    <row r="106">
      <c r="A106" s="5" t="n"/>
      <c r="B106" s="6">
        <f>IF(A106="","",IFERROR(INT((A106-DATE(2026,4,27))/7)+1,""))</f>
        <v/>
      </c>
      <c r="C106" s="7" t="n"/>
      <c r="D106" s="7" t="n"/>
      <c r="E106" s="7" t="n"/>
      <c r="F106" s="7" t="n"/>
      <c r="G106" s="7" t="n"/>
      <c r="H106" s="7" t="n"/>
      <c r="I106" s="6" t="n"/>
    </row>
    <row r="107">
      <c r="A107" s="5" t="n"/>
      <c r="B107" s="6">
        <f>IF(A107="","",IFERROR(INT((A107-DATE(2026,4,27))/7)+1,""))</f>
        <v/>
      </c>
      <c r="C107" s="7" t="n"/>
      <c r="D107" s="7" t="n"/>
      <c r="E107" s="7" t="n"/>
      <c r="F107" s="7" t="n"/>
      <c r="G107" s="7" t="n"/>
      <c r="H107" s="7" t="n"/>
      <c r="I107" s="6" t="n"/>
    </row>
    <row r="108">
      <c r="A108" s="5" t="n"/>
      <c r="B108" s="6">
        <f>IF(A108="","",IFERROR(INT((A108-DATE(2026,4,27))/7)+1,""))</f>
        <v/>
      </c>
      <c r="C108" s="7" t="n"/>
      <c r="D108" s="7" t="n"/>
      <c r="E108" s="7" t="n"/>
      <c r="F108" s="7" t="n"/>
      <c r="G108" s="7" t="n"/>
      <c r="H108" s="7" t="n"/>
      <c r="I108" s="6" t="n"/>
    </row>
    <row r="109">
      <c r="A109" s="5" t="n"/>
      <c r="B109" s="6">
        <f>IF(A109="","",IFERROR(INT((A109-DATE(2026,4,27))/7)+1,""))</f>
        <v/>
      </c>
      <c r="C109" s="7" t="n"/>
      <c r="D109" s="7" t="n"/>
      <c r="E109" s="7" t="n"/>
      <c r="F109" s="7" t="n"/>
      <c r="G109" s="7" t="n"/>
      <c r="H109" s="7" t="n"/>
      <c r="I109" s="6" t="n"/>
    </row>
    <row r="110">
      <c r="A110" s="5" t="n"/>
      <c r="B110" s="6">
        <f>IF(A110="","",IFERROR(INT((A110-DATE(2026,4,27))/7)+1,""))</f>
        <v/>
      </c>
      <c r="C110" s="7" t="n"/>
      <c r="D110" s="7" t="n"/>
      <c r="E110" s="7" t="n"/>
      <c r="F110" s="7" t="n"/>
      <c r="G110" s="7" t="n"/>
      <c r="H110" s="7" t="n"/>
      <c r="I110" s="6" t="n"/>
    </row>
    <row r="111">
      <c r="A111" s="5" t="n"/>
      <c r="B111" s="6">
        <f>IF(A111="","",IFERROR(INT((A111-DATE(2026,4,27))/7)+1,""))</f>
        <v/>
      </c>
      <c r="C111" s="7" t="n"/>
      <c r="D111" s="7" t="n"/>
      <c r="E111" s="7" t="n"/>
      <c r="F111" s="7" t="n"/>
      <c r="G111" s="7" t="n"/>
      <c r="H111" s="7" t="n"/>
      <c r="I111" s="6" t="n"/>
    </row>
    <row r="112">
      <c r="A112" s="5" t="n"/>
      <c r="B112" s="6">
        <f>IF(A112="","",IFERROR(INT((A112-DATE(2026,4,27))/7)+1,""))</f>
        <v/>
      </c>
      <c r="C112" s="7" t="n"/>
      <c r="D112" s="7" t="n"/>
      <c r="E112" s="7" t="n"/>
      <c r="F112" s="7" t="n"/>
      <c r="G112" s="7" t="n"/>
      <c r="H112" s="7" t="n"/>
      <c r="I112" s="6" t="n"/>
    </row>
    <row r="113">
      <c r="A113" s="5" t="n"/>
      <c r="B113" s="6">
        <f>IF(A113="","",IFERROR(INT((A113-DATE(2026,4,27))/7)+1,""))</f>
        <v/>
      </c>
      <c r="C113" s="7" t="n"/>
      <c r="D113" s="7" t="n"/>
      <c r="E113" s="7" t="n"/>
      <c r="F113" s="7" t="n"/>
      <c r="G113" s="7" t="n"/>
      <c r="H113" s="7" t="n"/>
      <c r="I113" s="6" t="n"/>
    </row>
    <row r="114">
      <c r="A114" s="5" t="n"/>
      <c r="B114" s="6">
        <f>IF(A114="","",IFERROR(INT((A114-DATE(2026,4,27))/7)+1,""))</f>
        <v/>
      </c>
      <c r="C114" s="7" t="n"/>
      <c r="D114" s="7" t="n"/>
      <c r="E114" s="7" t="n"/>
      <c r="F114" s="7" t="n"/>
      <c r="G114" s="7" t="n"/>
      <c r="H114" s="7" t="n"/>
      <c r="I114" s="6" t="n"/>
    </row>
    <row r="115">
      <c r="A115" s="5" t="n"/>
      <c r="B115" s="6">
        <f>IF(A115="","",IFERROR(INT((A115-DATE(2026,4,27))/7)+1,""))</f>
        <v/>
      </c>
      <c r="C115" s="7" t="n"/>
      <c r="D115" s="7" t="n"/>
      <c r="E115" s="7" t="n"/>
      <c r="F115" s="7" t="n"/>
      <c r="G115" s="7" t="n"/>
      <c r="H115" s="7" t="n"/>
      <c r="I115" s="6" t="n"/>
    </row>
    <row r="116">
      <c r="A116" s="5" t="n"/>
      <c r="B116" s="6">
        <f>IF(A116="","",IFERROR(INT((A116-DATE(2026,4,27))/7)+1,""))</f>
        <v/>
      </c>
      <c r="C116" s="7" t="n"/>
      <c r="D116" s="7" t="n"/>
      <c r="E116" s="7" t="n"/>
      <c r="F116" s="7" t="n"/>
      <c r="G116" s="7" t="n"/>
      <c r="H116" s="7" t="n"/>
      <c r="I116" s="6" t="n"/>
    </row>
    <row r="117">
      <c r="A117" s="5" t="n"/>
      <c r="B117" s="6">
        <f>IF(A117="","",IFERROR(INT((A117-DATE(2026,4,27))/7)+1,""))</f>
        <v/>
      </c>
      <c r="C117" s="7" t="n"/>
      <c r="D117" s="7" t="n"/>
      <c r="E117" s="7" t="n"/>
      <c r="F117" s="7" t="n"/>
      <c r="G117" s="7" t="n"/>
      <c r="H117" s="7" t="n"/>
      <c r="I117" s="6" t="n"/>
    </row>
    <row r="118">
      <c r="A118" s="5" t="n"/>
      <c r="B118" s="6">
        <f>IF(A118="","",IFERROR(INT((A118-DATE(2026,4,27))/7)+1,""))</f>
        <v/>
      </c>
      <c r="C118" s="7" t="n"/>
      <c r="D118" s="7" t="n"/>
      <c r="E118" s="7" t="n"/>
      <c r="F118" s="7" t="n"/>
      <c r="G118" s="7" t="n"/>
      <c r="H118" s="7" t="n"/>
      <c r="I118" s="6" t="n"/>
    </row>
    <row r="119">
      <c r="A119" s="5" t="n"/>
      <c r="B119" s="6">
        <f>IF(A119="","",IFERROR(INT((A119-DATE(2026,4,27))/7)+1,""))</f>
        <v/>
      </c>
      <c r="C119" s="7" t="n"/>
      <c r="D119" s="7" t="n"/>
      <c r="E119" s="7" t="n"/>
      <c r="F119" s="7" t="n"/>
      <c r="G119" s="7" t="n"/>
      <c r="H119" s="7" t="n"/>
      <c r="I119" s="6" t="n"/>
    </row>
    <row r="120">
      <c r="A120" s="5" t="n"/>
      <c r="B120" s="6">
        <f>IF(A120="","",IFERROR(INT((A120-DATE(2026,4,27))/7)+1,""))</f>
        <v/>
      </c>
      <c r="C120" s="7" t="n"/>
      <c r="D120" s="7" t="n"/>
      <c r="E120" s="7" t="n"/>
      <c r="F120" s="7" t="n"/>
      <c r="G120" s="7" t="n"/>
      <c r="H120" s="7" t="n"/>
      <c r="I120" s="6" t="n"/>
    </row>
    <row r="121">
      <c r="A121" s="5" t="n"/>
      <c r="B121" s="6">
        <f>IF(A121="","",IFERROR(INT((A121-DATE(2026,4,27))/7)+1,""))</f>
        <v/>
      </c>
      <c r="C121" s="7" t="n"/>
      <c r="D121" s="7" t="n"/>
      <c r="E121" s="7" t="n"/>
      <c r="F121" s="7" t="n"/>
      <c r="G121" s="7" t="n"/>
      <c r="H121" s="7" t="n"/>
      <c r="I121" s="6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3"/>
  <sheetViews>
    <sheetView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2" customWidth="1" min="3" max="3"/>
    <col width="14" customWidth="1" min="4" max="4"/>
    <col width="14" customWidth="1" min="5" max="5"/>
    <col width="14" customWidth="1" min="6" max="6"/>
  </cols>
  <sheetData>
    <row r="1" ht="22" customHeight="1">
      <c r="A1" s="4" t="inlineStr">
        <is>
          <t>Exercise</t>
        </is>
      </c>
      <c r="B1" s="4" t="inlineStr">
        <is>
          <t>Best Weight (kg)</t>
        </is>
      </c>
      <c r="C1" s="4" t="inlineStr">
        <is>
          <t>Best Reps @ Weight</t>
        </is>
      </c>
      <c r="D1" s="4" t="inlineStr">
        <is>
          <t>Date Achieved</t>
        </is>
      </c>
      <c r="E1" s="4" t="inlineStr">
        <is>
          <t>Best e1RM (kg)</t>
        </is>
      </c>
      <c r="F1" s="4" t="inlineStr">
        <is>
          <t>Best Single-Set Volume</t>
        </is>
      </c>
    </row>
    <row r="2">
      <c r="A2" s="6" t="inlineStr">
        <is>
          <t>Bench Press</t>
        </is>
      </c>
      <c r="B2" s="7">
        <f>IFERROR(MAXIFS('Lifting Log'!G:G,'Lifting Log'!D:D,A2),"")</f>
        <v/>
      </c>
      <c r="C2" s="6">
        <f>IFERROR(MAXIFS('Lifting Log'!F:F,'Lifting Log'!D:D,A2,'Lifting Log'!G:G,B2),"")</f>
        <v/>
      </c>
      <c r="D2" s="5">
        <f>IFERROR(MAXIFS('Lifting Log'!A:A,'Lifting Log'!D:D,A2,'Lifting Log'!G:G,B2),"")</f>
        <v/>
      </c>
      <c r="E2" s="7">
        <f>IF(OR(B2="",C2=""),"",ROUND(B2*(1+C2/30),1))</f>
        <v/>
      </c>
      <c r="F2" s="8">
        <f>IFERROR(MAXIFS('Lifting Log'!I:I,'Lifting Log'!D:D,A2),"")</f>
        <v/>
      </c>
    </row>
    <row r="3">
      <c r="A3" s="6" t="inlineStr">
        <is>
          <t>Barbell Row</t>
        </is>
      </c>
      <c r="B3" s="7">
        <f>IFERROR(MAXIFS('Lifting Log'!G:G,'Lifting Log'!D:D,A3),"")</f>
        <v/>
      </c>
      <c r="C3" s="6">
        <f>IFERROR(MAXIFS('Lifting Log'!F:F,'Lifting Log'!D:D,A3,'Lifting Log'!G:G,B3),"")</f>
        <v/>
      </c>
      <c r="D3" s="5">
        <f>IFERROR(MAXIFS('Lifting Log'!A:A,'Lifting Log'!D:D,A3,'Lifting Log'!G:G,B3),"")</f>
        <v/>
      </c>
      <c r="E3" s="7">
        <f>IF(OR(B3="",C3=""),"",ROUND(B3*(1+C3/30),1))</f>
        <v/>
      </c>
      <c r="F3" s="8">
        <f>IFERROR(MAXIFS('Lifting Log'!I:I,'Lifting Log'!D:D,A3),"")</f>
        <v/>
      </c>
    </row>
    <row r="4">
      <c r="A4" s="6" t="inlineStr">
        <is>
          <t>Incline DB Press</t>
        </is>
      </c>
      <c r="B4" s="7">
        <f>IFERROR(MAXIFS('Lifting Log'!G:G,'Lifting Log'!D:D,A4),"")</f>
        <v/>
      </c>
      <c r="C4" s="6">
        <f>IFERROR(MAXIFS('Lifting Log'!F:F,'Lifting Log'!D:D,A4,'Lifting Log'!G:G,B4),"")</f>
        <v/>
      </c>
      <c r="D4" s="5">
        <f>IFERROR(MAXIFS('Lifting Log'!A:A,'Lifting Log'!D:D,A4,'Lifting Log'!G:G,B4),"")</f>
        <v/>
      </c>
      <c r="E4" s="7">
        <f>IF(OR(B4="",C4=""),"",ROUND(B4*(1+C4/30),1))</f>
        <v/>
      </c>
      <c r="F4" s="8">
        <f>IFERROR(MAXIFS('Lifting Log'!I:I,'Lifting Log'!D:D,A4),"")</f>
        <v/>
      </c>
    </row>
    <row r="5">
      <c r="A5" s="6" t="inlineStr">
        <is>
          <t>Lat Pulldown</t>
        </is>
      </c>
      <c r="B5" s="7">
        <f>IFERROR(MAXIFS('Lifting Log'!G:G,'Lifting Log'!D:D,A5),"")</f>
        <v/>
      </c>
      <c r="C5" s="6">
        <f>IFERROR(MAXIFS('Lifting Log'!F:F,'Lifting Log'!D:D,A5,'Lifting Log'!G:G,B5),"")</f>
        <v/>
      </c>
      <c r="D5" s="5">
        <f>IFERROR(MAXIFS('Lifting Log'!A:A,'Lifting Log'!D:D,A5,'Lifting Log'!G:G,B5),"")</f>
        <v/>
      </c>
      <c r="E5" s="7">
        <f>IF(OR(B5="",C5=""),"",ROUND(B5*(1+C5/30),1))</f>
        <v/>
      </c>
      <c r="F5" s="8">
        <f>IFERROR(MAXIFS('Lifting Log'!I:I,'Lifting Log'!D:D,A5),"")</f>
        <v/>
      </c>
    </row>
    <row r="6">
      <c r="A6" s="6" t="inlineStr">
        <is>
          <t>Cable Fly</t>
        </is>
      </c>
      <c r="B6" s="7">
        <f>IFERROR(MAXIFS('Lifting Log'!G:G,'Lifting Log'!D:D,A6),"")</f>
        <v/>
      </c>
      <c r="C6" s="6">
        <f>IFERROR(MAXIFS('Lifting Log'!F:F,'Lifting Log'!D:D,A6,'Lifting Log'!G:G,B6),"")</f>
        <v/>
      </c>
      <c r="D6" s="5">
        <f>IFERROR(MAXIFS('Lifting Log'!A:A,'Lifting Log'!D:D,A6,'Lifting Log'!G:G,B6),"")</f>
        <v/>
      </c>
      <c r="E6" s="7">
        <f>IF(OR(B6="",C6=""),"",ROUND(B6*(1+C6/30),1))</f>
        <v/>
      </c>
      <c r="F6" s="8">
        <f>IFERROR(MAXIFS('Lifting Log'!I:I,'Lifting Log'!D:D,A6),"")</f>
        <v/>
      </c>
    </row>
    <row r="7">
      <c r="A7" s="6" t="inlineStr">
        <is>
          <t>Triceps Pushdown</t>
        </is>
      </c>
      <c r="B7" s="7">
        <f>IFERROR(MAXIFS('Lifting Log'!G:G,'Lifting Log'!D:D,A7),"")</f>
        <v/>
      </c>
      <c r="C7" s="6">
        <f>IFERROR(MAXIFS('Lifting Log'!F:F,'Lifting Log'!D:D,A7,'Lifting Log'!G:G,B7),"")</f>
        <v/>
      </c>
      <c r="D7" s="5">
        <f>IFERROR(MAXIFS('Lifting Log'!A:A,'Lifting Log'!D:D,A7,'Lifting Log'!G:G,B7),"")</f>
        <v/>
      </c>
      <c r="E7" s="7">
        <f>IF(OR(B7="",C7=""),"",ROUND(B7*(1+C7/30),1))</f>
        <v/>
      </c>
      <c r="F7" s="8">
        <f>IFERROR(MAXIFS('Lifting Log'!I:I,'Lifting Log'!D:D,A7),"")</f>
        <v/>
      </c>
    </row>
    <row r="8">
      <c r="A8" s="6" t="inlineStr">
        <is>
          <t>DB Hammer Curl</t>
        </is>
      </c>
      <c r="B8" s="7">
        <f>IFERROR(MAXIFS('Lifting Log'!G:G,'Lifting Log'!D:D,A8),"")</f>
        <v/>
      </c>
      <c r="C8" s="6">
        <f>IFERROR(MAXIFS('Lifting Log'!F:F,'Lifting Log'!D:D,A8,'Lifting Log'!G:G,B8),"")</f>
        <v/>
      </c>
      <c r="D8" s="5">
        <f>IFERROR(MAXIFS('Lifting Log'!A:A,'Lifting Log'!D:D,A8,'Lifting Log'!G:G,B8),"")</f>
        <v/>
      </c>
      <c r="E8" s="7">
        <f>IF(OR(B8="",C8=""),"",ROUND(B8*(1+C8/30),1))</f>
        <v/>
      </c>
      <c r="F8" s="8">
        <f>IFERROR(MAXIFS('Lifting Log'!I:I,'Lifting Log'!D:D,A8),"")</f>
        <v/>
      </c>
    </row>
    <row r="9">
      <c r="A9" s="6" t="inlineStr">
        <is>
          <t>Back Squat</t>
        </is>
      </c>
      <c r="B9" s="7">
        <f>IFERROR(MAXIFS('Lifting Log'!G:G,'Lifting Log'!D:D,A9),"")</f>
        <v/>
      </c>
      <c r="C9" s="6">
        <f>IFERROR(MAXIFS('Lifting Log'!F:F,'Lifting Log'!D:D,A9,'Lifting Log'!G:G,B9),"")</f>
        <v/>
      </c>
      <c r="D9" s="5">
        <f>IFERROR(MAXIFS('Lifting Log'!A:A,'Lifting Log'!D:D,A9,'Lifting Log'!G:G,B9),"")</f>
        <v/>
      </c>
      <c r="E9" s="7">
        <f>IF(OR(B9="",C9=""),"",ROUND(B9*(1+C9/30),1))</f>
        <v/>
      </c>
      <c r="F9" s="8">
        <f>IFERROR(MAXIFS('Lifting Log'!I:I,'Lifting Log'!D:D,A9),"")</f>
        <v/>
      </c>
    </row>
    <row r="10">
      <c r="A10" s="6" t="inlineStr">
        <is>
          <t>Romanian Deadlift</t>
        </is>
      </c>
      <c r="B10" s="7">
        <f>IFERROR(MAXIFS('Lifting Log'!G:G,'Lifting Log'!D:D,A10),"")</f>
        <v/>
      </c>
      <c r="C10" s="6">
        <f>IFERROR(MAXIFS('Lifting Log'!F:F,'Lifting Log'!D:D,A10,'Lifting Log'!G:G,B10),"")</f>
        <v/>
      </c>
      <c r="D10" s="5">
        <f>IFERROR(MAXIFS('Lifting Log'!A:A,'Lifting Log'!D:D,A10,'Lifting Log'!G:G,B10),"")</f>
        <v/>
      </c>
      <c r="E10" s="7">
        <f>IF(OR(B10="",C10=""),"",ROUND(B10*(1+C10/30),1))</f>
        <v/>
      </c>
      <c r="F10" s="8">
        <f>IFERROR(MAXIFS('Lifting Log'!I:I,'Lifting Log'!D:D,A10),"")</f>
        <v/>
      </c>
    </row>
    <row r="11">
      <c r="A11" s="6" t="inlineStr">
        <is>
          <t>Leg Press</t>
        </is>
      </c>
      <c r="B11" s="7">
        <f>IFERROR(MAXIFS('Lifting Log'!G:G,'Lifting Log'!D:D,A11),"")</f>
        <v/>
      </c>
      <c r="C11" s="6">
        <f>IFERROR(MAXIFS('Lifting Log'!F:F,'Lifting Log'!D:D,A11,'Lifting Log'!G:G,B11),"")</f>
        <v/>
      </c>
      <c r="D11" s="5">
        <f>IFERROR(MAXIFS('Lifting Log'!A:A,'Lifting Log'!D:D,A11,'Lifting Log'!G:G,B11),"")</f>
        <v/>
      </c>
      <c r="E11" s="7">
        <f>IF(OR(B11="",C11=""),"",ROUND(B11*(1+C11/30),1))</f>
        <v/>
      </c>
      <c r="F11" s="8">
        <f>IFERROR(MAXIFS('Lifting Log'!I:I,'Lifting Log'!D:D,A11),"")</f>
        <v/>
      </c>
    </row>
    <row r="12">
      <c r="A12" s="6" t="inlineStr">
        <is>
          <t>Seated Leg Curl</t>
        </is>
      </c>
      <c r="B12" s="7">
        <f>IFERROR(MAXIFS('Lifting Log'!G:G,'Lifting Log'!D:D,A12),"")</f>
        <v/>
      </c>
      <c r="C12" s="6">
        <f>IFERROR(MAXIFS('Lifting Log'!F:F,'Lifting Log'!D:D,A12,'Lifting Log'!G:G,B12),"")</f>
        <v/>
      </c>
      <c r="D12" s="5">
        <f>IFERROR(MAXIFS('Lifting Log'!A:A,'Lifting Log'!D:D,A12,'Lifting Log'!G:G,B12),"")</f>
        <v/>
      </c>
      <c r="E12" s="7">
        <f>IF(OR(B12="",C12=""),"",ROUND(B12*(1+C12/30),1))</f>
        <v/>
      </c>
      <c r="F12" s="8">
        <f>IFERROR(MAXIFS('Lifting Log'!I:I,'Lifting Log'!D:D,A12),"")</f>
        <v/>
      </c>
    </row>
    <row r="13">
      <c r="A13" s="6" t="inlineStr">
        <is>
          <t>Standing Calf Raise</t>
        </is>
      </c>
      <c r="B13" s="7">
        <f>IFERROR(MAXIFS('Lifting Log'!G:G,'Lifting Log'!D:D,A13),"")</f>
        <v/>
      </c>
      <c r="C13" s="6">
        <f>IFERROR(MAXIFS('Lifting Log'!F:F,'Lifting Log'!D:D,A13,'Lifting Log'!G:G,B13),"")</f>
        <v/>
      </c>
      <c r="D13" s="5">
        <f>IFERROR(MAXIFS('Lifting Log'!A:A,'Lifting Log'!D:D,A13,'Lifting Log'!G:G,B13),"")</f>
        <v/>
      </c>
      <c r="E13" s="7">
        <f>IF(OR(B13="",C13=""),"",ROUND(B13*(1+C13/30),1))</f>
        <v/>
      </c>
      <c r="F13" s="8">
        <f>IFERROR(MAXIFS('Lifting Log'!I:I,'Lifting Log'!D:D,A13),"")</f>
        <v/>
      </c>
    </row>
    <row r="14">
      <c r="A14" s="6" t="inlineStr">
        <is>
          <t>Overhead Press</t>
        </is>
      </c>
      <c r="B14" s="7">
        <f>IFERROR(MAXIFS('Lifting Log'!G:G,'Lifting Log'!D:D,A14),"")</f>
        <v/>
      </c>
      <c r="C14" s="6">
        <f>IFERROR(MAXIFS('Lifting Log'!F:F,'Lifting Log'!D:D,A14,'Lifting Log'!G:G,B14),"")</f>
        <v/>
      </c>
      <c r="D14" s="5">
        <f>IFERROR(MAXIFS('Lifting Log'!A:A,'Lifting Log'!D:D,A14,'Lifting Log'!G:G,B14),"")</f>
        <v/>
      </c>
      <c r="E14" s="7">
        <f>IF(OR(B14="",C14=""),"",ROUND(B14*(1+C14/30),1))</f>
        <v/>
      </c>
      <c r="F14" s="8">
        <f>IFERROR(MAXIFS('Lifting Log'!I:I,'Lifting Log'!D:D,A14),"")</f>
        <v/>
      </c>
    </row>
    <row r="15">
      <c r="A15" s="6" t="inlineStr">
        <is>
          <t>Weighted Pull-up</t>
        </is>
      </c>
      <c r="B15" s="7">
        <f>IFERROR(MAXIFS('Lifting Log'!G:G,'Lifting Log'!D:D,A15),"")</f>
        <v/>
      </c>
      <c r="C15" s="6">
        <f>IFERROR(MAXIFS('Lifting Log'!F:F,'Lifting Log'!D:D,A15,'Lifting Log'!G:G,B15),"")</f>
        <v/>
      </c>
      <c r="D15" s="5">
        <f>IFERROR(MAXIFS('Lifting Log'!A:A,'Lifting Log'!D:D,A15,'Lifting Log'!G:G,B15),"")</f>
        <v/>
      </c>
      <c r="E15" s="7">
        <f>IF(OR(B15="",C15=""),"",ROUND(B15*(1+C15/30),1))</f>
        <v/>
      </c>
      <c r="F15" s="8">
        <f>IFERROR(MAXIFS('Lifting Log'!I:I,'Lifting Log'!D:D,A15),"")</f>
        <v/>
      </c>
    </row>
    <row r="16">
      <c r="A16" s="6" t="inlineStr">
        <is>
          <t>DB Shoulder Press</t>
        </is>
      </c>
      <c r="B16" s="7">
        <f>IFERROR(MAXIFS('Lifting Log'!G:G,'Lifting Log'!D:D,A16),"")</f>
        <v/>
      </c>
      <c r="C16" s="6">
        <f>IFERROR(MAXIFS('Lifting Log'!F:F,'Lifting Log'!D:D,A16,'Lifting Log'!G:G,B16),"")</f>
        <v/>
      </c>
      <c r="D16" s="5">
        <f>IFERROR(MAXIFS('Lifting Log'!A:A,'Lifting Log'!D:D,A16,'Lifting Log'!G:G,B16),"")</f>
        <v/>
      </c>
      <c r="E16" s="7">
        <f>IF(OR(B16="",C16=""),"",ROUND(B16*(1+C16/30),1))</f>
        <v/>
      </c>
      <c r="F16" s="8">
        <f>IFERROR(MAXIFS('Lifting Log'!I:I,'Lifting Log'!D:D,A16),"")</f>
        <v/>
      </c>
    </row>
    <row r="17">
      <c r="A17" s="6" t="inlineStr">
        <is>
          <t>Cable Row</t>
        </is>
      </c>
      <c r="B17" s="7">
        <f>IFERROR(MAXIFS('Lifting Log'!G:G,'Lifting Log'!D:D,A17),"")</f>
        <v/>
      </c>
      <c r="C17" s="6">
        <f>IFERROR(MAXIFS('Lifting Log'!F:F,'Lifting Log'!D:D,A17,'Lifting Log'!G:G,B17),"")</f>
        <v/>
      </c>
      <c r="D17" s="5">
        <f>IFERROR(MAXIFS('Lifting Log'!A:A,'Lifting Log'!D:D,A17,'Lifting Log'!G:G,B17),"")</f>
        <v/>
      </c>
      <c r="E17" s="7">
        <f>IF(OR(B17="",C17=""),"",ROUND(B17*(1+C17/30),1))</f>
        <v/>
      </c>
      <c r="F17" s="8">
        <f>IFERROR(MAXIFS('Lifting Log'!I:I,'Lifting Log'!D:D,A17),"")</f>
        <v/>
      </c>
    </row>
    <row r="18">
      <c r="A18" s="6" t="inlineStr">
        <is>
          <t>Cable Lateral Raise</t>
        </is>
      </c>
      <c r="B18" s="7">
        <f>IFERROR(MAXIFS('Lifting Log'!G:G,'Lifting Log'!D:D,A18),"")</f>
        <v/>
      </c>
      <c r="C18" s="6">
        <f>IFERROR(MAXIFS('Lifting Log'!F:F,'Lifting Log'!D:D,A18,'Lifting Log'!G:G,B18),"")</f>
        <v/>
      </c>
      <c r="D18" s="5">
        <f>IFERROR(MAXIFS('Lifting Log'!A:A,'Lifting Log'!D:D,A18,'Lifting Log'!G:G,B18),"")</f>
        <v/>
      </c>
      <c r="E18" s="7">
        <f>IF(OR(B18="",C18=""),"",ROUND(B18*(1+C18/30),1))</f>
        <v/>
      </c>
      <c r="F18" s="8">
        <f>IFERROR(MAXIFS('Lifting Log'!I:I,'Lifting Log'!D:D,A18),"")</f>
        <v/>
      </c>
    </row>
    <row r="19">
      <c r="A19" s="6" t="inlineStr">
        <is>
          <t>Face Pull</t>
        </is>
      </c>
      <c r="B19" s="7">
        <f>IFERROR(MAXIFS('Lifting Log'!G:G,'Lifting Log'!D:D,A19),"")</f>
        <v/>
      </c>
      <c r="C19" s="6">
        <f>IFERROR(MAXIFS('Lifting Log'!F:F,'Lifting Log'!D:D,A19,'Lifting Log'!G:G,B19),"")</f>
        <v/>
      </c>
      <c r="D19" s="5">
        <f>IFERROR(MAXIFS('Lifting Log'!A:A,'Lifting Log'!D:D,A19,'Lifting Log'!G:G,B19),"")</f>
        <v/>
      </c>
      <c r="E19" s="7">
        <f>IF(OR(B19="",C19=""),"",ROUND(B19*(1+C19/30),1))</f>
        <v/>
      </c>
      <c r="F19" s="8">
        <f>IFERROR(MAXIFS('Lifting Log'!I:I,'Lifting Log'!D:D,A19),"")</f>
        <v/>
      </c>
    </row>
    <row r="20">
      <c r="A20" s="6" t="inlineStr">
        <is>
          <t>Preacher Curl</t>
        </is>
      </c>
      <c r="B20" s="7">
        <f>IFERROR(MAXIFS('Lifting Log'!G:G,'Lifting Log'!D:D,A20),"")</f>
        <v/>
      </c>
      <c r="C20" s="6">
        <f>IFERROR(MAXIFS('Lifting Log'!F:F,'Lifting Log'!D:D,A20,'Lifting Log'!G:G,B20),"")</f>
        <v/>
      </c>
      <c r="D20" s="5">
        <f>IFERROR(MAXIFS('Lifting Log'!A:A,'Lifting Log'!D:D,A20,'Lifting Log'!G:G,B20),"")</f>
        <v/>
      </c>
      <c r="E20" s="7">
        <f>IF(OR(B20="",C20=""),"",ROUND(B20*(1+C20/30),1))</f>
        <v/>
      </c>
      <c r="F20" s="8">
        <f>IFERROR(MAXIFS('Lifting Log'!I:I,'Lifting Log'!D:D,A20),"")</f>
        <v/>
      </c>
    </row>
    <row r="21">
      <c r="A21" s="6" t="inlineStr">
        <is>
          <t>Skull Crusher</t>
        </is>
      </c>
      <c r="B21" s="7">
        <f>IFERROR(MAXIFS('Lifting Log'!G:G,'Lifting Log'!D:D,A21),"")</f>
        <v/>
      </c>
      <c r="C21" s="6">
        <f>IFERROR(MAXIFS('Lifting Log'!F:F,'Lifting Log'!D:D,A21,'Lifting Log'!G:G,B21),"")</f>
        <v/>
      </c>
      <c r="D21" s="5">
        <f>IFERROR(MAXIFS('Lifting Log'!A:A,'Lifting Log'!D:D,A21,'Lifting Log'!G:G,B21),"")</f>
        <v/>
      </c>
      <c r="E21" s="7">
        <f>IF(OR(B21="",C21=""),"",ROUND(B21*(1+C21/30),1))</f>
        <v/>
      </c>
      <c r="F21" s="8">
        <f>IFERROR(MAXIFS('Lifting Log'!I:I,'Lifting Log'!D:D,A21),"")</f>
        <v/>
      </c>
    </row>
    <row r="22">
      <c r="A22" s="6" t="inlineStr">
        <is>
          <t>Trap Bar Deadlift</t>
        </is>
      </c>
      <c r="B22" s="7">
        <f>IFERROR(MAXIFS('Lifting Log'!G:G,'Lifting Log'!D:D,A22),"")</f>
        <v/>
      </c>
      <c r="C22" s="6">
        <f>IFERROR(MAXIFS('Lifting Log'!F:F,'Lifting Log'!D:D,A22,'Lifting Log'!G:G,B22),"")</f>
        <v/>
      </c>
      <c r="D22" s="5">
        <f>IFERROR(MAXIFS('Lifting Log'!A:A,'Lifting Log'!D:D,A22,'Lifting Log'!G:G,B22),"")</f>
        <v/>
      </c>
      <c r="E22" s="7">
        <f>IF(OR(B22="",C22=""),"",ROUND(B22*(1+C22/30),1))</f>
        <v/>
      </c>
      <c r="F22" s="8">
        <f>IFERROR(MAXIFS('Lifting Log'!I:I,'Lifting Log'!D:D,A22),"")</f>
        <v/>
      </c>
    </row>
    <row r="23">
      <c r="A23" s="6" t="inlineStr">
        <is>
          <t>Bulgarian Split Squat</t>
        </is>
      </c>
      <c r="B23" s="7">
        <f>IFERROR(MAXIFS('Lifting Log'!G:G,'Lifting Log'!D:D,A23),"")</f>
        <v/>
      </c>
      <c r="C23" s="6">
        <f>IFERROR(MAXIFS('Lifting Log'!F:F,'Lifting Log'!D:D,A23,'Lifting Log'!G:G,B23),"")</f>
        <v/>
      </c>
      <c r="D23" s="5">
        <f>IFERROR(MAXIFS('Lifting Log'!A:A,'Lifting Log'!D:D,A23,'Lifting Log'!G:G,B23),"")</f>
        <v/>
      </c>
      <c r="E23" s="7">
        <f>IF(OR(B23="",C23=""),"",ROUND(B23*(1+C23/30),1))</f>
        <v/>
      </c>
      <c r="F23" s="8">
        <f>IFERROR(MAXIFS('Lifting Log'!I:I,'Lifting Log'!D:D,A23),"")</f>
        <v/>
      </c>
    </row>
    <row r="24">
      <c r="A24" s="6" t="inlineStr">
        <is>
          <t>Hip Thrust</t>
        </is>
      </c>
      <c r="B24" s="7">
        <f>IFERROR(MAXIFS('Lifting Log'!G:G,'Lifting Log'!D:D,A24),"")</f>
        <v/>
      </c>
      <c r="C24" s="6">
        <f>IFERROR(MAXIFS('Lifting Log'!F:F,'Lifting Log'!D:D,A24,'Lifting Log'!G:G,B24),"")</f>
        <v/>
      </c>
      <c r="D24" s="5">
        <f>IFERROR(MAXIFS('Lifting Log'!A:A,'Lifting Log'!D:D,A24,'Lifting Log'!G:G,B24),"")</f>
        <v/>
      </c>
      <c r="E24" s="7">
        <f>IF(OR(B24="",C24=""),"",ROUND(B24*(1+C24/30),1))</f>
        <v/>
      </c>
      <c r="F24" s="8">
        <f>IFERROR(MAXIFS('Lifting Log'!I:I,'Lifting Log'!D:D,A24),"")</f>
        <v/>
      </c>
    </row>
    <row r="25">
      <c r="A25" s="6" t="inlineStr">
        <is>
          <t>Walking Lunge</t>
        </is>
      </c>
      <c r="B25" s="7">
        <f>IFERROR(MAXIFS('Lifting Log'!G:G,'Lifting Log'!D:D,A25),"")</f>
        <v/>
      </c>
      <c r="C25" s="6">
        <f>IFERROR(MAXIFS('Lifting Log'!F:F,'Lifting Log'!D:D,A25,'Lifting Log'!G:G,B25),"")</f>
        <v/>
      </c>
      <c r="D25" s="5">
        <f>IFERROR(MAXIFS('Lifting Log'!A:A,'Lifting Log'!D:D,A25,'Lifting Log'!G:G,B25),"")</f>
        <v/>
      </c>
      <c r="E25" s="7">
        <f>IF(OR(B25="",C25=""),"",ROUND(B25*(1+C25/30),1))</f>
        <v/>
      </c>
      <c r="F25" s="8">
        <f>IFERROR(MAXIFS('Lifting Log'!I:I,'Lifting Log'!D:D,A25),"")</f>
        <v/>
      </c>
    </row>
    <row r="26">
      <c r="A26" s="6" t="inlineStr">
        <is>
          <t>Seated Calf Raise (Lower B)</t>
        </is>
      </c>
      <c r="B26" s="7">
        <f>IFERROR(MAXIFS('Lifting Log'!G:G,'Lifting Log'!D:D,A26),"")</f>
        <v/>
      </c>
      <c r="C26" s="6">
        <f>IFERROR(MAXIFS('Lifting Log'!F:F,'Lifting Log'!D:D,A26,'Lifting Log'!G:G,B26),"")</f>
        <v/>
      </c>
      <c r="D26" s="5">
        <f>IFERROR(MAXIFS('Lifting Log'!A:A,'Lifting Log'!D:D,A26,'Lifting Log'!G:G,B26),"")</f>
        <v/>
      </c>
      <c r="E26" s="7">
        <f>IF(OR(B26="",C26=""),"",ROUND(B26*(1+C26/30),1))</f>
        <v/>
      </c>
      <c r="F26" s="8">
        <f>IFERROR(MAXIFS('Lifting Log'!I:I,'Lifting Log'!D:D,A26),"")</f>
        <v/>
      </c>
    </row>
    <row r="29">
      <c r="A29" s="10" t="inlineStr">
        <is>
          <t>How this works:</t>
        </is>
      </c>
    </row>
    <row r="30">
      <c r="A30" s="10" t="inlineStr">
        <is>
          <t>Best Weight = heaviest weight ever lifted for this exercise (any reps).</t>
        </is>
      </c>
    </row>
    <row r="31">
      <c r="A31" s="10" t="inlineStr">
        <is>
          <t>Best e1RM = estimated 1RM (Epley formula). Best single comparison metric for progress.</t>
        </is>
      </c>
    </row>
    <row r="32">
      <c r="A32" s="10" t="inlineStr">
        <is>
          <t>Best Single-Set Volume = highest weight × reps in any one set.</t>
        </is>
      </c>
    </row>
    <row r="33">
      <c r="A33" s="10" t="inlineStr">
        <is>
          <t>Add new exercises in column A as needed — formulas auto-extend down.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workbookViewId="0">
      <selection activeCell="A1" sqref="A1"/>
    </sheetView>
  </sheetViews>
  <sheetFormatPr baseColWidth="8" defaultRowHeight="15"/>
  <cols>
    <col width="8" customWidth="1" min="1" max="1"/>
    <col width="22" customWidth="1" min="2" max="2"/>
    <col width="17" customWidth="1" min="3" max="3"/>
    <col width="12" customWidth="1" min="4" max="4"/>
    <col width="21" customWidth="1" min="5" max="5"/>
    <col width="13" customWidth="1" min="6" max="6"/>
    <col width="8" customWidth="1" min="7" max="7"/>
    <col width="10" customWidth="1" min="8" max="8"/>
    <col width="14" customWidth="1" min="9" max="9"/>
    <col width="14" customWidth="1" min="10" max="10"/>
    <col width="21" customWidth="1" min="11" max="11"/>
  </cols>
  <sheetData>
    <row r="1" ht="22" customHeight="1">
      <c r="A1" s="4" t="inlineStr">
        <is>
          <t>Week</t>
        </is>
      </c>
      <c r="B1" s="4" t="inlineStr">
        <is>
          <t>Date Range</t>
        </is>
      </c>
      <c r="C1" s="4" t="inlineStr">
        <is>
          <t>Lifting Sessions</t>
        </is>
      </c>
      <c r="D1" s="4" t="inlineStr">
        <is>
          <t>Total Sets</t>
        </is>
      </c>
      <c r="E1" s="4" t="inlineStr">
        <is>
          <t>Total Lift Volume (kg)</t>
        </is>
      </c>
      <c r="F1" s="4" t="inlineStr">
        <is>
          <t>Avg Lift RPE</t>
        </is>
      </c>
      <c r="G1" s="4" t="inlineStr">
        <is>
          <t>Runs</t>
        </is>
      </c>
      <c r="H1" s="4" t="inlineStr">
        <is>
          <t>Run km</t>
        </is>
      </c>
      <c r="I1" s="4" t="inlineStr">
        <is>
          <t>Run Time (min)</t>
        </is>
      </c>
      <c r="J1" s="4" t="inlineStr">
        <is>
          <t>Avg Run HR</t>
        </is>
      </c>
      <c r="K1" s="4" t="inlineStr">
        <is>
          <t>Avg Body Weight (kg)</t>
        </is>
      </c>
    </row>
    <row r="2">
      <c r="A2" s="6" t="n">
        <v>1</v>
      </c>
      <c r="B2" s="6">
        <f>TEXT(DATE(2026,4,27)+(A2-1)*7,"mmm d")&amp;" – "&amp;TEXT(DATE(2026,4,27)+A2*7-1,"mmm d")</f>
        <v/>
      </c>
      <c r="C2" s="6">
        <f>COUNTIFS('Lifting Log'!B:B,A2,'Lifting Log'!E:E,1)</f>
        <v/>
      </c>
      <c r="D2" s="6">
        <f>COUNTIFS('Lifting Log'!B:B,A2)</f>
        <v/>
      </c>
      <c r="E2" s="11">
        <f>SUMIFS('Lifting Log'!I:I,'Lifting Log'!B:B,A2)</f>
        <v/>
      </c>
      <c r="F2" s="7">
        <f>IFERROR(AVERAGEIFS('Lifting Log'!H:H,'Lifting Log'!B:B,A2),"")</f>
        <v/>
      </c>
      <c r="G2" s="6">
        <f>COUNTIFS('Running Log'!B:B,A2)</f>
        <v/>
      </c>
      <c r="H2" s="9">
        <f>SUMIFS('Running Log'!C:C,'Running Log'!B:B,A2)</f>
        <v/>
      </c>
      <c r="I2" s="8">
        <f>SUMIFS('Running Log'!D:D,'Running Log'!B:B,A2)</f>
        <v/>
      </c>
      <c r="J2" s="8">
        <f>IFERROR(AVERAGEIFS('Running Log'!F:F,'Running Log'!B:B,A2),"")</f>
        <v/>
      </c>
      <c r="K2" s="7">
        <f>IFERROR(AVERAGEIFS('Body Metrics'!C:C,'Body Metrics'!B:B,A2),"")</f>
        <v/>
      </c>
    </row>
    <row r="3">
      <c r="A3" s="6" t="n">
        <v>2</v>
      </c>
      <c r="B3" s="6">
        <f>TEXT(DATE(2026,4,27)+(A3-1)*7,"mmm d")&amp;" – "&amp;TEXT(DATE(2026,4,27)+A3*7-1,"mmm d")</f>
        <v/>
      </c>
      <c r="C3" s="6">
        <f>COUNTIFS('Lifting Log'!B:B,A3,'Lifting Log'!E:E,1)</f>
        <v/>
      </c>
      <c r="D3" s="6">
        <f>COUNTIFS('Lifting Log'!B:B,A3)</f>
        <v/>
      </c>
      <c r="E3" s="11">
        <f>SUMIFS('Lifting Log'!I:I,'Lifting Log'!B:B,A3)</f>
        <v/>
      </c>
      <c r="F3" s="7">
        <f>IFERROR(AVERAGEIFS('Lifting Log'!H:H,'Lifting Log'!B:B,A3),"")</f>
        <v/>
      </c>
      <c r="G3" s="6">
        <f>COUNTIFS('Running Log'!B:B,A3)</f>
        <v/>
      </c>
      <c r="H3" s="9">
        <f>SUMIFS('Running Log'!C:C,'Running Log'!B:B,A3)</f>
        <v/>
      </c>
      <c r="I3" s="8">
        <f>SUMIFS('Running Log'!D:D,'Running Log'!B:B,A3)</f>
        <v/>
      </c>
      <c r="J3" s="8">
        <f>IFERROR(AVERAGEIFS('Running Log'!F:F,'Running Log'!B:B,A3),"")</f>
        <v/>
      </c>
      <c r="K3" s="7">
        <f>IFERROR(AVERAGEIFS('Body Metrics'!C:C,'Body Metrics'!B:B,A3),"")</f>
        <v/>
      </c>
    </row>
    <row r="4">
      <c r="A4" s="6" t="n">
        <v>3</v>
      </c>
      <c r="B4" s="6">
        <f>TEXT(DATE(2026,4,27)+(A4-1)*7,"mmm d")&amp;" – "&amp;TEXT(DATE(2026,4,27)+A4*7-1,"mmm d")</f>
        <v/>
      </c>
      <c r="C4" s="6">
        <f>COUNTIFS('Lifting Log'!B:B,A4,'Lifting Log'!E:E,1)</f>
        <v/>
      </c>
      <c r="D4" s="6">
        <f>COUNTIFS('Lifting Log'!B:B,A4)</f>
        <v/>
      </c>
      <c r="E4" s="11">
        <f>SUMIFS('Lifting Log'!I:I,'Lifting Log'!B:B,A4)</f>
        <v/>
      </c>
      <c r="F4" s="7">
        <f>IFERROR(AVERAGEIFS('Lifting Log'!H:H,'Lifting Log'!B:B,A4),"")</f>
        <v/>
      </c>
      <c r="G4" s="6">
        <f>COUNTIFS('Running Log'!B:B,A4)</f>
        <v/>
      </c>
      <c r="H4" s="9">
        <f>SUMIFS('Running Log'!C:C,'Running Log'!B:B,A4)</f>
        <v/>
      </c>
      <c r="I4" s="8">
        <f>SUMIFS('Running Log'!D:D,'Running Log'!B:B,A4)</f>
        <v/>
      </c>
      <c r="J4" s="8">
        <f>IFERROR(AVERAGEIFS('Running Log'!F:F,'Running Log'!B:B,A4),"")</f>
        <v/>
      </c>
      <c r="K4" s="7">
        <f>IFERROR(AVERAGEIFS('Body Metrics'!C:C,'Body Metrics'!B:B,A4),"")</f>
        <v/>
      </c>
    </row>
    <row r="5">
      <c r="A5" s="6" t="n">
        <v>4</v>
      </c>
      <c r="B5" s="6">
        <f>TEXT(DATE(2026,4,27)+(A5-1)*7,"mmm d")&amp;" – "&amp;TEXT(DATE(2026,4,27)+A5*7-1,"mmm d")</f>
        <v/>
      </c>
      <c r="C5" s="6">
        <f>COUNTIFS('Lifting Log'!B:B,A5,'Lifting Log'!E:E,1)</f>
        <v/>
      </c>
      <c r="D5" s="6">
        <f>COUNTIFS('Lifting Log'!B:B,A5)</f>
        <v/>
      </c>
      <c r="E5" s="11">
        <f>SUMIFS('Lifting Log'!I:I,'Lifting Log'!B:B,A5)</f>
        <v/>
      </c>
      <c r="F5" s="7">
        <f>IFERROR(AVERAGEIFS('Lifting Log'!H:H,'Lifting Log'!B:B,A5),"")</f>
        <v/>
      </c>
      <c r="G5" s="6">
        <f>COUNTIFS('Running Log'!B:B,A5)</f>
        <v/>
      </c>
      <c r="H5" s="9">
        <f>SUMIFS('Running Log'!C:C,'Running Log'!B:B,A5)</f>
        <v/>
      </c>
      <c r="I5" s="8">
        <f>SUMIFS('Running Log'!D:D,'Running Log'!B:B,A5)</f>
        <v/>
      </c>
      <c r="J5" s="8">
        <f>IFERROR(AVERAGEIFS('Running Log'!F:F,'Running Log'!B:B,A5),"")</f>
        <v/>
      </c>
      <c r="K5" s="7">
        <f>IFERROR(AVERAGEIFS('Body Metrics'!C:C,'Body Metrics'!B:B,A5),"")</f>
        <v/>
      </c>
    </row>
    <row r="6">
      <c r="A6" s="6" t="n">
        <v>5</v>
      </c>
      <c r="B6" s="6">
        <f>TEXT(DATE(2026,4,27)+(A6-1)*7,"mmm d")&amp;" – "&amp;TEXT(DATE(2026,4,27)+A6*7-1,"mmm d")</f>
        <v/>
      </c>
      <c r="C6" s="6">
        <f>COUNTIFS('Lifting Log'!B:B,A6,'Lifting Log'!E:E,1)</f>
        <v/>
      </c>
      <c r="D6" s="6">
        <f>COUNTIFS('Lifting Log'!B:B,A6)</f>
        <v/>
      </c>
      <c r="E6" s="11">
        <f>SUMIFS('Lifting Log'!I:I,'Lifting Log'!B:B,A6)</f>
        <v/>
      </c>
      <c r="F6" s="7">
        <f>IFERROR(AVERAGEIFS('Lifting Log'!H:H,'Lifting Log'!B:B,A6),"")</f>
        <v/>
      </c>
      <c r="G6" s="6">
        <f>COUNTIFS('Running Log'!B:B,A6)</f>
        <v/>
      </c>
      <c r="H6" s="9">
        <f>SUMIFS('Running Log'!C:C,'Running Log'!B:B,A6)</f>
        <v/>
      </c>
      <c r="I6" s="8">
        <f>SUMIFS('Running Log'!D:D,'Running Log'!B:B,A6)</f>
        <v/>
      </c>
      <c r="J6" s="8">
        <f>IFERROR(AVERAGEIFS('Running Log'!F:F,'Running Log'!B:B,A6),"")</f>
        <v/>
      </c>
      <c r="K6" s="7">
        <f>IFERROR(AVERAGEIFS('Body Metrics'!C:C,'Body Metrics'!B:B,A6),"")</f>
        <v/>
      </c>
    </row>
    <row r="7">
      <c r="A7" s="6" t="n">
        <v>6</v>
      </c>
      <c r="B7" s="6">
        <f>TEXT(DATE(2026,4,27)+(A7-1)*7,"mmm d")&amp;" – "&amp;TEXT(DATE(2026,4,27)+A7*7-1,"mmm d")</f>
        <v/>
      </c>
      <c r="C7" s="6">
        <f>COUNTIFS('Lifting Log'!B:B,A7,'Lifting Log'!E:E,1)</f>
        <v/>
      </c>
      <c r="D7" s="6">
        <f>COUNTIFS('Lifting Log'!B:B,A7)</f>
        <v/>
      </c>
      <c r="E7" s="11">
        <f>SUMIFS('Lifting Log'!I:I,'Lifting Log'!B:B,A7)</f>
        <v/>
      </c>
      <c r="F7" s="7">
        <f>IFERROR(AVERAGEIFS('Lifting Log'!H:H,'Lifting Log'!B:B,A7),"")</f>
        <v/>
      </c>
      <c r="G7" s="6">
        <f>COUNTIFS('Running Log'!B:B,A7)</f>
        <v/>
      </c>
      <c r="H7" s="9">
        <f>SUMIFS('Running Log'!C:C,'Running Log'!B:B,A7)</f>
        <v/>
      </c>
      <c r="I7" s="8">
        <f>SUMIFS('Running Log'!D:D,'Running Log'!B:B,A7)</f>
        <v/>
      </c>
      <c r="J7" s="8">
        <f>IFERROR(AVERAGEIFS('Running Log'!F:F,'Running Log'!B:B,A7),"")</f>
        <v/>
      </c>
      <c r="K7" s="7">
        <f>IFERROR(AVERAGEIFS('Body Metrics'!C:C,'Body Metrics'!B:B,A7),"")</f>
        <v/>
      </c>
    </row>
    <row r="8">
      <c r="A8" s="6" t="n">
        <v>7</v>
      </c>
      <c r="B8" s="6">
        <f>TEXT(DATE(2026,4,27)+(A8-1)*7,"mmm d")&amp;" – "&amp;TEXT(DATE(2026,4,27)+A8*7-1,"mmm d")</f>
        <v/>
      </c>
      <c r="C8" s="6">
        <f>COUNTIFS('Lifting Log'!B:B,A8,'Lifting Log'!E:E,1)</f>
        <v/>
      </c>
      <c r="D8" s="6">
        <f>COUNTIFS('Lifting Log'!B:B,A8)</f>
        <v/>
      </c>
      <c r="E8" s="11">
        <f>SUMIFS('Lifting Log'!I:I,'Lifting Log'!B:B,A8)</f>
        <v/>
      </c>
      <c r="F8" s="7">
        <f>IFERROR(AVERAGEIFS('Lifting Log'!H:H,'Lifting Log'!B:B,A8),"")</f>
        <v/>
      </c>
      <c r="G8" s="6">
        <f>COUNTIFS('Running Log'!B:B,A8)</f>
        <v/>
      </c>
      <c r="H8" s="9">
        <f>SUMIFS('Running Log'!C:C,'Running Log'!B:B,A8)</f>
        <v/>
      </c>
      <c r="I8" s="8">
        <f>SUMIFS('Running Log'!D:D,'Running Log'!B:B,A8)</f>
        <v/>
      </c>
      <c r="J8" s="8">
        <f>IFERROR(AVERAGEIFS('Running Log'!F:F,'Running Log'!B:B,A8),"")</f>
        <v/>
      </c>
      <c r="K8" s="7">
        <f>IFERROR(AVERAGEIFS('Body Metrics'!C:C,'Body Metrics'!B:B,A8),"")</f>
        <v/>
      </c>
    </row>
    <row r="9">
      <c r="A9" s="6" t="n">
        <v>8</v>
      </c>
      <c r="B9" s="6">
        <f>TEXT(DATE(2026,4,27)+(A9-1)*7,"mmm d")&amp;" – "&amp;TEXT(DATE(2026,4,27)+A9*7-1,"mmm d")</f>
        <v/>
      </c>
      <c r="C9" s="6">
        <f>COUNTIFS('Lifting Log'!B:B,A9,'Lifting Log'!E:E,1)</f>
        <v/>
      </c>
      <c r="D9" s="6">
        <f>COUNTIFS('Lifting Log'!B:B,A9)</f>
        <v/>
      </c>
      <c r="E9" s="11">
        <f>SUMIFS('Lifting Log'!I:I,'Lifting Log'!B:B,A9)</f>
        <v/>
      </c>
      <c r="F9" s="7">
        <f>IFERROR(AVERAGEIFS('Lifting Log'!H:H,'Lifting Log'!B:B,A9),"")</f>
        <v/>
      </c>
      <c r="G9" s="6">
        <f>COUNTIFS('Running Log'!B:B,A9)</f>
        <v/>
      </c>
      <c r="H9" s="9">
        <f>SUMIFS('Running Log'!C:C,'Running Log'!B:B,A9)</f>
        <v/>
      </c>
      <c r="I9" s="8">
        <f>SUMIFS('Running Log'!D:D,'Running Log'!B:B,A9)</f>
        <v/>
      </c>
      <c r="J9" s="8">
        <f>IFERROR(AVERAGEIFS('Running Log'!F:F,'Running Log'!B:B,A9),"")</f>
        <v/>
      </c>
      <c r="K9" s="7">
        <f>IFERROR(AVERAGEIFS('Body Metrics'!C:C,'Body Metrics'!B:B,A9),"")</f>
        <v/>
      </c>
    </row>
    <row r="10">
      <c r="A10" s="6" t="n">
        <v>9</v>
      </c>
      <c r="B10" s="6">
        <f>TEXT(DATE(2026,4,27)+(A10-1)*7,"mmm d")&amp;" – "&amp;TEXT(DATE(2026,4,27)+A10*7-1,"mmm d")</f>
        <v/>
      </c>
      <c r="C10" s="6">
        <f>COUNTIFS('Lifting Log'!B:B,A10,'Lifting Log'!E:E,1)</f>
        <v/>
      </c>
      <c r="D10" s="6">
        <f>COUNTIFS('Lifting Log'!B:B,A10)</f>
        <v/>
      </c>
      <c r="E10" s="11">
        <f>SUMIFS('Lifting Log'!I:I,'Lifting Log'!B:B,A10)</f>
        <v/>
      </c>
      <c r="F10" s="7">
        <f>IFERROR(AVERAGEIFS('Lifting Log'!H:H,'Lifting Log'!B:B,A10),"")</f>
        <v/>
      </c>
      <c r="G10" s="6">
        <f>COUNTIFS('Running Log'!B:B,A10)</f>
        <v/>
      </c>
      <c r="H10" s="9">
        <f>SUMIFS('Running Log'!C:C,'Running Log'!B:B,A10)</f>
        <v/>
      </c>
      <c r="I10" s="8">
        <f>SUMIFS('Running Log'!D:D,'Running Log'!B:B,A10)</f>
        <v/>
      </c>
      <c r="J10" s="8">
        <f>IFERROR(AVERAGEIFS('Running Log'!F:F,'Running Log'!B:B,A10),"")</f>
        <v/>
      </c>
      <c r="K10" s="7">
        <f>IFERROR(AVERAGEIFS('Body Metrics'!C:C,'Body Metrics'!B:B,A10),"")</f>
        <v/>
      </c>
    </row>
    <row r="11">
      <c r="A11" s="6" t="n">
        <v>10</v>
      </c>
      <c r="B11" s="6">
        <f>TEXT(DATE(2026,4,27)+(A11-1)*7,"mmm d")&amp;" – "&amp;TEXT(DATE(2026,4,27)+A11*7-1,"mmm d")</f>
        <v/>
      </c>
      <c r="C11" s="6">
        <f>COUNTIFS('Lifting Log'!B:B,A11,'Lifting Log'!E:E,1)</f>
        <v/>
      </c>
      <c r="D11" s="6">
        <f>COUNTIFS('Lifting Log'!B:B,A11)</f>
        <v/>
      </c>
      <c r="E11" s="11">
        <f>SUMIFS('Lifting Log'!I:I,'Lifting Log'!B:B,A11)</f>
        <v/>
      </c>
      <c r="F11" s="7">
        <f>IFERROR(AVERAGEIFS('Lifting Log'!H:H,'Lifting Log'!B:B,A11),"")</f>
        <v/>
      </c>
      <c r="G11" s="6">
        <f>COUNTIFS('Running Log'!B:B,A11)</f>
        <v/>
      </c>
      <c r="H11" s="9">
        <f>SUMIFS('Running Log'!C:C,'Running Log'!B:B,A11)</f>
        <v/>
      </c>
      <c r="I11" s="8">
        <f>SUMIFS('Running Log'!D:D,'Running Log'!B:B,A11)</f>
        <v/>
      </c>
      <c r="J11" s="8">
        <f>IFERROR(AVERAGEIFS('Running Log'!F:F,'Running Log'!B:B,A11),"")</f>
        <v/>
      </c>
      <c r="K11" s="7">
        <f>IFERROR(AVERAGEIFS('Body Metrics'!C:C,'Body Metrics'!B:B,A11),"")</f>
        <v/>
      </c>
    </row>
    <row r="12">
      <c r="A12" s="6" t="n">
        <v>11</v>
      </c>
      <c r="B12" s="6">
        <f>TEXT(DATE(2026,4,27)+(A12-1)*7,"mmm d")&amp;" – "&amp;TEXT(DATE(2026,4,27)+A12*7-1,"mmm d")</f>
        <v/>
      </c>
      <c r="C12" s="6">
        <f>COUNTIFS('Lifting Log'!B:B,A12,'Lifting Log'!E:E,1)</f>
        <v/>
      </c>
      <c r="D12" s="6">
        <f>COUNTIFS('Lifting Log'!B:B,A12)</f>
        <v/>
      </c>
      <c r="E12" s="11">
        <f>SUMIFS('Lifting Log'!I:I,'Lifting Log'!B:B,A12)</f>
        <v/>
      </c>
      <c r="F12" s="7">
        <f>IFERROR(AVERAGEIFS('Lifting Log'!H:H,'Lifting Log'!B:B,A12),"")</f>
        <v/>
      </c>
      <c r="G12" s="6">
        <f>COUNTIFS('Running Log'!B:B,A12)</f>
        <v/>
      </c>
      <c r="H12" s="9">
        <f>SUMIFS('Running Log'!C:C,'Running Log'!B:B,A12)</f>
        <v/>
      </c>
      <c r="I12" s="8">
        <f>SUMIFS('Running Log'!D:D,'Running Log'!B:B,A12)</f>
        <v/>
      </c>
      <c r="J12" s="8">
        <f>IFERROR(AVERAGEIFS('Running Log'!F:F,'Running Log'!B:B,A12),"")</f>
        <v/>
      </c>
      <c r="K12" s="7">
        <f>IFERROR(AVERAGEIFS('Body Metrics'!C:C,'Body Metrics'!B:B,A12),"")</f>
        <v/>
      </c>
    </row>
    <row r="14">
      <c r="A14" s="12" t="inlineStr">
        <is>
          <t>TOTAL</t>
        </is>
      </c>
      <c r="B14" s="12" t="inlineStr">
        <is>
          <t>11 weeks</t>
        </is>
      </c>
      <c r="C14" s="12">
        <f>SUM(C2:C12)</f>
        <v/>
      </c>
      <c r="D14" s="12">
        <f>SUM(D2:D12)</f>
        <v/>
      </c>
      <c r="E14" s="13">
        <f>SUM(E2:E12)</f>
        <v/>
      </c>
      <c r="F14" s="14">
        <f>IFERROR(AVERAGE(F2:F12),"")</f>
        <v/>
      </c>
      <c r="G14" s="12">
        <f>SUM(G2:G12)</f>
        <v/>
      </c>
      <c r="H14" s="15">
        <f>SUM(H2:H12)</f>
        <v/>
      </c>
      <c r="I14" s="16">
        <f>SUM(I2:I12)</f>
        <v/>
      </c>
      <c r="J14" s="16">
        <f>IFERROR(AVERAGE(J2:J12),"")</f>
        <v/>
      </c>
      <c r="K14" s="14">
        <f>IFERROR(AVERAGE(K2:K12),"")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3"/>
  <sheetViews>
    <sheetView workbookViewId="0">
      <selection activeCell="A1" sqref="A1"/>
    </sheetView>
  </sheetViews>
  <sheetFormatPr baseColWidth="8" defaultRowHeight="15"/>
  <cols>
    <col width="25" customWidth="1" min="1" max="1"/>
    <col width="30" customWidth="1" min="2" max="2"/>
    <col width="30" customWidth="1" min="3" max="3"/>
    <col width="30" customWidth="1" min="4" max="4"/>
  </cols>
  <sheetData>
    <row r="1">
      <c r="A1" s="17" t="inlineStr">
        <is>
          <t>Reference Data</t>
        </is>
      </c>
    </row>
    <row r="3">
      <c r="A3" s="18" t="inlineStr">
        <is>
          <t>HR Zones</t>
        </is>
      </c>
    </row>
    <row r="4">
      <c r="A4" s="19" t="inlineStr">
        <is>
          <t>Zone</t>
        </is>
      </c>
      <c r="B4" s="19" t="inlineStr">
        <is>
          <t>BPM</t>
        </is>
      </c>
      <c r="C4" s="19" t="inlineStr">
        <is>
          <t>Use</t>
        </is>
      </c>
      <c r="D4" s="19" t="inlineStr"/>
    </row>
    <row r="5">
      <c r="A5" s="6" t="inlineStr">
        <is>
          <t>Z1 — Warm-up</t>
        </is>
      </c>
      <c r="B5" s="6" t="inlineStr">
        <is>
          <t>100–119</t>
        </is>
      </c>
      <c r="C5" s="6" t="inlineStr">
        <is>
          <t>Warm-up only</t>
        </is>
      </c>
      <c r="D5" s="6" t="inlineStr"/>
    </row>
    <row r="6">
      <c r="A6" s="6" t="inlineStr">
        <is>
          <t>Z2 — Easy</t>
        </is>
      </c>
      <c r="B6" s="6" t="inlineStr">
        <is>
          <t>120–139</t>
        </is>
      </c>
      <c r="C6" s="6" t="inlineStr">
        <is>
          <t>Easy runs, recovery</t>
        </is>
      </c>
      <c r="D6" s="6" t="inlineStr"/>
    </row>
    <row r="7">
      <c r="A7" s="6" t="inlineStr">
        <is>
          <t>Z3 — Aerobic</t>
        </is>
      </c>
      <c r="B7" s="6" t="inlineStr">
        <is>
          <t>140–159</t>
        </is>
      </c>
      <c r="C7" s="6" t="inlineStr">
        <is>
          <t>Steady running</t>
        </is>
      </c>
      <c r="D7" s="6" t="inlineStr"/>
    </row>
    <row r="8">
      <c r="A8" s="6" t="inlineStr">
        <is>
          <t>Z4 — Threshold</t>
        </is>
      </c>
      <c r="B8" s="6" t="inlineStr">
        <is>
          <t>160–179</t>
        </is>
      </c>
      <c r="C8" s="6" t="inlineStr">
        <is>
          <t>Tempo/threshold reps</t>
        </is>
      </c>
      <c r="D8" s="6" t="inlineStr"/>
    </row>
    <row r="9">
      <c r="A9" s="6" t="inlineStr">
        <is>
          <t>Z5 — Maximum</t>
        </is>
      </c>
      <c r="B9" s="6" t="inlineStr">
        <is>
          <t>&gt;179</t>
        </is>
      </c>
      <c r="C9" s="6" t="inlineStr">
        <is>
          <t>Short hard intervals</t>
        </is>
      </c>
      <c r="D9" s="6" t="inlineStr"/>
    </row>
    <row r="11">
      <c r="A11" s="18" t="inlineStr">
        <is>
          <t>Pacing Zones (Outdoor)</t>
        </is>
      </c>
    </row>
    <row r="12">
      <c r="A12" s="19" t="inlineStr">
        <is>
          <t>Zone</t>
        </is>
      </c>
      <c r="B12" s="19" t="inlineStr">
        <is>
          <t>Pace/km</t>
        </is>
      </c>
      <c r="C12" s="19" t="inlineStr">
        <is>
          <t>Speed (km/h)</t>
        </is>
      </c>
      <c r="D12" s="19" t="inlineStr">
        <is>
          <t>Use</t>
        </is>
      </c>
    </row>
    <row r="13">
      <c r="A13" s="6" t="inlineStr">
        <is>
          <t>🟢 Easy</t>
        </is>
      </c>
      <c r="B13" s="6" t="inlineStr">
        <is>
          <t>6:30–7:00</t>
        </is>
      </c>
      <c r="C13" s="6" t="inlineStr">
        <is>
          <t>8.6–9.2</t>
        </is>
      </c>
      <c r="D13" s="6" t="inlineStr">
        <is>
          <t>Wed + Sat runs</t>
        </is>
      </c>
    </row>
    <row r="14">
      <c r="A14" s="6" t="inlineStr">
        <is>
          <t>🟡 Steady</t>
        </is>
      </c>
      <c r="B14" s="6" t="inlineStr">
        <is>
          <t>6:00–6:30</t>
        </is>
      </c>
      <c r="C14" s="6" t="inlineStr">
        <is>
          <t>9.2–10.0</t>
        </is>
      </c>
      <c r="D14" s="6" t="inlineStr">
        <is>
          <t>Slight progression</t>
        </is>
      </c>
    </row>
    <row r="15">
      <c r="A15" s="6" t="inlineStr">
        <is>
          <t>🟠 Pickup</t>
        </is>
      </c>
      <c r="B15" s="6" t="inlineStr">
        <is>
          <t>5:30–5:50</t>
        </is>
      </c>
      <c r="C15" s="6" t="inlineStr">
        <is>
          <t>10.3–10.9</t>
        </is>
      </c>
      <c r="D15" s="6" t="inlineStr">
        <is>
          <t>Wks 6–7 only</t>
        </is>
      </c>
    </row>
    <row r="17">
      <c r="A17" s="18" t="inlineStr">
        <is>
          <t>Weekly Schedule</t>
        </is>
      </c>
    </row>
    <row r="18">
      <c r="A18" s="19" t="inlineStr">
        <is>
          <t>Day</t>
        </is>
      </c>
      <c r="B18" s="19" t="inlineStr">
        <is>
          <t>Session</t>
        </is>
      </c>
    </row>
    <row r="19">
      <c r="A19" s="6" t="inlineStr">
        <is>
          <t>Monday</t>
        </is>
      </c>
      <c r="B19" s="6" t="inlineStr">
        <is>
          <t>Upper A</t>
        </is>
      </c>
    </row>
    <row r="20">
      <c r="A20" s="6" t="inlineStr">
        <is>
          <t>Tuesday</t>
        </is>
      </c>
      <c r="B20" s="6" t="inlineStr">
        <is>
          <t>Lower A</t>
        </is>
      </c>
    </row>
    <row r="21">
      <c r="A21" s="6" t="inlineStr">
        <is>
          <t>Wednesday</t>
        </is>
      </c>
      <c r="B21" s="6" t="inlineStr">
        <is>
          <t>Easy run</t>
        </is>
      </c>
    </row>
    <row r="22">
      <c r="A22" s="6" t="inlineStr">
        <is>
          <t>Thursday</t>
        </is>
      </c>
      <c r="B22" s="6" t="inlineStr">
        <is>
          <t>Upper B</t>
        </is>
      </c>
    </row>
    <row r="23">
      <c r="A23" s="6" t="inlineStr">
        <is>
          <t>Friday</t>
        </is>
      </c>
      <c r="B23" s="6" t="inlineStr">
        <is>
          <t>Lower B</t>
        </is>
      </c>
    </row>
    <row r="24">
      <c r="A24" s="6" t="inlineStr">
        <is>
          <t>Saturday</t>
        </is>
      </c>
      <c r="B24" s="6" t="inlineStr">
        <is>
          <t>Easy run (slightly longer)</t>
        </is>
      </c>
    </row>
    <row r="25">
      <c r="A25" s="6" t="inlineStr">
        <is>
          <t>Sunday</t>
        </is>
      </c>
      <c r="B25" s="6" t="inlineStr">
        <is>
          <t>Rest</t>
        </is>
      </c>
    </row>
    <row r="27">
      <c r="A27" s="18" t="inlineStr">
        <is>
          <t>RPE Reference</t>
        </is>
      </c>
    </row>
    <row r="28">
      <c r="A28" s="19" t="inlineStr">
        <is>
          <t>RPE</t>
        </is>
      </c>
      <c r="B28" s="19" t="inlineStr">
        <is>
          <t>Reps in Reserve</t>
        </is>
      </c>
      <c r="C28" s="19" t="inlineStr">
        <is>
          <t>When to use</t>
        </is>
      </c>
    </row>
    <row r="29">
      <c r="A29" s="6" t="inlineStr">
        <is>
          <t>6</t>
        </is>
      </c>
      <c r="B29" s="6" t="inlineStr">
        <is>
          <t>4 reps left</t>
        </is>
      </c>
      <c r="C29" s="6" t="inlineStr">
        <is>
          <t>Warm-up sets</t>
        </is>
      </c>
    </row>
    <row r="30">
      <c r="A30" s="6" t="inlineStr">
        <is>
          <t>7</t>
        </is>
      </c>
      <c r="B30" s="6" t="inlineStr">
        <is>
          <t>3 reps left</t>
        </is>
      </c>
      <c r="C30" s="6" t="inlineStr">
        <is>
          <t>Early working sets, accumulation</t>
        </is>
      </c>
    </row>
    <row r="31">
      <c r="A31" s="6" t="inlineStr">
        <is>
          <t>8</t>
        </is>
      </c>
      <c r="B31" s="6" t="inlineStr">
        <is>
          <t>2 reps left</t>
        </is>
      </c>
      <c r="C31" s="6" t="inlineStr">
        <is>
          <t>Top working sets — most of the block</t>
        </is>
      </c>
    </row>
    <row r="32">
      <c r="A32" s="6" t="inlineStr">
        <is>
          <t>9</t>
        </is>
      </c>
      <c r="B32" s="6" t="inlineStr">
        <is>
          <t>1 rep left</t>
        </is>
      </c>
      <c r="C32" s="6" t="inlineStr">
        <is>
          <t>Peak weeks, isolation movements</t>
        </is>
      </c>
    </row>
    <row r="33">
      <c r="A33" s="6" t="inlineStr">
        <is>
          <t>10</t>
        </is>
      </c>
      <c r="B33" s="6" t="inlineStr">
        <is>
          <t>Failure</t>
        </is>
      </c>
      <c r="C33" s="6" t="inlineStr">
        <is>
          <t>Isolation only — never on compounds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2026-04-28T12:45:28Z</dcterms:created>
  <dcterms:modified xsi:type="dcterms:W3CDTF">2026-04-29T20:27:38Z</dcterms:modified>
</cp:coreProperties>
</file>