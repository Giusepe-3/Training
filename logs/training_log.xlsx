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harts" sheetId="2" state="visible" r:id="rId2"/>
    <sheet name="Lifting Log" sheetId="3" state="visible" r:id="rId3"/>
    <sheet name="Running Log" sheetId="4" state="visible" r:id="rId4"/>
    <sheet name="Body Metrics" sheetId="5" state="visible" r:id="rId5"/>
    <sheet name="Personal Records" sheetId="6" state="visible" r:id="rId6"/>
    <sheet name="Weekly Summary" sheetId="7" state="visible" r:id="rId7"/>
    <sheet name="Progression Data" sheetId="8" state="visible" r:id="rId8"/>
    <sheet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e1RM (kg) by Week — priority lifts</a:t>
            </a:r>
          </a:p>
        </rich>
      </tx>
    </title>
    <plotArea>
      <lineChart>
        <grouping val="standard"/>
        <ser>
          <idx val="0"/>
          <order val="0"/>
          <tx>
            <strRef>
              <f>'Progression Data'!C1</f>
            </strRef>
          </tx>
          <spPr>
            <a:ln>
              <a:prstDash val="solid"/>
            </a:ln>
          </spPr>
          <marker>
            <symbol val="circle"/>
            <size val="6"/>
            <spPr>
              <a:ln>
                <a:prstDash val="solid"/>
              </a:ln>
            </spPr>
          </marker>
          <cat>
            <numRef>
              <f>'Progression Data'!$A$2:$A$12</f>
            </numRef>
          </cat>
          <val>
            <numRef>
              <f>'Progression Data'!$C$2:$C$12</f>
            </numRef>
          </val>
          <smooth val="0"/>
        </ser>
        <ser>
          <idx val="1"/>
          <order val="1"/>
          <tx>
            <strRef>
              <f>'Progression Data'!D1</f>
            </strRef>
          </tx>
          <spPr>
            <a:ln>
              <a:prstDash val="solid"/>
            </a:ln>
          </spPr>
          <marker>
            <symbol val="circle"/>
            <size val="6"/>
            <spPr>
              <a:ln>
                <a:prstDash val="solid"/>
              </a:ln>
            </spPr>
          </marker>
          <cat>
            <numRef>
              <f>'Progression Data'!$A$2:$A$12</f>
            </numRef>
          </cat>
          <val>
            <numRef>
              <f>'Progression Data'!$D$2:$D$12</f>
            </numRef>
          </val>
          <smooth val="0"/>
        </ser>
        <ser>
          <idx val="2"/>
          <order val="2"/>
          <tx>
            <strRef>
              <f>'Progression Data'!E1</f>
            </strRef>
          </tx>
          <spPr>
            <a:ln>
              <a:prstDash val="solid"/>
            </a:ln>
          </spPr>
          <marker>
            <symbol val="circle"/>
            <size val="6"/>
            <spPr>
              <a:ln>
                <a:prstDash val="solid"/>
              </a:ln>
            </spPr>
          </marker>
          <cat>
            <numRef>
              <f>'Progression Data'!$A$2:$A$12</f>
            </numRef>
          </cat>
          <val>
            <numRef>
              <f>'Progression Data'!$E$2:$E$12</f>
            </numRef>
          </val>
          <smooth val="0"/>
        </ser>
        <ser>
          <idx val="3"/>
          <order val="3"/>
          <tx>
            <strRef>
              <f>'Progression Data'!F1</f>
            </strRef>
          </tx>
          <spPr>
            <a:ln>
              <a:prstDash val="solid"/>
            </a:ln>
          </spPr>
          <marker>
            <symbol val="circle"/>
            <size val="6"/>
            <spPr>
              <a:ln>
                <a:prstDash val="solid"/>
              </a:ln>
            </spPr>
          </marker>
          <cat>
            <numRef>
              <f>'Progression Data'!$A$2:$A$12</f>
            </numRef>
          </cat>
          <val>
            <numRef>
              <f>'Progression Data'!$F$2:$F$12</f>
            </numRef>
          </val>
          <smooth val="0"/>
        </ser>
        <ser>
          <idx val="4"/>
          <order val="4"/>
          <tx>
            <strRef>
              <f>'Progression Data'!G1</f>
            </strRef>
          </tx>
          <spPr>
            <a:ln>
              <a:prstDash val="solid"/>
            </a:ln>
          </spPr>
          <marker>
            <symbol val="circle"/>
            <size val="6"/>
            <spPr>
              <a:ln>
                <a:prstDash val="solid"/>
              </a:ln>
            </spPr>
          </marker>
          <cat>
            <numRef>
              <f>'Progression Data'!$A$2:$A$12</f>
            </numRef>
          </cat>
          <val>
            <numRef>
              <f>'Progression Data'!$G$2:$G$12</f>
            </numRef>
          </val>
          <smooth val="0"/>
        </ser>
        <ser>
          <idx val="5"/>
          <order val="5"/>
          <tx>
            <strRef>
              <f>'Progression Data'!H1</f>
            </strRef>
          </tx>
          <spPr>
            <a:ln>
              <a:prstDash val="solid"/>
            </a:ln>
          </spPr>
          <marker>
            <symbol val="circle"/>
            <size val="6"/>
            <spPr>
              <a:ln>
                <a:prstDash val="solid"/>
              </a:ln>
            </spPr>
          </marker>
          <cat>
            <numRef>
              <f>'Progression Data'!$A$2:$A$12</f>
            </numRef>
          </cat>
          <val>
            <numRef>
              <f>'Progression Data'!$H$2:$H$12</f>
            </numRef>
          </val>
          <smooth val="0"/>
        </ser>
        <ser>
          <idx val="6"/>
          <order val="6"/>
          <tx>
            <strRef>
              <f>'Progression Data'!I1</f>
            </strRef>
          </tx>
          <spPr>
            <a:ln>
              <a:prstDash val="solid"/>
            </a:ln>
          </spPr>
          <marker>
            <symbol val="circle"/>
            <size val="6"/>
            <spPr>
              <a:ln>
                <a:prstDash val="solid"/>
              </a:ln>
            </spPr>
          </marker>
          <cat>
            <numRef>
              <f>'Progression Data'!$A$2:$A$12</f>
            </numRef>
          </cat>
          <val>
            <numRef>
              <f>'Progression Data'!$I$2:$I$12</f>
            </numRef>
          </val>
          <smooth val="0"/>
        </ser>
        <ser>
          <idx val="7"/>
          <order val="7"/>
          <tx>
            <strRef>
              <f>'Progression Data'!J1</f>
            </strRef>
          </tx>
          <spPr>
            <a:ln>
              <a:prstDash val="solid"/>
            </a:ln>
          </spPr>
          <marker>
            <symbol val="circle"/>
            <size val="6"/>
            <spPr>
              <a:ln>
                <a:prstDash val="solid"/>
              </a:ln>
            </spPr>
          </marker>
          <cat>
            <numRef>
              <f>'Progression Data'!$A$2:$A$12</f>
            </numRef>
          </cat>
          <val>
            <numRef>
              <f>'Progression Data'!$J$2:$J$12</f>
            </numRef>
          </val>
          <smooth val="0"/>
        </ser>
        <axId val="10"/>
        <axId val="100"/>
      </lineChart>
      <catAx>
        <axId val="10"/>
        <scaling>
          <orientation val="minMax"/>
        </scaling>
        <axPos val="l"/>
        <title>
          <tx>
            <rich>
              <a:bodyPr/>
              <a:p>
                <a:pPr>
                  <a:defRPr/>
                </a:pPr>
                <a:r>
                  <a:t>Block week</a:t>
                </a:r>
              </a:p>
            </rich>
          </tx>
        </title>
        <majorTickMark val="none"/>
        <minorTickMark val="none"/>
        <crossAx val="100"/>
        <lblOffset val="100"/>
      </catAx>
      <valAx>
        <axId val="100"/>
        <scaling>
          <orientation val="minMax"/>
        </scaling>
        <axPos val="l"/>
        <title>
          <tx>
            <rich>
              <a:bodyPr/>
              <a:p>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Total Lifting Volume (kg) by Week</a:t>
            </a:r>
          </a:p>
        </rich>
      </tx>
    </title>
    <plotArea>
      <barChart>
        <barDir val="col"/>
        <grouping val="clustered"/>
        <ser>
          <idx val="0"/>
          <order val="0"/>
          <tx>
            <strRef>
              <f>'Weekly Summary'!E1</f>
            </strRef>
          </tx>
          <spPr>
            <a:l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a:p>
                <a:pPr>
                  <a:defRPr/>
                </a:pPr>
                <a:r>
                  <a:t>Block week</a:t>
                </a:r>
              </a:p>
            </rich>
          </tx>
        </title>
        <majorTickMark val="none"/>
        <minorTickMark val="none"/>
        <crossAx val="100"/>
        <lblOffset val="100"/>
      </catAx>
      <valAx>
        <axId val="100"/>
        <scaling>
          <orientation val="minMax"/>
        </scaling>
        <axPos val="l"/>
        <majorGridlines/>
        <title>
          <tx>
            <rich>
              <a:bodyPr/>
              <a:p>
                <a:pPr>
                  <a:defRPr/>
                </a:pPr>
                <a:r>
                  <a:t>Volume (kg)</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Avg Session RPE by Week</a:t>
            </a:r>
          </a:p>
        </rich>
      </tx>
    </title>
    <plotArea>
      <lineChart>
        <grouping val="standard"/>
        <ser>
          <idx val="0"/>
          <order val="0"/>
          <tx>
            <strRef>
              <f>'Weekly Summary'!F1</f>
            </strRef>
          </tx>
          <spPr>
            <a:ln>
              <a:prstDash val="solid"/>
            </a:ln>
          </spPr>
          <marker>
            <symbol val="circle"/>
            <size val="6"/>
            <spPr>
              <a:ln>
                <a:prstDash val="solid"/>
              </a:ln>
            </spPr>
          </marker>
          <cat>
            <numRef>
              <f>'Weekly Summary'!$A$2:$A$12</f>
            </numRef>
          </cat>
          <val>
            <numRef>
              <f>'Weekly Summary'!$F$2:$F$12</f>
            </numRef>
          </val>
        </ser>
        <axId val="10"/>
        <axId val="100"/>
      </lineChart>
      <catAx>
        <axId val="10"/>
        <scaling>
          <orientation val="minMax"/>
        </scaling>
        <axPos val="l"/>
        <title>
          <tx>
            <rich>
              <a:bodyPr/>
              <a:p>
                <a:pPr>
                  <a:defRPr/>
                </a:pPr>
                <a:r>
                  <a:t>Block week</a:t>
                </a:r>
              </a:p>
            </rich>
          </tx>
        </title>
        <majorTickMark val="none"/>
        <minorTickMark val="none"/>
        <crossAx val="100"/>
        <lblOffset val="100"/>
      </catAx>
      <valAx>
        <axId val="100"/>
        <scaling>
          <orientation val="minMax"/>
          <max val="10"/>
          <min val="5"/>
        </scaling>
        <axPos val="l"/>
        <title>
          <tx>
            <rich>
              <a:bodyPr/>
              <a:p>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Body Weight (kg) over time</a:t>
            </a:r>
          </a:p>
        </rich>
      </tx>
    </title>
    <plotArea>
      <lineChart>
        <grouping val="standard"/>
        <ser>
          <idx val="0"/>
          <order val="0"/>
          <tx>
            <strRef>
              <f>'Body Metrics'!C1</f>
            </strRef>
          </tx>
          <spPr>
            <a:ln>
              <a:prstDash val="solid"/>
            </a:ln>
          </spPr>
          <marker>
            <symbol val="circle"/>
            <size val="6"/>
            <spPr>
              <a:l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a:p>
                <a:pPr>
                  <a:defRPr/>
                </a:pPr>
                <a:r>
                  <a:t>Date</a:t>
                </a:r>
              </a:p>
            </rich>
          </tx>
        </title>
        <numFmt formatCode="mmm d" sourceLinked="0"/>
        <majorTickMark val="none"/>
        <minorTickMark val="none"/>
        <crossAx val="100"/>
        <majorTimeUnit val="days"/>
      </dateAx>
      <valAx>
        <axId val="100"/>
        <scaling>
          <orientation val="minMax"/>
        </scaling>
        <axPos val="l"/>
        <title>
          <tx>
            <rich>
              <a:bodyPr/>
              <a:p>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Working Sets by Week</a:t>
            </a:r>
          </a:p>
        </rich>
      </tx>
    </title>
    <plotArea>
      <barChart>
        <barDir val="col"/>
        <grouping val="clustered"/>
        <ser>
          <idx val="0"/>
          <order val="0"/>
          <tx>
            <strRef>
              <f>'Weekly Summary'!D1</f>
            </strRef>
          </tx>
          <spPr>
            <a:l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a:p>
                <a:pPr>
                  <a:defRPr/>
                </a:pPr>
                <a:r>
                  <a:t>Block week</a:t>
                </a:r>
              </a:p>
            </rich>
          </tx>
        </title>
        <majorTickMark val="none"/>
        <minorTickMark val="none"/>
        <crossAx val="100"/>
        <lblOffset val="100"/>
      </catAx>
      <valAx>
        <axId val="100"/>
        <scaling>
          <orientation val="minMax"/>
        </scaling>
        <axPos val="l"/>
        <majorGridlines/>
        <title>
          <tx>
            <rich>
              <a:bodyPr/>
              <a:p>
                <a:pPr>
                  <a:defRPr/>
                </a:pPr>
                <a:r>
                  <a:t>Sets</a:t>
                </a:r>
              </a:p>
            </rich>
          </tx>
        </title>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Run Distance (km) by Week</a:t>
            </a:r>
          </a:p>
        </rich>
      </tx>
    </title>
    <plotArea>
      <barChart>
        <barDir val="col"/>
        <grouping val="clustered"/>
        <ser>
          <idx val="0"/>
          <order val="0"/>
          <tx>
            <strRef>
              <f>'Weekly Summary'!H1</f>
            </strRef>
          </tx>
          <spPr>
            <a:l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a:p>
                <a:pPr>
                  <a:defRPr/>
                </a:pPr>
                <a:r>
                  <a:t>Block week</a:t>
                </a:r>
              </a:p>
            </rich>
          </tx>
        </title>
        <majorTickMark val="none"/>
        <minorTickMark val="none"/>
        <crossAx val="100"/>
        <lblOffset val="100"/>
      </catAx>
      <valAx>
        <axId val="100"/>
        <scaling>
          <orientation val="minMax"/>
        </scaling>
        <axPos val="l"/>
        <majorGridlines/>
        <title>
          <tx>
            <rich>
              <a:bodyPr/>
              <a:p>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40</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63</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oneCellAnchor>
    <from>
      <col>1</col>
      <colOff>0</colOff>
      <row>86</row>
      <rowOff>0</rowOff>
    </from>
    <ext cx="864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109</row>
      <rowOff>0</rowOff>
    </from>
    <ext cx="8640000" cy="396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132</row>
      <rowOff>0</rowOff>
    </from>
    <ext cx="8640000" cy="3960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7" t="n">
        <v>46310</v>
      </c>
      <c r="B504" s="22">
        <f>IF(A504="","",IFERROR(INT((A504-DATE(2026,4,27))/7)+1,""))</f>
        <v/>
      </c>
      <c r="C504" s="22" t="inlineStr">
        <is>
          <t>Gym Full Body</t>
        </is>
      </c>
      <c r="D504" s="23" t="inlineStr">
        <is>
          <t>Bench Press</t>
        </is>
      </c>
      <c r="E504" s="22" t="n">
        <v>1</v>
      </c>
      <c r="F504" s="22" t="n">
        <v>8</v>
      </c>
      <c r="G504" s="38" t="n">
        <v>25</v>
      </c>
      <c r="H504" s="22" t="n">
        <v>6</v>
      </c>
      <c r="I504" s="25">
        <f>IF(OR(F504="",G504=""),"",F504*G504)</f>
        <v/>
      </c>
      <c r="J504" s="38">
        <f>IF(OR(F504="",G504=""),"",ROUND(G504*(1+F504/30),1))</f>
        <v/>
      </c>
      <c r="K504" s="26" t="inlineStr">
        <is>
          <t>Gym #2. 3 of 4 sets. Hold 25 4x8.</t>
        </is>
      </c>
    </row>
    <row r="505" ht="18" customHeight="1">
      <c r="A505" s="37" t="n">
        <v>46310</v>
      </c>
      <c r="B505" s="22">
        <f>IF(A505="","",IFERROR(INT((A505-DATE(2026,4,27))/7)+1,""))</f>
        <v/>
      </c>
      <c r="C505" s="22" t="inlineStr">
        <is>
          <t>Gym Full Body</t>
        </is>
      </c>
      <c r="D505" s="23" t="inlineStr">
        <is>
          <t>Bench Press</t>
        </is>
      </c>
      <c r="E505" s="22" t="n">
        <v>2</v>
      </c>
      <c r="F505" s="22" t="n">
        <v>8</v>
      </c>
      <c r="G505" s="38" t="n">
        <v>25</v>
      </c>
      <c r="H505" s="22" t="n">
        <v>7</v>
      </c>
      <c r="I505" s="25">
        <f>IF(OR(F505="",G505=""),"",F505*G505)</f>
        <v/>
      </c>
      <c r="J505" s="38">
        <f>IF(OR(F505="",G505=""),"",ROUND(G505*(1+F505/30),1))</f>
        <v/>
      </c>
      <c r="K505" s="26" t="n"/>
    </row>
    <row r="506" ht="18" customHeight="1">
      <c r="A506" s="37" t="n">
        <v>46310</v>
      </c>
      <c r="B506" s="22">
        <f>IF(A506="","",IFERROR(INT((A506-DATE(2026,4,27))/7)+1,""))</f>
        <v/>
      </c>
      <c r="C506" s="22" t="inlineStr">
        <is>
          <t>Gym Full Body</t>
        </is>
      </c>
      <c r="D506" s="23" t="inlineStr">
        <is>
          <t>Bench Press</t>
        </is>
      </c>
      <c r="E506" s="22" t="n">
        <v>3</v>
      </c>
      <c r="F506" s="22" t="n">
        <v>8</v>
      </c>
      <c r="G506" s="38" t="n">
        <v>25</v>
      </c>
      <c r="H506" s="22" t="n">
        <v>7</v>
      </c>
      <c r="I506" s="25">
        <f>IF(OR(F506="",G506=""),"",F506*G506)</f>
        <v/>
      </c>
      <c r="J506" s="38">
        <f>IF(OR(F506="",G506=""),"",ROUND(G506*(1+F506/30),1))</f>
        <v/>
      </c>
      <c r="K506" s="26" t="n"/>
    </row>
    <row r="507" ht="18" customHeight="1">
      <c r="A507" s="37" t="n">
        <v>46310</v>
      </c>
      <c r="B507" s="22">
        <f>IF(A507="","",IFERROR(INT((A507-DATE(2026,4,27))/7)+1,""))</f>
        <v/>
      </c>
      <c r="C507" s="22" t="inlineStr">
        <is>
          <t>Gym Full Body</t>
        </is>
      </c>
      <c r="D507" s="23" t="inlineStr">
        <is>
          <t>Incline DB Press</t>
        </is>
      </c>
      <c r="E507" s="22" t="n">
        <v>1</v>
      </c>
      <c r="F507" s="22" t="n">
        <v>10</v>
      </c>
      <c r="G507" s="38" t="n">
        <v>6</v>
      </c>
      <c r="H507" s="22" t="n">
        <v>7</v>
      </c>
      <c r="I507" s="25">
        <f>IF(OR(F507="",G507=""),"",F507*G507)</f>
        <v/>
      </c>
      <c r="J507" s="38">
        <f>IF(OR(F507="",G507=""),"",ROUND(G507*(1+F507/30),1))</f>
        <v/>
      </c>
      <c r="K507" s="26" t="inlineStr">
        <is>
          <t>6/DB. 2 of 3 sets. Hold 3x10.</t>
        </is>
      </c>
    </row>
    <row r="508" ht="18" customHeight="1">
      <c r="A508" s="37" t="n">
        <v>46310</v>
      </c>
      <c r="B508" s="22">
        <f>IF(A508="","",IFERROR(INT((A508-DATE(2026,4,27))/7)+1,""))</f>
        <v/>
      </c>
      <c r="C508" s="22" t="inlineStr">
        <is>
          <t>Gym Full Body</t>
        </is>
      </c>
      <c r="D508" s="23" t="inlineStr">
        <is>
          <t>Incline DB Press</t>
        </is>
      </c>
      <c r="E508" s="22" t="n">
        <v>2</v>
      </c>
      <c r="F508" s="22" t="n">
        <v>10</v>
      </c>
      <c r="G508" s="38" t="n">
        <v>6</v>
      </c>
      <c r="H508" s="22" t="n">
        <v>7</v>
      </c>
      <c r="I508" s="25">
        <f>IF(OR(F508="",G508=""),"",F508*G508)</f>
        <v/>
      </c>
      <c r="J508" s="38">
        <f>IF(OR(F508="",G508=""),"",ROUND(G508*(1+F508/30),1))</f>
        <v/>
      </c>
      <c r="K508" s="26" t="n"/>
    </row>
    <row r="509" ht="18" customHeight="1">
      <c r="A509" s="37" t="n">
        <v>46310</v>
      </c>
      <c r="B509" s="22">
        <f>IF(A509="","",IFERROR(INT((A509-DATE(2026,4,27))/7)+1,""))</f>
        <v/>
      </c>
      <c r="C509" s="22" t="inlineStr">
        <is>
          <t>Gym Full Body</t>
        </is>
      </c>
      <c r="D509" s="23" t="inlineStr">
        <is>
          <t>Leg Extension</t>
        </is>
      </c>
      <c r="E509" s="22" t="n">
        <v>1</v>
      </c>
      <c r="F509" s="22" t="n">
        <v>10</v>
      </c>
      <c r="G509" s="38" t="n">
        <v>15</v>
      </c>
      <c r="H509" s="22" t="n">
        <v>6</v>
      </c>
      <c r="I509" s="25">
        <f>IF(OR(F509="",G509=""),"",F509*G509)</f>
        <v/>
      </c>
      <c r="J509" s="38">
        <f>IF(OR(F509="",G509=""),"",ROUND(G509*(1+F509/30),1))</f>
        <v/>
      </c>
      <c r="K509" s="26" t="inlineStr">
        <is>
          <t>Above seed 12.5, legs cap RPE 6. Hold.</t>
        </is>
      </c>
    </row>
    <row r="510" ht="18" customHeight="1">
      <c r="A510" s="37" t="n">
        <v>46310</v>
      </c>
      <c r="B510" s="22">
        <f>IF(A510="","",IFERROR(INT((A510-DATE(2026,4,27))/7)+1,""))</f>
        <v/>
      </c>
      <c r="C510" s="22" t="inlineStr">
        <is>
          <t>Gym Full Body</t>
        </is>
      </c>
      <c r="D510" s="23" t="inlineStr">
        <is>
          <t>Leg Extension</t>
        </is>
      </c>
      <c r="E510" s="22" t="n">
        <v>2</v>
      </c>
      <c r="F510" s="22" t="n">
        <v>10</v>
      </c>
      <c r="G510" s="38" t="n">
        <v>15</v>
      </c>
      <c r="H510" s="22" t="n">
        <v>6</v>
      </c>
      <c r="I510" s="25">
        <f>IF(OR(F510="",G510=""),"",F510*G510)</f>
        <v/>
      </c>
      <c r="J510" s="38">
        <f>IF(OR(F510="",G510=""),"",ROUND(G510*(1+F510/30),1))</f>
        <v/>
      </c>
      <c r="K510" s="26" t="n"/>
    </row>
    <row r="511" ht="18" customHeight="1">
      <c r="A511" s="37" t="n">
        <v>46310</v>
      </c>
      <c r="B511" s="22">
        <f>IF(A511="","",IFERROR(INT((A511-DATE(2026,4,27))/7)+1,""))</f>
        <v/>
      </c>
      <c r="C511" s="22" t="inlineStr">
        <is>
          <t>Gym Full Body</t>
        </is>
      </c>
      <c r="D511" s="23" t="inlineStr">
        <is>
          <t>Lying Leg Curl</t>
        </is>
      </c>
      <c r="E511" s="22" t="n">
        <v>1</v>
      </c>
      <c r="F511" s="22" t="n">
        <v>10</v>
      </c>
      <c r="G511" s="38" t="n">
        <v>16</v>
      </c>
      <c r="H511" s="22" t="n">
        <v>6</v>
      </c>
      <c r="I511" s="25">
        <f>IF(OR(F511="",G511=""),"",F511*G511)</f>
        <v/>
      </c>
      <c r="J511" s="38">
        <f>IF(OR(F511="",G511=""),"",ROUND(G511*(1+F511/30),1))</f>
        <v/>
      </c>
      <c r="K511" s="26" t="inlineStr">
        <is>
          <t>Above seed 10. Hold.</t>
        </is>
      </c>
    </row>
    <row r="512" ht="18" customHeight="1">
      <c r="A512" s="37" t="n">
        <v>46310</v>
      </c>
      <c r="B512" s="22">
        <f>IF(A512="","",IFERROR(INT((A512-DATE(2026,4,27))/7)+1,""))</f>
        <v/>
      </c>
      <c r="C512" s="22" t="inlineStr">
        <is>
          <t>Gym Full Body</t>
        </is>
      </c>
      <c r="D512" s="23" t="inlineStr">
        <is>
          <t>Lying Leg Curl</t>
        </is>
      </c>
      <c r="E512" s="22" t="n">
        <v>2</v>
      </c>
      <c r="F512" s="22" t="n">
        <v>10</v>
      </c>
      <c r="G512" s="38" t="n">
        <v>16</v>
      </c>
      <c r="H512" s="22" t="n">
        <v>6</v>
      </c>
      <c r="I512" s="25">
        <f>IF(OR(F512="",G512=""),"",F512*G512)</f>
        <v/>
      </c>
      <c r="J512" s="38">
        <f>IF(OR(F512="",G512=""),"",ROUND(G512*(1+F512/30),1))</f>
        <v/>
      </c>
      <c r="K512" s="26" t="n"/>
    </row>
    <row r="513" ht="18" customHeight="1">
      <c r="A513" s="37" t="n">
        <v>46310</v>
      </c>
      <c r="B513" s="22">
        <f>IF(A513="","",IFERROR(INT((A513-DATE(2026,4,27))/7)+1,""))</f>
        <v/>
      </c>
      <c r="C513" s="22" t="inlineStr">
        <is>
          <t>Gym Full Body</t>
        </is>
      </c>
      <c r="D513" s="23" t="inlineStr">
        <is>
          <t>Tibialis Raise</t>
        </is>
      </c>
      <c r="E513" s="22" t="n">
        <v>1</v>
      </c>
      <c r="F513" s="22" t="n">
        <v>15</v>
      </c>
      <c r="G513" s="38" t="n">
        <v>6.8</v>
      </c>
      <c r="H513" s="22" t="n">
        <v>7</v>
      </c>
      <c r="I513" s="25">
        <f>IF(OR(F513="",G513=""),"",F513*G513)</f>
        <v/>
      </c>
      <c r="J513" s="38">
        <f>IF(OR(F513="",G513=""),"",ROUND(G513*(1+F513/30),1))</f>
        <v/>
      </c>
      <c r="K513" s="26" t="inlineStr">
        <is>
          <t>6.8 kg (seed 2.5). Hold.</t>
        </is>
      </c>
    </row>
    <row r="514" ht="18" customHeight="1">
      <c r="A514" s="37" t="n">
        <v>46310</v>
      </c>
      <c r="B514" s="22">
        <f>IF(A514="","",IFERROR(INT((A514-DATE(2026,4,27))/7)+1,""))</f>
        <v/>
      </c>
      <c r="C514" s="22" t="inlineStr">
        <is>
          <t>Gym Full Body</t>
        </is>
      </c>
      <c r="D514" s="23" t="inlineStr">
        <is>
          <t>Tibialis Raise</t>
        </is>
      </c>
      <c r="E514" s="22" t="n">
        <v>2</v>
      </c>
      <c r="F514" s="22" t="n">
        <v>15</v>
      </c>
      <c r="G514" s="38" t="n">
        <v>6.8</v>
      </c>
      <c r="H514" s="22" t="n">
        <v>7</v>
      </c>
      <c r="I514" s="25">
        <f>IF(OR(F514="",G514=""),"",F514*G514)</f>
        <v/>
      </c>
      <c r="J514" s="38">
        <f>IF(OR(F514="",G514=""),"",ROUND(G514*(1+F514/30),1))</f>
        <v/>
      </c>
      <c r="K514" s="26" t="n"/>
    </row>
    <row r="515" ht="18" customHeight="1">
      <c r="A515" s="37" t="n">
        <v>46310</v>
      </c>
      <c r="B515" s="22">
        <f>IF(A515="","",IFERROR(INT((A515-DATE(2026,4,27))/7)+1,""))</f>
        <v/>
      </c>
      <c r="C515" s="22" t="inlineStr">
        <is>
          <t>Gym Full Body</t>
        </is>
      </c>
      <c r="D515" s="23" t="inlineStr">
        <is>
          <t>Tibialis Raise</t>
        </is>
      </c>
      <c r="E515" s="22" t="n">
        <v>3</v>
      </c>
      <c r="F515" s="22" t="n">
        <v>15</v>
      </c>
      <c r="G515" s="38" t="n">
        <v>6.8</v>
      </c>
      <c r="H515" s="22" t="n">
        <v>7</v>
      </c>
      <c r="I515" s="25">
        <f>IF(OR(F515="",G515=""),"",F515*G515)</f>
        <v/>
      </c>
      <c r="J515" s="38">
        <f>IF(OR(F515="",G515=""),"",ROUND(G515*(1+F515/30),1))</f>
        <v/>
      </c>
      <c r="K515" s="26" t="n"/>
    </row>
    <row r="516" ht="18" customHeight="1">
      <c r="A516" s="37" t="n">
        <v>46310</v>
      </c>
      <c r="B516" s="22">
        <f>IF(A516="","",IFERROR(INT((A516-DATE(2026,4,27))/7)+1,""))</f>
        <v/>
      </c>
      <c r="C516" s="22" t="inlineStr">
        <is>
          <t>Gym Full Body</t>
        </is>
      </c>
      <c r="D516" s="23" t="inlineStr">
        <is>
          <t>Hanging Knee Raise (BW)</t>
        </is>
      </c>
      <c r="E516" s="22" t="n">
        <v>1</v>
      </c>
      <c r="F516" s="22" t="n">
        <v>8</v>
      </c>
      <c r="G516" s="38" t="n"/>
      <c r="H516" s="22" t="n">
        <v>6</v>
      </c>
      <c r="I516" s="25">
        <f>IF(OR(F516="",G516=""),"",F516*G516)</f>
        <v/>
      </c>
      <c r="J516" s="38">
        <f>IF(OR(F516="",G516=""),"",ROUND(G516*(1+F516/30),1))</f>
        <v/>
      </c>
      <c r="K516" s="26" t="inlineStr">
        <is>
          <t>Next 3x10.</t>
        </is>
      </c>
    </row>
    <row r="517" ht="18" customHeight="1">
      <c r="A517" s="37" t="n">
        <v>46310</v>
      </c>
      <c r="B517" s="22">
        <f>IF(A517="","",IFERROR(INT((A517-DATE(2026,4,27))/7)+1,""))</f>
        <v/>
      </c>
      <c r="C517" s="22" t="inlineStr">
        <is>
          <t>Gym Full Body</t>
        </is>
      </c>
      <c r="D517" s="23" t="inlineStr">
        <is>
          <t>Hanging Knee Raise (BW)</t>
        </is>
      </c>
      <c r="E517" s="22" t="n">
        <v>2</v>
      </c>
      <c r="F517" s="22" t="n">
        <v>8</v>
      </c>
      <c r="G517" s="38" t="n"/>
      <c r="H517" s="22" t="n">
        <v>6</v>
      </c>
      <c r="I517" s="25">
        <f>IF(OR(F517="",G517=""),"",F517*G517)</f>
        <v/>
      </c>
      <c r="J517" s="38">
        <f>IF(OR(F517="",G517=""),"",ROUND(G517*(1+F517/30),1))</f>
        <v/>
      </c>
      <c r="K517" s="26" t="n"/>
    </row>
    <row r="518" ht="18" customHeight="1">
      <c r="A518" s="37" t="n">
        <v>46310</v>
      </c>
      <c r="B518" s="22">
        <f>IF(A518="","",IFERROR(INT((A518-DATE(2026,4,27))/7)+1,""))</f>
        <v/>
      </c>
      <c r="C518" s="22" t="inlineStr">
        <is>
          <t>Gym Full Body</t>
        </is>
      </c>
      <c r="D518" s="23" t="inlineStr">
        <is>
          <t>Hanging Knee Raise (BW)</t>
        </is>
      </c>
      <c r="E518" s="22" t="n">
        <v>3</v>
      </c>
      <c r="F518" s="22" t="n">
        <v>8</v>
      </c>
      <c r="G518" s="38" t="n"/>
      <c r="H518" s="22" t="n">
        <v>6</v>
      </c>
      <c r="I518" s="25">
        <f>IF(OR(F518="",G518=""),"",F518*G518)</f>
        <v/>
      </c>
      <c r="J518" s="38">
        <f>IF(OR(F518="",G518=""),"",ROUND(G518*(1+F518/30),1))</f>
        <v/>
      </c>
      <c r="K518" s="26" t="n"/>
    </row>
    <row r="519" ht="18" customHeight="1">
      <c r="A519" s="37" t="n">
        <v>46317</v>
      </c>
      <c r="B519" s="22">
        <f>IF(A519="","",IFERROR(INT((A519-DATE(2026,4,27))/7)+1,""))</f>
        <v/>
      </c>
      <c r="C519" s="22" t="inlineStr">
        <is>
          <t>Gym Upper</t>
        </is>
      </c>
      <c r="D519" s="23" t="inlineStr">
        <is>
          <t>Bench Press</t>
        </is>
      </c>
      <c r="E519" s="22" t="n">
        <v>1</v>
      </c>
      <c r="F519" s="22" t="n">
        <v>8</v>
      </c>
      <c r="G519" s="38" t="n">
        <v>25</v>
      </c>
      <c r="H519" s="22" t="n">
        <v>7</v>
      </c>
      <c r="I519" s="25">
        <f>IF(OR(F519="",G519=""),"",F519*G519)</f>
        <v/>
      </c>
      <c r="J519" s="38">
        <f>IF(OR(F519="",G519=""),"",ROUND(G519*(1+F519/30),1))</f>
        <v/>
      </c>
      <c r="K519" s="26" t="inlineStr">
        <is>
          <t>Gym #3 upper. Gate met -&gt; 27.5 4x8.</t>
        </is>
      </c>
    </row>
    <row r="520" ht="18" customHeight="1">
      <c r="A520" s="35" t="n">
        <v>46317</v>
      </c>
      <c r="B520" s="16">
        <f>IF(A520="","",IFERROR(INT((A520-DATE(2026,4,27))/7)+1,""))</f>
        <v/>
      </c>
      <c r="C520" s="16" t="inlineStr">
        <is>
          <t>Gym Upper</t>
        </is>
      </c>
      <c r="D520" s="17" t="inlineStr">
        <is>
          <t>Bench Press</t>
        </is>
      </c>
      <c r="E520" s="16" t="n">
        <v>2</v>
      </c>
      <c r="F520" s="16" t="n">
        <v>8</v>
      </c>
      <c r="G520" s="36" t="n">
        <v>25</v>
      </c>
      <c r="H520" s="16" t="n">
        <v>6</v>
      </c>
      <c r="I520" s="19">
        <f>IF(OR(F520="",G520=""),"",F520*G520)</f>
        <v/>
      </c>
      <c r="J520" s="36">
        <f>IF(OR(F520="",G520=""),"",ROUND(G520*(1+F520/30),1))</f>
        <v/>
      </c>
      <c r="K520" s="20" t="n"/>
    </row>
    <row r="521" ht="18" customHeight="1">
      <c r="A521" s="37" t="n">
        <v>46317</v>
      </c>
      <c r="B521" s="22">
        <f>IF(A521="","",IFERROR(INT((A521-DATE(2026,4,27))/7)+1,""))</f>
        <v/>
      </c>
      <c r="C521" s="22" t="inlineStr">
        <is>
          <t>Gym Upper</t>
        </is>
      </c>
      <c r="D521" s="23" t="inlineStr">
        <is>
          <t>Bench Press</t>
        </is>
      </c>
      <c r="E521" s="22" t="n">
        <v>3</v>
      </c>
      <c r="F521" s="22" t="n">
        <v>8</v>
      </c>
      <c r="G521" s="38" t="n">
        <v>25</v>
      </c>
      <c r="H521" s="22" t="n">
        <v>6</v>
      </c>
      <c r="I521" s="25">
        <f>IF(OR(F521="",G521=""),"",F521*G521)</f>
        <v/>
      </c>
      <c r="J521" s="38">
        <f>IF(OR(F521="",G521=""),"",ROUND(G521*(1+F521/30),1))</f>
        <v/>
      </c>
      <c r="K521" s="26" t="n"/>
    </row>
    <row r="522" ht="18" customHeight="1">
      <c r="A522" s="35" t="n">
        <v>46317</v>
      </c>
      <c r="B522" s="16">
        <f>IF(A522="","",IFERROR(INT((A522-DATE(2026,4,27))/7)+1,""))</f>
        <v/>
      </c>
      <c r="C522" s="16" t="inlineStr">
        <is>
          <t>Gym Upper</t>
        </is>
      </c>
      <c r="D522" s="17" t="inlineStr">
        <is>
          <t>Bench Press</t>
        </is>
      </c>
      <c r="E522" s="16" t="n">
        <v>4</v>
      </c>
      <c r="F522" s="16" t="n">
        <v>8</v>
      </c>
      <c r="G522" s="36" t="n">
        <v>25</v>
      </c>
      <c r="H522" s="16" t="n">
        <v>6</v>
      </c>
      <c r="I522" s="19">
        <f>IF(OR(F522="",G522=""),"",F522*G522)</f>
        <v/>
      </c>
      <c r="J522" s="36">
        <f>IF(OR(F522="",G522=""),"",ROUND(G522*(1+F522/30),1))</f>
        <v/>
      </c>
      <c r="K522" s="20" t="n"/>
    </row>
    <row r="523" ht="18" customHeight="1">
      <c r="A523" s="37" t="n">
        <v>46317</v>
      </c>
      <c r="B523" s="22">
        <f>IF(A523="","",IFERROR(INT((A523-DATE(2026,4,27))/7)+1,""))</f>
        <v/>
      </c>
      <c r="C523" s="22" t="inlineStr">
        <is>
          <t>Gym Upper</t>
        </is>
      </c>
      <c r="D523" s="23" t="inlineStr">
        <is>
          <t>Lat Pulldown</t>
        </is>
      </c>
      <c r="E523" s="22" t="n">
        <v>1</v>
      </c>
      <c r="F523" s="22" t="n">
        <v>10</v>
      </c>
      <c r="G523" s="38" t="n">
        <v>25</v>
      </c>
      <c r="H523" s="22" t="n">
        <v>5</v>
      </c>
      <c r="I523" s="25">
        <f>IF(OR(F523="",G523=""),"",F523*G523)</f>
        <v/>
      </c>
      <c r="J523" s="38">
        <f>IF(OR(F523="",G523=""),"",ROUND(G523*(1+F523/30),1))</f>
        <v/>
      </c>
      <c r="K523" s="26" t="inlineStr">
        <is>
          <t>Restored. Gate met -&gt; 27.5 4x10.</t>
        </is>
      </c>
    </row>
    <row r="524" ht="18" customHeight="1">
      <c r="A524" s="35" t="n">
        <v>46317</v>
      </c>
      <c r="B524" s="16">
        <f>IF(A524="","",IFERROR(INT((A524-DATE(2026,4,27))/7)+1,""))</f>
        <v/>
      </c>
      <c r="C524" s="16" t="inlineStr">
        <is>
          <t>Gym Upper</t>
        </is>
      </c>
      <c r="D524" s="17" t="inlineStr">
        <is>
          <t>Lat Pulldown</t>
        </is>
      </c>
      <c r="E524" s="16" t="n">
        <v>2</v>
      </c>
      <c r="F524" s="16" t="n">
        <v>10</v>
      </c>
      <c r="G524" s="36" t="n">
        <v>25</v>
      </c>
      <c r="H524" s="16" t="n">
        <v>5</v>
      </c>
      <c r="I524" s="19">
        <f>IF(OR(F524="",G524=""),"",F524*G524)</f>
        <v/>
      </c>
      <c r="J524" s="36">
        <f>IF(OR(F524="",G524=""),"",ROUND(G524*(1+F524/30),1))</f>
        <v/>
      </c>
      <c r="K524" s="20" t="n"/>
    </row>
    <row r="525" ht="18" customHeight="1">
      <c r="A525" s="37" t="n">
        <v>46317</v>
      </c>
      <c r="B525" s="22">
        <f>IF(A525="","",IFERROR(INT((A525-DATE(2026,4,27))/7)+1,""))</f>
        <v/>
      </c>
      <c r="C525" s="22" t="inlineStr">
        <is>
          <t>Gym Upper</t>
        </is>
      </c>
      <c r="D525" s="23" t="inlineStr">
        <is>
          <t>Lat Pulldown</t>
        </is>
      </c>
      <c r="E525" s="22" t="n">
        <v>3</v>
      </c>
      <c r="F525" s="22" t="n">
        <v>10</v>
      </c>
      <c r="G525" s="38" t="n">
        <v>25</v>
      </c>
      <c r="H525" s="22" t="n">
        <v>5</v>
      </c>
      <c r="I525" s="25">
        <f>IF(OR(F525="",G525=""),"",F525*G525)</f>
        <v/>
      </c>
      <c r="J525" s="38">
        <f>IF(OR(F525="",G525=""),"",ROUND(G525*(1+F525/30),1))</f>
        <v/>
      </c>
      <c r="K525" s="26" t="n"/>
    </row>
    <row r="526" ht="18" customHeight="1">
      <c r="A526" s="35" t="n">
        <v>46317</v>
      </c>
      <c r="B526" s="16">
        <f>IF(A526="","",IFERROR(INT((A526-DATE(2026,4,27))/7)+1,""))</f>
        <v/>
      </c>
      <c r="C526" s="16" t="inlineStr">
        <is>
          <t>Gym Upper</t>
        </is>
      </c>
      <c r="D526" s="17" t="inlineStr">
        <is>
          <t>Lat Pulldown</t>
        </is>
      </c>
      <c r="E526" s="16" t="n">
        <v>4</v>
      </c>
      <c r="F526" s="16" t="n">
        <v>10</v>
      </c>
      <c r="G526" s="36" t="n">
        <v>25</v>
      </c>
      <c r="H526" s="16" t="n">
        <v>5</v>
      </c>
      <c r="I526" s="19">
        <f>IF(OR(F526="",G526=""),"",F526*G526)</f>
        <v/>
      </c>
      <c r="J526" s="36">
        <f>IF(OR(F526="",G526=""),"",ROUND(G526*(1+F526/30),1))</f>
        <v/>
      </c>
      <c r="K526" s="20" t="n"/>
    </row>
    <row r="527" ht="18" customHeight="1">
      <c r="A527" s="37" t="n">
        <v>46317</v>
      </c>
      <c r="B527" s="22">
        <f>IF(A527="","",IFERROR(INT((A527-DATE(2026,4,27))/7)+1,""))</f>
        <v/>
      </c>
      <c r="C527" s="22" t="inlineStr">
        <is>
          <t>Gym Upper</t>
        </is>
      </c>
      <c r="D527" s="23" t="inlineStr">
        <is>
          <t>Incline DB Press</t>
        </is>
      </c>
      <c r="E527" s="22" t="n">
        <v>1</v>
      </c>
      <c r="F527" s="22" t="n">
        <v>10</v>
      </c>
      <c r="G527" s="38" t="n">
        <v>6</v>
      </c>
      <c r="H527" s="22" t="n">
        <v>6</v>
      </c>
      <c r="I527" s="25">
        <f>IF(OR(F527="",G527=""),"",F527*G527)</f>
        <v/>
      </c>
      <c r="J527" s="38">
        <f>IF(OR(F527="",G527=""),"",ROUND(G527*(1+F527/30),1))</f>
        <v/>
      </c>
      <c r="K527" s="26" t="inlineStr">
        <is>
          <t>6/DB. Gate met -&gt; 7/DB 3x10.</t>
        </is>
      </c>
    </row>
    <row r="528" ht="18" customHeight="1">
      <c r="A528" s="35" t="n">
        <v>46317</v>
      </c>
      <c r="B528" s="16">
        <f>IF(A528="","",IFERROR(INT((A528-DATE(2026,4,27))/7)+1,""))</f>
        <v/>
      </c>
      <c r="C528" s="16" t="inlineStr">
        <is>
          <t>Gym Upper</t>
        </is>
      </c>
      <c r="D528" s="17" t="inlineStr">
        <is>
          <t>Incline DB Press</t>
        </is>
      </c>
      <c r="E528" s="16" t="n">
        <v>2</v>
      </c>
      <c r="F528" s="16" t="n">
        <v>10</v>
      </c>
      <c r="G528" s="36" t="n">
        <v>6</v>
      </c>
      <c r="H528" s="16" t="n">
        <v>6</v>
      </c>
      <c r="I528" s="19">
        <f>IF(OR(F528="",G528=""),"",F528*G528)</f>
        <v/>
      </c>
      <c r="J528" s="36">
        <f>IF(OR(F528="",G528=""),"",ROUND(G528*(1+F528/30),1))</f>
        <v/>
      </c>
      <c r="K528" s="20" t="n"/>
    </row>
    <row r="529" ht="18" customHeight="1">
      <c r="A529" s="37" t="n">
        <v>46317</v>
      </c>
      <c r="B529" s="22">
        <f>IF(A529="","",IFERROR(INT((A529-DATE(2026,4,27))/7)+1,""))</f>
        <v/>
      </c>
      <c r="C529" s="22" t="inlineStr">
        <is>
          <t>Gym Upper</t>
        </is>
      </c>
      <c r="D529" s="23" t="inlineStr">
        <is>
          <t>Incline DB Press</t>
        </is>
      </c>
      <c r="E529" s="22" t="n">
        <v>3</v>
      </c>
      <c r="F529" s="22" t="n">
        <v>10</v>
      </c>
      <c r="G529" s="38" t="n">
        <v>6</v>
      </c>
      <c r="H529" s="22" t="n">
        <v>6</v>
      </c>
      <c r="I529" s="25">
        <f>IF(OR(F529="",G529=""),"",F529*G529)</f>
        <v/>
      </c>
      <c r="J529" s="38">
        <f>IF(OR(F529="",G529=""),"",ROUND(G529*(1+F529/30),1))</f>
        <v/>
      </c>
      <c r="K529" s="26" t="n"/>
    </row>
    <row r="530" ht="18" customHeight="1">
      <c r="A530" s="35" t="n">
        <v>46317</v>
      </c>
      <c r="B530" s="16">
        <f>IF(A530="","",IFERROR(INT((A530-DATE(2026,4,27))/7)+1,""))</f>
        <v/>
      </c>
      <c r="C530" s="16" t="inlineStr">
        <is>
          <t>Gym Upper</t>
        </is>
      </c>
      <c r="D530" s="17" t="inlineStr">
        <is>
          <t>Barbell Row</t>
        </is>
      </c>
      <c r="E530" s="16" t="n">
        <v>1</v>
      </c>
      <c r="F530" s="16" t="n">
        <v>12</v>
      </c>
      <c r="G530" s="36" t="n">
        <v>20</v>
      </c>
      <c r="H530" s="16" t="n">
        <v>7</v>
      </c>
      <c r="I530" s="19">
        <f>IF(OR(F530="",G530=""),"",F530*G530)</f>
        <v/>
      </c>
      <c r="J530" s="36">
        <f>IF(OR(F530="",G530=""),"",ROUND(G530*(1+F530/30),1))</f>
        <v/>
      </c>
      <c r="K530" s="20" t="inlineStr">
        <is>
          <t>Barbell Row 20 (staged Lying Row 32.5). Gate met -&gt; 22.5 3x12.</t>
        </is>
      </c>
    </row>
    <row r="531" ht="18" customHeight="1">
      <c r="A531" s="37" t="n">
        <v>46317</v>
      </c>
      <c r="B531" s="22">
        <f>IF(A531="","",IFERROR(INT((A531-DATE(2026,4,27))/7)+1,""))</f>
        <v/>
      </c>
      <c r="C531" s="22" t="inlineStr">
        <is>
          <t>Gym Upper</t>
        </is>
      </c>
      <c r="D531" s="23" t="inlineStr">
        <is>
          <t>Barbell Row</t>
        </is>
      </c>
      <c r="E531" s="22" t="n">
        <v>2</v>
      </c>
      <c r="F531" s="22" t="n">
        <v>12</v>
      </c>
      <c r="G531" s="38" t="n">
        <v>20</v>
      </c>
      <c r="H531" s="22" t="n">
        <v>6</v>
      </c>
      <c r="I531" s="25">
        <f>IF(OR(F531="",G531=""),"",F531*G531)</f>
        <v/>
      </c>
      <c r="J531" s="38">
        <f>IF(OR(F531="",G531=""),"",ROUND(G531*(1+F531/30),1))</f>
        <v/>
      </c>
      <c r="K531" s="26" t="n"/>
    </row>
    <row r="532" ht="18" customHeight="1">
      <c r="A532" s="35" t="n">
        <v>46317</v>
      </c>
      <c r="B532" s="16">
        <f>IF(A532="","",IFERROR(INT((A532-DATE(2026,4,27))/7)+1,""))</f>
        <v/>
      </c>
      <c r="C532" s="16" t="inlineStr">
        <is>
          <t>Gym Upper</t>
        </is>
      </c>
      <c r="D532" s="17" t="inlineStr">
        <is>
          <t>Barbell Row</t>
        </is>
      </c>
      <c r="E532" s="16" t="n">
        <v>3</v>
      </c>
      <c r="F532" s="16" t="n">
        <v>12</v>
      </c>
      <c r="G532" s="36" t="n">
        <v>20</v>
      </c>
      <c r="H532" s="16" t="n">
        <v>6</v>
      </c>
      <c r="I532" s="19">
        <f>IF(OR(F532="",G532=""),"",F532*G532)</f>
        <v/>
      </c>
      <c r="J532" s="36">
        <f>IF(OR(F532="",G532=""),"",ROUND(G532*(1+F532/30),1))</f>
        <v/>
      </c>
      <c r="K532" s="20" t="n"/>
    </row>
    <row r="533" ht="18" customHeight="1">
      <c r="A533" s="37" t="n">
        <v>46317</v>
      </c>
      <c r="B533" s="22">
        <f>IF(A533="","",IFERROR(INT((A533-DATE(2026,4,27))/7)+1,""))</f>
        <v/>
      </c>
      <c r="C533" s="22" t="inlineStr">
        <is>
          <t>Gym Upper</t>
        </is>
      </c>
      <c r="D533" s="23" t="inlineStr">
        <is>
          <t>Tibialis Raise</t>
        </is>
      </c>
      <c r="E533" s="22" t="n">
        <v>1</v>
      </c>
      <c r="F533" s="22" t="n">
        <v>15</v>
      </c>
      <c r="G533" s="38" t="n">
        <v>6.8</v>
      </c>
      <c r="H533" s="22" t="n">
        <v>6</v>
      </c>
      <c r="I533" s="25">
        <f>IF(OR(F533="",G533=""),"",F533*G533)</f>
        <v/>
      </c>
      <c r="J533" s="38">
        <f>IF(OR(F533="",G533=""),"",ROUND(G533*(1+F533/30),1))</f>
        <v/>
      </c>
      <c r="K533" s="26" t="inlineStr">
        <is>
          <t>Gate met 2nd session -&gt; reps first: 6.8 3x20.</t>
        </is>
      </c>
    </row>
    <row r="534" ht="18" customHeight="1">
      <c r="A534" s="35" t="n">
        <v>46317</v>
      </c>
      <c r="B534" s="16">
        <f>IF(A534="","",IFERROR(INT((A534-DATE(2026,4,27))/7)+1,""))</f>
        <v/>
      </c>
      <c r="C534" s="16" t="inlineStr">
        <is>
          <t>Gym Upper</t>
        </is>
      </c>
      <c r="D534" s="17" t="inlineStr">
        <is>
          <t>Tibialis Raise</t>
        </is>
      </c>
      <c r="E534" s="16" t="n">
        <v>2</v>
      </c>
      <c r="F534" s="16" t="n">
        <v>15</v>
      </c>
      <c r="G534" s="36" t="n">
        <v>6.8</v>
      </c>
      <c r="H534" s="16" t="n">
        <v>5</v>
      </c>
      <c r="I534" s="19">
        <f>IF(OR(F534="",G534=""),"",F534*G534)</f>
        <v/>
      </c>
      <c r="J534" s="36">
        <f>IF(OR(F534="",G534=""),"",ROUND(G534*(1+F534/30),1))</f>
        <v/>
      </c>
      <c r="K534" s="20" t="n"/>
    </row>
    <row r="535" ht="18" customHeight="1">
      <c r="A535" s="37" t="n">
        <v>46317</v>
      </c>
      <c r="B535" s="22">
        <f>IF(A535="","",IFERROR(INT((A535-DATE(2026,4,27))/7)+1,""))</f>
        <v/>
      </c>
      <c r="C535" s="22" t="inlineStr">
        <is>
          <t>Gym Upper</t>
        </is>
      </c>
      <c r="D535" s="23" t="inlineStr">
        <is>
          <t>Tibialis Raise</t>
        </is>
      </c>
      <c r="E535" s="22" t="n">
        <v>3</v>
      </c>
      <c r="F535" s="22" t="n">
        <v>15</v>
      </c>
      <c r="G535" s="38" t="n">
        <v>6.8</v>
      </c>
      <c r="H535" s="22" t="n">
        <v>5</v>
      </c>
      <c r="I535" s="25">
        <f>IF(OR(F535="",G535=""),"",F535*G535)</f>
        <v/>
      </c>
      <c r="J535" s="38">
        <f>IF(OR(F535="",G535=""),"",ROUND(G535*(1+F535/30),1))</f>
        <v/>
      </c>
      <c r="K535" s="26" t="n"/>
    </row>
    <row r="536" ht="18" customHeight="1">
      <c r="A536" s="35" t="n">
        <v>46317</v>
      </c>
      <c r="B536" s="16">
        <f>IF(A536="","",IFERROR(INT((A536-DATE(2026,4,27))/7)+1,""))</f>
        <v/>
      </c>
      <c r="C536" s="16" t="inlineStr">
        <is>
          <t>Gym Upper</t>
        </is>
      </c>
      <c r="D536" s="17" t="inlineStr">
        <is>
          <t>Hanging Knee Raise (BW)</t>
        </is>
      </c>
      <c r="E536" s="16" t="n">
        <v>1</v>
      </c>
      <c r="F536" s="16" t="n">
        <v>10</v>
      </c>
      <c r="G536" s="36" t="n"/>
      <c r="H536" s="16" t="n">
        <v>6</v>
      </c>
      <c r="I536" s="19">
        <f>IF(OR(F536="",G536=""),"",F536*G536)</f>
        <v/>
      </c>
      <c r="J536" s="36">
        <f>IF(OR(F536="",G536=""),"",ROUND(G536*(1+F536/30),1))</f>
        <v/>
      </c>
      <c r="K536" s="20" t="inlineStr">
        <is>
          <t>Gate met -&gt; 3x12.</t>
        </is>
      </c>
    </row>
    <row r="537" ht="18" customHeight="1">
      <c r="A537" s="37" t="n">
        <v>46317</v>
      </c>
      <c r="B537" s="22">
        <f>IF(A537="","",IFERROR(INT((A537-DATE(2026,4,27))/7)+1,""))</f>
        <v/>
      </c>
      <c r="C537" s="22" t="inlineStr">
        <is>
          <t>Gym Upper</t>
        </is>
      </c>
      <c r="D537" s="23" t="inlineStr">
        <is>
          <t>Hanging Knee Raise (BW)</t>
        </is>
      </c>
      <c r="E537" s="22" t="n">
        <v>2</v>
      </c>
      <c r="F537" s="22" t="n">
        <v>10</v>
      </c>
      <c r="G537" s="38" t="n"/>
      <c r="H537" s="22" t="n">
        <v>6</v>
      </c>
      <c r="I537" s="25">
        <f>IF(OR(F537="",G537=""),"",F537*G537)</f>
        <v/>
      </c>
      <c r="J537" s="38">
        <f>IF(OR(F537="",G537=""),"",ROUND(G537*(1+F537/30),1))</f>
        <v/>
      </c>
      <c r="K537" s="26" t="n"/>
    </row>
    <row r="538" ht="18" customHeight="1">
      <c r="A538" s="35" t="n">
        <v>46317</v>
      </c>
      <c r="B538" s="16">
        <f>IF(A538="","",IFERROR(INT((A538-DATE(2026,4,27))/7)+1,""))</f>
        <v/>
      </c>
      <c r="C538" s="16" t="inlineStr">
        <is>
          <t>Gym Upper</t>
        </is>
      </c>
      <c r="D538" s="17" t="inlineStr">
        <is>
          <t>Hanging Knee Raise (BW)</t>
        </is>
      </c>
      <c r="E538" s="16" t="n">
        <v>3</v>
      </c>
      <c r="F538" s="16" t="n">
        <v>10</v>
      </c>
      <c r="G538" s="36" t="n"/>
      <c r="H538" s="16" t="n">
        <v>6</v>
      </c>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5" t="n">
        <v>46310</v>
      </c>
      <c r="B31" s="16">
        <f>IF(A31="","",IFERROR(INT((A31-DATE(2026,4,27))/7)+1,""))</f>
        <v/>
      </c>
      <c r="C31" s="27" t="n">
        <v>4.02</v>
      </c>
      <c r="D31" s="36" t="n">
        <v>28.85</v>
      </c>
      <c r="E31" s="16">
        <f>IF(OR(C31="",D31=""),"",TEXT(D31/C31/1440,"m:ss"))</f>
        <v/>
      </c>
      <c r="F31" s="16" t="n">
        <v>142</v>
      </c>
      <c r="G31" s="16" t="n">
        <v>157</v>
      </c>
      <c r="H31" s="16" t="n"/>
      <c r="I31" s="16" t="inlineStr">
        <is>
          <t>Easy</t>
        </is>
      </c>
      <c r="J31" s="20" t="inlineStr">
        <is>
          <t>5K Wk 2 Thu - EASY 4 k, AM 07:49 (gym 19:45). Moving 28:51 (7:11), elapsed 29:36. Laps 7:05@124 / 7:00@147 / 7:34@146 / 7:05@151. Cadence ~160-163 (under floor). No pain - SHIN CLEAN #47. Strava 20591443035.</t>
        </is>
      </c>
      <c r="K31" t="n">
        <v>0</v>
      </c>
    </row>
    <row r="32" ht="18" customHeight="1">
      <c r="A32" s="35" t="n">
        <v>46312</v>
      </c>
      <c r="B32" s="16">
        <f>IF(A32="","",IFERROR(INT((A32-DATE(2026,4,27))/7)+1,""))</f>
        <v/>
      </c>
      <c r="C32" s="27" t="n">
        <v>6.82</v>
      </c>
      <c r="D32" s="36" t="n">
        <v>42.5</v>
      </c>
      <c r="E32" s="16">
        <f>IF(OR(C32="",D32=""),"",TEXT(D32/C32/1440,"m:ss"))</f>
        <v/>
      </c>
      <c r="F32" s="16" t="n">
        <v>161</v>
      </c>
      <c r="G32" s="16" t="n">
        <v>184</v>
      </c>
      <c r="H32" s="16" t="n">
        <v>6</v>
      </c>
      <c r="I32" s="16" t="inlineStr">
        <is>
          <t>Threshold</t>
        </is>
      </c>
      <c r="J32" s="20" t="inlineStr">
        <is>
          <t>5K Wk 2 Sat - THRESHOLD 2x2 k, 13:51 Sonderborg flat road. Moving 42:30, elapsed 45:23. WU ~2.4 k + 3 strides. Rep 1 ~5:27, rep 2 ~5:29 (stream est., moving; ~35 s pause in each) vs 5:35-5:40 = RAN HOT. HR 177-184 vs cap 175 (~10 bpm over 10/6 at similar pace). CD skipped. Cadence reps 164-168. RPE 6, felt good. SHIN CLEAN #49. Strava 20620965276. | 10/21 stream re-read: rep 1 ~5:26-5:31, rep 2 ~5:33 avg, faded last ~750 m; +10 bpm vs 10/6 closed by 10/21 TT.</t>
        </is>
      </c>
      <c r="K32" t="n">
        <v>0</v>
      </c>
    </row>
    <row r="33" ht="18" customHeight="1">
      <c r="A33" s="37" t="n">
        <v>46316</v>
      </c>
      <c r="B33" s="22">
        <f>IF(A33="","",IFERROR(INT((A33-DATE(2026,4,27))/7)+1,""))</f>
        <v/>
      </c>
      <c r="C33" s="28" t="n">
        <v>6.17</v>
      </c>
      <c r="D33" s="38" t="n">
        <v>41</v>
      </c>
      <c r="E33" s="22">
        <f>IF(OR(C33="",D33=""),"",TEXT(D33/C33/1440,"m:ss"))</f>
        <v/>
      </c>
      <c r="F33" s="22" t="n">
        <v>158</v>
      </c>
      <c r="G33" s="22" t="n">
        <v>198</v>
      </c>
      <c r="H33" s="22" t="n">
        <v>8</v>
      </c>
      <c r="I33" s="22" t="inlineStr">
        <is>
          <t>3K TT</t>
        </is>
      </c>
      <c r="J33" s="26" t="inlineStr">
        <is>
          <t>5K Wk 3 Wed - 3 K TIME TRIAL, road, Ballerup, AM 07:28. Total moving 41:00 / elapsed 41:56. WU 2 k 7:36@132 / 7:23@149 (cad 162/161), 4 strides ~4:20-4:35. TT 3.00 k GPS: km 5:00 / 5:00 (5:42 elapsed, ~43 s standing ~1.5 k, HR 190-&gt;150) / 5:01 = 15:00 moving / 15:42 elapsed. TT HR ~183-187, max 198, cad 166. RPE 8. CD skipped. GATE: sub-27 CONFIRMED, PR not opened (borderline + rest) -&gt; run 2 4x1 k @ 5:10-5:12 decides PR. SHIN CLEAN #50. Strava 20670617068.</t>
        </is>
      </c>
      <c r="K33" t="n">
        <v>0</v>
      </c>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v>46316</v>
      </c>
      <c r="B62" s="16">
        <f>IF(A62="","",IFERROR(INT((A62-DATE(2026,4,27))/7)+1,""))</f>
        <v/>
      </c>
      <c r="C62" s="36" t="n">
        <v>77.34999999999999</v>
      </c>
      <c r="D62" s="36" t="n">
        <v>6.73</v>
      </c>
      <c r="E62" s="36" t="n"/>
      <c r="F62" s="36" t="n"/>
      <c r="G62" s="36" t="n"/>
      <c r="H62" s="36" t="n"/>
      <c r="I62" s="20" t="inlineStr">
        <is>
          <t>5K Wk 3 Wed - AM: sleep 6:44 (00:02-06:46) q7, RHR 45 (-1 vs 7d), mot 10/energy 9/stress 3, DOMS all 0, joints clean, SHIN CLEAN #50. BW 77.35 (+0.75 vs 10/15) single point after 6-day hole + travel weekend, no kcal change. 10/16-10/20: only Sat 10/17 run logged; Sun long, Mon gym, Tue 3 K TT not on Strava. Gates green -&gt; 3 K TT today PM or Thu. PM: 3 K TT 15:00 moving / 15:42 elapsed (5:00/5:00/5:01), RPE 8, max HR 198, shin clean #51; bike 0, kcal 2272, protein 150, creatine Y, alcohol 0.</t>
        </is>
      </c>
    </row>
    <row r="63" ht="18" customHeight="1">
      <c r="A63" s="37" t="n">
        <v>46317</v>
      </c>
      <c r="B63" s="22">
        <f>IF(A63="","",IFERROR(INT((A63-DATE(2026,4,27))/7)+1,""))</f>
        <v/>
      </c>
      <c r="C63" s="38" t="n">
        <v>77.34999999999999</v>
      </c>
      <c r="D63" s="38" t="n">
        <v>7.58</v>
      </c>
      <c r="E63" s="38" t="n"/>
      <c r="F63" s="38" t="n"/>
      <c r="G63" s="38" t="n"/>
      <c r="H63" s="38" t="n"/>
      <c r="I63" s="26" t="inlineStr">
        <is>
          <t>5K Wk 3 Thu (TT +1) - AM: sleep 7:35 (00:05-07:40) q9, RHR 44 (-2 vs 7d), mot 10/energy 10/stress 2, DOMS upper 0, quad 2/ham 2/glute 1/calf 3, joints clean, shin not reported (asked). BW 77.35 = 10/21, flat 2nd post-travel reading, no kcal change. Calf 3 = TT cost -&gt; 4x1 k leans Sat 10/24 (Fri AM gate rules). Gym #3 upper moved Fri -&gt; today. PM: Gym #3 upper DONE 20 sets / 3006 kg / avg RPE 5.8, all gates met; shin clean #52; bike 0, kcal 2344, protein 176, creatine Y.</t>
        </is>
      </c>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row r="26">
      <c r="A26" s="16" t="n">
        <v>25</v>
      </c>
      <c r="B26" s="16">
        <f>TEXT(DATE(2026,4,27)+(A26-1)*7,"mmm d")&amp;" – "&amp;TEXT(DATE(2026,4,27)+A26*7-1,"mmm d")</f>
        <v/>
      </c>
      <c r="C26" s="16">
        <f>SUMPRODUCT(IFERROR((('Lifting Log'!B2:B801=A26)*('Lifting Log'!E2:E801=1))/COUNTIFS('Lifting Log'!A:A,'Lifting Log'!A2:A801,'Lifting Log'!E:E,1),0))</f>
        <v/>
      </c>
      <c r="D26" s="16">
        <f>COUNTIFS('Lifting Log'!B:B,A26)</f>
        <v/>
      </c>
      <c r="E26" s="29">
        <f>SUMIFS('Lifting Log'!I:I,'Lifting Log'!B:B,A26)</f>
        <v/>
      </c>
      <c r="F26" s="36">
        <f>IFERROR(AVERAGEIFS('Lifting Log'!H:H,'Lifting Log'!B:B,A26),"")</f>
        <v/>
      </c>
      <c r="G26" s="16">
        <f>COUNTIFS('Running Log'!B:B,A26)</f>
        <v/>
      </c>
      <c r="H26" s="27">
        <f>SUMIFS('Running Log'!C:C,'Running Log'!B:B,A26)</f>
        <v/>
      </c>
      <c r="I26" s="19">
        <f>SUMIFS('Running Log'!D:D,'Running Log'!B:B,A26)</f>
        <v/>
      </c>
      <c r="J26" s="19">
        <f>IFERROR(AVERAGEIFS('Running Log'!F:F,'Running Log'!B:B,A26),"")</f>
        <v/>
      </c>
      <c r="K26" s="36">
        <f>IFERROR(AVERAGEIFS('Body Metrics'!C:C,'Body Metrics'!B:B,A26),"")</f>
        <v/>
      </c>
    </row>
    <row r="27">
      <c r="A27" s="16" t="n">
        <v>26</v>
      </c>
      <c r="B27" s="16">
        <f>TEXT(DATE(2026,4,27)+(A27-1)*7,"mmm d")&amp;" – "&amp;TEXT(DATE(2026,4,27)+A27*7-1,"mmm d")</f>
        <v/>
      </c>
      <c r="C27" s="16">
        <f>SUMPRODUCT(IFERROR((('Lifting Log'!B2:B801=A27)*('Lifting Log'!E2:E801=1))/COUNTIFS('Lifting Log'!A:A,'Lifting Log'!A2:A801,'Lifting Log'!E:E,1),0))</f>
        <v/>
      </c>
      <c r="D27" s="16">
        <f>COUNTIFS('Lifting Log'!B:B,A27)</f>
        <v/>
      </c>
      <c r="E27" s="29">
        <f>SUMIFS('Lifting Log'!I:I,'Lifting Log'!B:B,A27)</f>
        <v/>
      </c>
      <c r="F27" s="36">
        <f>IFERROR(AVERAGEIFS('Lifting Log'!H:H,'Lifting Log'!B:B,A27),"")</f>
        <v/>
      </c>
      <c r="G27" s="16">
        <f>COUNTIFS('Running Log'!B:B,A27)</f>
        <v/>
      </c>
      <c r="H27" s="27">
        <f>SUMIFS('Running Log'!C:C,'Running Log'!B:B,A27)</f>
        <v/>
      </c>
      <c r="I27" s="19">
        <f>SUMIFS('Running Log'!D:D,'Running Log'!B:B,A27)</f>
        <v/>
      </c>
      <c r="J27" s="19">
        <f>IFERROR(AVERAGEIFS('Running Log'!F:F,'Running Log'!B:B,A27),"")</f>
        <v/>
      </c>
      <c r="K27" s="36">
        <f>IFERROR(AVERAGEIFS('Body Metrics'!C:C,'Body Metrics'!B:B,A27),"")</f>
        <v/>
      </c>
    </row>
    <row r="28">
      <c r="A28" s="16" t="n">
        <v>27</v>
      </c>
      <c r="B28" s="16">
        <f>TEXT(DATE(2026,4,27)+(A28-1)*7,"mmm d")&amp;" – "&amp;TEXT(DATE(2026,4,27)+A28*7-1,"mmm d")</f>
        <v/>
      </c>
      <c r="C28" s="16">
        <f>SUMPRODUCT(IFERROR((('Lifting Log'!B2:B801=A28)*('Lifting Log'!E2:E801=1))/COUNTIFS('Lifting Log'!A:A,'Lifting Log'!A2:A801,'Lifting Log'!E:E,1),0))</f>
        <v/>
      </c>
      <c r="D28" s="16">
        <f>COUNTIFS('Lifting Log'!B:B,A28)</f>
        <v/>
      </c>
      <c r="E28" s="29">
        <f>SUMIFS('Lifting Log'!I:I,'Lifting Log'!B:B,A28)</f>
        <v/>
      </c>
      <c r="F28" s="36">
        <f>IFERROR(AVERAGEIFS('Lifting Log'!H:H,'Lifting Log'!B:B,A28),"")</f>
        <v/>
      </c>
      <c r="G28" s="16">
        <f>COUNTIFS('Running Log'!B:B,A28)</f>
        <v/>
      </c>
      <c r="H28" s="27">
        <f>SUMIFS('Running Log'!C:C,'Running Log'!B:B,A28)</f>
        <v/>
      </c>
      <c r="I28" s="19">
        <f>SUMIFS('Running Log'!D:D,'Running Log'!B:B,A28)</f>
        <v/>
      </c>
      <c r="J28" s="19">
        <f>IFERROR(AVERAGEIFS('Running Log'!F:F,'Running Log'!B:B,A28),"")</f>
        <v/>
      </c>
      <c r="K28" s="36">
        <f>IFERROR(AVERAGEIFS('Body Metrics'!C:C,'Body Metrics'!B:B,A28),"")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2026-07-02T11:01:25Z</dcterms:created>
  <dcterms:modified xsi:type="dcterms:W3CDTF">2026-10-22T20:15:55Z</dcterms:modified>
</cp:coreProperties>
</file>