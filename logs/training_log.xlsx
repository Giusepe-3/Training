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/>
      <c r="B166" s="16">
        <f>IF(A166="","",IFERROR(INT((A166-DATE(2026,4,27))/7)+1,""))</f>
        <v/>
      </c>
      <c r="C166" s="16" t="n"/>
      <c r="D166" s="17" t="n"/>
      <c r="E166" s="16" t="n"/>
      <c r="F166" s="16" t="n"/>
      <c r="G166" s="18" t="n"/>
      <c r="H166" s="16" t="n"/>
      <c r="I166" s="19">
        <f>IF(OR(F166="",G166=""),"",F166*G166)</f>
        <v/>
      </c>
      <c r="J166" s="18">
        <f>IF(OR(F166="",G166=""),"",ROUND(G166*(1+F166/30),1))</f>
        <v/>
      </c>
      <c r="K166" s="20" t="n"/>
    </row>
    <row r="167" ht="18" customHeight="1">
      <c r="A167" s="21" t="n"/>
      <c r="B167" s="22">
        <f>IF(A167="","",IFERROR(INT((A167-DATE(2026,4,27))/7)+1,""))</f>
        <v/>
      </c>
      <c r="C167" s="22" t="n"/>
      <c r="D167" s="23" t="n"/>
      <c r="E167" s="22" t="n"/>
      <c r="F167" s="22" t="n"/>
      <c r="G167" s="24" t="n"/>
      <c r="H167" s="22" t="n"/>
      <c r="I167" s="25">
        <f>IF(OR(F167="",G167=""),"",F167*G167)</f>
        <v/>
      </c>
      <c r="J167" s="24">
        <f>IF(OR(F167="",G167=""),"",ROUND(G167*(1+F167/30),1))</f>
        <v/>
      </c>
      <c r="K167" s="26" t="n"/>
    </row>
    <row r="168" ht="18" customHeight="1">
      <c r="A168" s="15" t="n"/>
      <c r="B168" s="16">
        <f>IF(A168="","",IFERROR(INT((A168-DATE(2026,4,27))/7)+1,""))</f>
        <v/>
      </c>
      <c r="C168" s="16" t="n"/>
      <c r="D168" s="17" t="n"/>
      <c r="E168" s="16" t="n"/>
      <c r="F168" s="16" t="n"/>
      <c r="G168" s="18" t="n"/>
      <c r="H168" s="16" t="n"/>
      <c r="I168" s="19">
        <f>IF(OR(F168="",G168=""),"",F168*G168)</f>
        <v/>
      </c>
      <c r="J168" s="18">
        <f>IF(OR(F168="",G168=""),"",ROUND(G168*(1+F168/30),1))</f>
        <v/>
      </c>
      <c r="K168" s="20" t="n"/>
    </row>
    <row r="169" ht="18" customHeight="1">
      <c r="A169" s="21" t="n"/>
      <c r="B169" s="22">
        <f>IF(A169="","",IFERROR(INT((A169-DATE(2026,4,27))/7)+1,""))</f>
        <v/>
      </c>
      <c r="C169" s="22" t="n"/>
      <c r="D169" s="23" t="n"/>
      <c r="E169" s="22" t="n"/>
      <c r="F169" s="22" t="n"/>
      <c r="G169" s="24" t="n"/>
      <c r="H169" s="22" t="n"/>
      <c r="I169" s="25">
        <f>IF(OR(F169="",G169=""),"",F169*G169)</f>
        <v/>
      </c>
      <c r="J169" s="24">
        <f>IF(OR(F169="",G169=""),"",ROUND(G169*(1+F169/30),1))</f>
        <v/>
      </c>
      <c r="K169" s="26" t="n"/>
    </row>
    <row r="170" ht="18" customHeight="1">
      <c r="A170" s="15" t="n"/>
      <c r="B170" s="16">
        <f>IF(A170="","",IFERROR(INT((A170-DATE(2026,4,27))/7)+1,""))</f>
        <v/>
      </c>
      <c r="C170" s="16" t="n"/>
      <c r="D170" s="17" t="n"/>
      <c r="E170" s="16" t="n"/>
      <c r="F170" s="16" t="n"/>
      <c r="G170" s="18" t="n"/>
      <c r="H170" s="16" t="n"/>
      <c r="I170" s="19">
        <f>IF(OR(F170="",G170=""),"",F170*G170)</f>
        <v/>
      </c>
      <c r="J170" s="18">
        <f>IF(OR(F170="",G170=""),"",ROUND(G170*(1+F170/30),1))</f>
        <v/>
      </c>
      <c r="K170" s="20" t="n"/>
    </row>
    <row r="171" ht="18" customHeight="1">
      <c r="A171" s="21" t="n"/>
      <c r="B171" s="22">
        <f>IF(A171="","",IFERROR(INT((A171-DATE(2026,4,27))/7)+1,""))</f>
        <v/>
      </c>
      <c r="C171" s="22" t="n"/>
      <c r="D171" s="23" t="n"/>
      <c r="E171" s="22" t="n"/>
      <c r="F171" s="22" t="n"/>
      <c r="G171" s="24" t="n"/>
      <c r="H171" s="22" t="n"/>
      <c r="I171" s="25">
        <f>IF(OR(F171="",G171=""),"",F171*G171)</f>
        <v/>
      </c>
      <c r="J171" s="24">
        <f>IF(OR(F171="",G171=""),"",ROUND(G171*(1+F171/30),1))</f>
        <v/>
      </c>
      <c r="K171" s="26" t="n"/>
    </row>
    <row r="172" ht="18" customHeight="1">
      <c r="A172" s="15" t="n"/>
      <c r="B172" s="16">
        <f>IF(A172="","",IFERROR(INT((A172-DATE(2026,4,27))/7)+1,""))</f>
        <v/>
      </c>
      <c r="C172" s="16" t="n"/>
      <c r="D172" s="17" t="n"/>
      <c r="E172" s="16" t="n"/>
      <c r="F172" s="16" t="n"/>
      <c r="G172" s="18" t="n"/>
      <c r="H172" s="16" t="n"/>
      <c r="I172" s="19">
        <f>IF(OR(F172="",G172=""),"",F172*G172)</f>
        <v/>
      </c>
      <c r="J172" s="18">
        <f>IF(OR(F172="",G172=""),"",ROUND(G172*(1+F172/30),1))</f>
        <v/>
      </c>
      <c r="K172" s="20" t="n"/>
    </row>
    <row r="173" ht="18" customHeight="1">
      <c r="A173" s="21" t="n"/>
      <c r="B173" s="22">
        <f>IF(A173="","",IFERROR(INT((A173-DATE(2026,4,27))/7)+1,""))</f>
        <v/>
      </c>
      <c r="C173" s="22" t="n"/>
      <c r="D173" s="23" t="n"/>
      <c r="E173" s="22" t="n"/>
      <c r="F173" s="22" t="n"/>
      <c r="G173" s="24" t="n"/>
      <c r="H173" s="22" t="n"/>
      <c r="I173" s="25">
        <f>IF(OR(F173="",G173=""),"",F173*G173)</f>
        <v/>
      </c>
      <c r="J173" s="24">
        <f>IF(OR(F173="",G173=""),"",ROUND(G173*(1+F173/30),1))</f>
        <v/>
      </c>
      <c r="K173" s="26" t="n"/>
    </row>
    <row r="174" ht="18" customHeight="1">
      <c r="A174" s="15" t="n"/>
      <c r="B174" s="16">
        <f>IF(A174="","",IFERROR(INT((A174-DATE(2026,4,27))/7)+1,""))</f>
        <v/>
      </c>
      <c r="C174" s="16" t="n"/>
      <c r="D174" s="17" t="n"/>
      <c r="E174" s="16" t="n"/>
      <c r="F174" s="16" t="n"/>
      <c r="G174" s="18" t="n"/>
      <c r="H174" s="16" t="n"/>
      <c r="I174" s="19">
        <f>IF(OR(F174="",G174=""),"",F174*G174)</f>
        <v/>
      </c>
      <c r="J174" s="18">
        <f>IF(OR(F174="",G174=""),"",ROUND(G174*(1+F174/30),1))</f>
        <v/>
      </c>
      <c r="K174" s="20" t="n"/>
    </row>
    <row r="175" ht="18" customHeight="1">
      <c r="A175" s="21" t="n"/>
      <c r="B175" s="22">
        <f>IF(A175="","",IFERROR(INT((A175-DATE(2026,4,27))/7)+1,""))</f>
        <v/>
      </c>
      <c r="C175" s="22" t="n"/>
      <c r="D175" s="23" t="n"/>
      <c r="E175" s="22" t="n"/>
      <c r="F175" s="22" t="n"/>
      <c r="G175" s="24" t="n"/>
      <c r="H175" s="22" t="n"/>
      <c r="I175" s="25">
        <f>IF(OR(F175="",G175=""),"",F175*G175)</f>
        <v/>
      </c>
      <c r="J175" s="24">
        <f>IF(OR(F175="",G175=""),"",ROUND(G175*(1+F175/30),1))</f>
        <v/>
      </c>
      <c r="K175" s="26" t="n"/>
    </row>
    <row r="176" ht="18" customHeight="1">
      <c r="A176" s="15" t="n"/>
      <c r="B176" s="16">
        <f>IF(A176="","",IFERROR(INT((A176-DATE(2026,4,27))/7)+1,""))</f>
        <v/>
      </c>
      <c r="C176" s="16" t="n"/>
      <c r="D176" s="17" t="n"/>
      <c r="E176" s="16" t="n"/>
      <c r="F176" s="16" t="n"/>
      <c r="G176" s="18" t="n"/>
      <c r="H176" s="16" t="n"/>
      <c r="I176" s="19">
        <f>IF(OR(F176="",G176=""),"",F176*G176)</f>
        <v/>
      </c>
      <c r="J176" s="18">
        <f>IF(OR(F176="",G176=""),"",ROUND(G176*(1+F176/30),1))</f>
        <v/>
      </c>
      <c r="K176" s="20" t="n"/>
    </row>
    <row r="177" ht="18" customHeight="1">
      <c r="A177" s="21" t="n"/>
      <c r="B177" s="22">
        <f>IF(A177="","",IFERROR(INT((A177-DATE(2026,4,27))/7)+1,""))</f>
        <v/>
      </c>
      <c r="C177" s="22" t="n"/>
      <c r="D177" s="23" t="n"/>
      <c r="E177" s="22" t="n"/>
      <c r="F177" s="22" t="n"/>
      <c r="G177" s="24" t="n"/>
      <c r="H177" s="22" t="n"/>
      <c r="I177" s="25">
        <f>IF(OR(F177="",G177=""),"",F177*G177)</f>
        <v/>
      </c>
      <c r="J177" s="24">
        <f>IF(OR(F177="",G177=""),"",ROUND(G177*(1+F177/30),1))</f>
        <v/>
      </c>
      <c r="K177" s="26" t="n"/>
    </row>
    <row r="178" ht="18" customHeight="1">
      <c r="A178" s="15" t="n"/>
      <c r="B178" s="16">
        <f>IF(A178="","",IFERROR(INT((A178-DATE(2026,4,27))/7)+1,""))</f>
        <v/>
      </c>
      <c r="C178" s="16" t="n"/>
      <c r="D178" s="17" t="n"/>
      <c r="E178" s="16" t="n"/>
      <c r="F178" s="16" t="n"/>
      <c r="G178" s="18" t="n"/>
      <c r="H178" s="16" t="n"/>
      <c r="I178" s="19">
        <f>IF(OR(F178="",G178=""),"",F178*G178)</f>
        <v/>
      </c>
      <c r="J178" s="18">
        <f>IF(OR(F178="",G178=""),"",ROUND(G178*(1+F178/30),1))</f>
        <v/>
      </c>
      <c r="K178" s="20" t="n"/>
    </row>
    <row r="179" ht="18" customHeight="1">
      <c r="A179" s="21" t="n"/>
      <c r="B179" s="22">
        <f>IF(A179="","",IFERROR(INT((A179-DATE(2026,4,27))/7)+1,""))</f>
        <v/>
      </c>
      <c r="C179" s="22" t="n"/>
      <c r="D179" s="23" t="n"/>
      <c r="E179" s="22" t="n"/>
      <c r="F179" s="22" t="n"/>
      <c r="G179" s="24" t="n"/>
      <c r="H179" s="22" t="n"/>
      <c r="I179" s="25">
        <f>IF(OR(F179="",G179=""),"",F179*G179)</f>
        <v/>
      </c>
      <c r="J179" s="24">
        <f>IF(OR(F179="",G179=""),"",ROUND(G179*(1+F179/30),1))</f>
        <v/>
      </c>
      <c r="K179" s="26" t="n"/>
    </row>
    <row r="180" ht="18" customHeight="1">
      <c r="A180" s="15" t="n"/>
      <c r="B180" s="16">
        <f>IF(A180="","",IFERROR(INT((A180-DATE(2026,4,27))/7)+1,""))</f>
        <v/>
      </c>
      <c r="C180" s="16" t="n"/>
      <c r="D180" s="17" t="n"/>
      <c r="E180" s="16" t="n"/>
      <c r="F180" s="16" t="n"/>
      <c r="G180" s="18" t="n"/>
      <c r="H180" s="16" t="n"/>
      <c r="I180" s="19">
        <f>IF(OR(F180="",G180=""),"",F180*G180)</f>
        <v/>
      </c>
      <c r="J180" s="18">
        <f>IF(OR(F180="",G180=""),"",ROUND(G180*(1+F180/30),1))</f>
        <v/>
      </c>
      <c r="K180" s="20" t="n"/>
    </row>
    <row r="181" ht="18" customHeight="1">
      <c r="A181" s="21" t="n"/>
      <c r="B181" s="22">
        <f>IF(A181="","",IFERROR(INT((A181-DATE(2026,4,27))/7)+1,""))</f>
        <v/>
      </c>
      <c r="C181" s="22" t="n"/>
      <c r="D181" s="23" t="n"/>
      <c r="E181" s="22" t="n"/>
      <c r="F181" s="22" t="n"/>
      <c r="G181" s="24" t="n"/>
      <c r="H181" s="22" t="n"/>
      <c r="I181" s="25">
        <f>IF(OR(F181="",G181=""),"",F181*G181)</f>
        <v/>
      </c>
      <c r="J181" s="24">
        <f>IF(OR(F181="",G181=""),"",ROUND(G181*(1+F181/30),1))</f>
        <v/>
      </c>
      <c r="K181" s="26" t="n"/>
    </row>
    <row r="182" ht="18" customHeight="1">
      <c r="A182" s="15" t="n"/>
      <c r="B182" s="16">
        <f>IF(A182="","",IFERROR(INT((A182-DATE(2026,4,27))/7)+1,""))</f>
        <v/>
      </c>
      <c r="C182" s="16" t="n"/>
      <c r="D182" s="17" t="n"/>
      <c r="E182" s="16" t="n"/>
      <c r="F182" s="16" t="n"/>
      <c r="G182" s="18" t="n"/>
      <c r="H182" s="16" t="n"/>
      <c r="I182" s="19">
        <f>IF(OR(F182="",G182=""),"",F182*G182)</f>
        <v/>
      </c>
      <c r="J182" s="18">
        <f>IF(OR(F182="",G182=""),"",ROUND(G182*(1+F182/30),1))</f>
        <v/>
      </c>
      <c r="K182" s="20" t="n"/>
    </row>
    <row r="183" ht="18" customHeight="1">
      <c r="A183" s="21" t="n"/>
      <c r="B183" s="22">
        <f>IF(A183="","",IFERROR(INT((A183-DATE(2026,4,27))/7)+1,""))</f>
        <v/>
      </c>
      <c r="C183" s="22" t="n"/>
      <c r="D183" s="23" t="n"/>
      <c r="E183" s="22" t="n"/>
      <c r="F183" s="22" t="n"/>
      <c r="G183" s="24" t="n"/>
      <c r="H183" s="22" t="n"/>
      <c r="I183" s="25">
        <f>IF(OR(F183="",G183=""),"",F183*G183)</f>
        <v/>
      </c>
      <c r="J183" s="24">
        <f>IF(OR(F183="",G183=""),"",ROUND(G183*(1+F183/30),1))</f>
        <v/>
      </c>
      <c r="K183" s="26" t="n"/>
    </row>
    <row r="184" ht="18" customHeight="1">
      <c r="A184" s="15" t="n"/>
      <c r="B184" s="16">
        <f>IF(A184="","",IFERROR(INT((A184-DATE(2026,4,27))/7)+1,""))</f>
        <v/>
      </c>
      <c r="C184" s="16" t="n"/>
      <c r="D184" s="17" t="n"/>
      <c r="E184" s="16" t="n"/>
      <c r="F184" s="16" t="n"/>
      <c r="G184" s="18" t="n"/>
      <c r="H184" s="16" t="n"/>
      <c r="I184" s="19">
        <f>IF(OR(F184="",G184=""),"",F184*G184)</f>
        <v/>
      </c>
      <c r="J184" s="18">
        <f>IF(OR(F184="",G184=""),"",ROUND(G184*(1+F184/30),1))</f>
        <v/>
      </c>
      <c r="K184" s="20" t="n"/>
    </row>
    <row r="185" ht="18" customHeight="1">
      <c r="A185" s="21" t="n"/>
      <c r="B185" s="22">
        <f>IF(A185="","",IFERROR(INT((A185-DATE(2026,4,27))/7)+1,""))</f>
        <v/>
      </c>
      <c r="C185" s="22" t="n"/>
      <c r="D185" s="23" t="n"/>
      <c r="E185" s="22" t="n"/>
      <c r="F185" s="22" t="n"/>
      <c r="G185" s="24" t="n"/>
      <c r="H185" s="22" t="n"/>
      <c r="I185" s="25">
        <f>IF(OR(F185="",G185=""),"",F185*G185)</f>
        <v/>
      </c>
      <c r="J185" s="24">
        <f>IF(OR(F185="",G185=""),"",ROUND(G185*(1+F185/30),1))</f>
        <v/>
      </c>
      <c r="K185" s="26" t="n"/>
    </row>
    <row r="186" ht="18" customHeight="1">
      <c r="A186" s="15" t="n"/>
      <c r="B186" s="16">
        <f>IF(A186="","",IFERROR(INT((A186-DATE(2026,4,27))/7)+1,""))</f>
        <v/>
      </c>
      <c r="C186" s="16" t="n"/>
      <c r="D186" s="17" t="n"/>
      <c r="E186" s="16" t="n"/>
      <c r="F186" s="16" t="n"/>
      <c r="G186" s="18" t="n"/>
      <c r="H186" s="16" t="n"/>
      <c r="I186" s="19">
        <f>IF(OR(F186="",G186=""),"",F186*G186)</f>
        <v/>
      </c>
      <c r="J186" s="18">
        <f>IF(OR(F186="",G186=""),"",ROUND(G186*(1+F186/30),1))</f>
        <v/>
      </c>
      <c r="K186" s="20" t="n"/>
    </row>
    <row r="187" ht="18" customHeight="1">
      <c r="A187" s="21" t="n"/>
      <c r="B187" s="22">
        <f>IF(A187="","",IFERROR(INT((A187-DATE(2026,4,27))/7)+1,""))</f>
        <v/>
      </c>
      <c r="C187" s="22" t="n"/>
      <c r="D187" s="23" t="n"/>
      <c r="E187" s="22" t="n"/>
      <c r="F187" s="22" t="n"/>
      <c r="G187" s="24" t="n"/>
      <c r="H187" s="22" t="n"/>
      <c r="I187" s="25">
        <f>IF(OR(F187="",G187=""),"",F187*G187)</f>
        <v/>
      </c>
      <c r="J187" s="24">
        <f>IF(OR(F187="",G187=""),"",ROUND(G187*(1+F187/30),1))</f>
        <v/>
      </c>
      <c r="K187" s="26" t="n"/>
    </row>
    <row r="188" ht="18" customHeight="1">
      <c r="A188" s="15" t="n"/>
      <c r="B188" s="16">
        <f>IF(A188="","",IFERROR(INT((A188-DATE(2026,4,27))/7)+1,""))</f>
        <v/>
      </c>
      <c r="C188" s="16" t="n"/>
      <c r="D188" s="17" t="n"/>
      <c r="E188" s="16" t="n"/>
      <c r="F188" s="16" t="n"/>
      <c r="G188" s="18" t="n"/>
      <c r="H188" s="16" t="n"/>
      <c r="I188" s="19">
        <f>IF(OR(F188="",G188=""),"",F188*G188)</f>
        <v/>
      </c>
      <c r="J188" s="18">
        <f>IF(OR(F188="",G188=""),"",ROUND(G188*(1+F188/30),1))</f>
        <v/>
      </c>
      <c r="K188" s="20" t="n"/>
    </row>
    <row r="189" ht="18" customHeight="1">
      <c r="A189" s="21" t="n"/>
      <c r="B189" s="22">
        <f>IF(A189="","",IFERROR(INT((A189-DATE(2026,4,27))/7)+1,""))</f>
        <v/>
      </c>
      <c r="C189" s="22" t="n"/>
      <c r="D189" s="23" t="n"/>
      <c r="E189" s="22" t="n"/>
      <c r="F189" s="22" t="n"/>
      <c r="G189" s="24" t="n"/>
      <c r="H189" s="22" t="n"/>
      <c r="I189" s="25">
        <f>IF(OR(F189="",G189=""),"",F189*G189)</f>
        <v/>
      </c>
      <c r="J189" s="24">
        <f>IF(OR(F189="",G189=""),"",ROUND(G189*(1+F189/30),1))</f>
        <v/>
      </c>
      <c r="K189" s="26" t="n"/>
    </row>
    <row r="190" ht="18" customHeight="1">
      <c r="A190" s="15" t="n"/>
      <c r="B190" s="16">
        <f>IF(A190="","",IFERROR(INT((A190-DATE(2026,4,27))/7)+1,""))</f>
        <v/>
      </c>
      <c r="C190" s="16" t="n"/>
      <c r="D190" s="17" t="n"/>
      <c r="E190" s="16" t="n"/>
      <c r="F190" s="16" t="n"/>
      <c r="G190" s="18" t="n"/>
      <c r="H190" s="16" t="n"/>
      <c r="I190" s="19">
        <f>IF(OR(F190="",G190=""),"",F190*G190)</f>
        <v/>
      </c>
      <c r="J190" s="18">
        <f>IF(OR(F190="",G190=""),"",ROUND(G190*(1+F190/30),1))</f>
        <v/>
      </c>
      <c r="K190" s="20" t="n"/>
    </row>
    <row r="191" ht="18" customHeight="1">
      <c r="A191" s="21" t="n"/>
      <c r="B191" s="22">
        <f>IF(A191="","",IFERROR(INT((A191-DATE(2026,4,27))/7)+1,""))</f>
        <v/>
      </c>
      <c r="C191" s="22" t="n"/>
      <c r="D191" s="23" t="n"/>
      <c r="E191" s="22" t="n"/>
      <c r="F191" s="22" t="n"/>
      <c r="G191" s="24" t="n"/>
      <c r="H191" s="22" t="n"/>
      <c r="I191" s="25">
        <f>IF(OR(F191="",G191=""),"",F191*G191)</f>
        <v/>
      </c>
      <c r="J191" s="24">
        <f>IF(OR(F191="",G191=""),"",ROUND(G191*(1+F191/30),1))</f>
        <v/>
      </c>
      <c r="K191" s="26" t="n"/>
    </row>
    <row r="192" ht="18" customHeight="1">
      <c r="A192" s="15" t="n"/>
      <c r="B192" s="16">
        <f>IF(A192="","",IFERROR(INT((A192-DATE(2026,4,27))/7)+1,""))</f>
        <v/>
      </c>
      <c r="C192" s="16" t="n"/>
      <c r="D192" s="17" t="n"/>
      <c r="E192" s="16" t="n"/>
      <c r="F192" s="16" t="n"/>
      <c r="G192" s="18" t="n"/>
      <c r="H192" s="16" t="n"/>
      <c r="I192" s="19">
        <f>IF(OR(F192="",G192=""),"",F192*G192)</f>
        <v/>
      </c>
      <c r="J192" s="18">
        <f>IF(OR(F192="",G192=""),"",ROUND(G192*(1+F192/30),1))</f>
        <v/>
      </c>
      <c r="K192" s="20" t="n"/>
    </row>
    <row r="193" ht="18" customHeight="1">
      <c r="A193" s="21" t="n"/>
      <c r="B193" s="22">
        <f>IF(A193="","",IFERROR(INT((A193-DATE(2026,4,27))/7)+1,""))</f>
        <v/>
      </c>
      <c r="C193" s="22" t="n"/>
      <c r="D193" s="23" t="n"/>
      <c r="E193" s="22" t="n"/>
      <c r="F193" s="22" t="n"/>
      <c r="G193" s="24" t="n"/>
      <c r="H193" s="22" t="n"/>
      <c r="I193" s="25">
        <f>IF(OR(F193="",G193=""),"",F193*G193)</f>
        <v/>
      </c>
      <c r="J193" s="24">
        <f>IF(OR(F193="",G193=""),"",ROUND(G193*(1+F193/30),1))</f>
        <v/>
      </c>
      <c r="K193" s="26" t="n"/>
    </row>
    <row r="194" ht="18" customHeight="1">
      <c r="A194" s="15" t="n"/>
      <c r="B194" s="16">
        <f>IF(A194="","",IFERROR(INT((A194-DATE(2026,4,27))/7)+1,""))</f>
        <v/>
      </c>
      <c r="C194" s="16" t="n"/>
      <c r="D194" s="17" t="n"/>
      <c r="E194" s="16" t="n"/>
      <c r="F194" s="16" t="n"/>
      <c r="G194" s="18" t="n"/>
      <c r="H194" s="16" t="n"/>
      <c r="I194" s="19">
        <f>IF(OR(F194="",G194=""),"",F194*G194)</f>
        <v/>
      </c>
      <c r="J194" s="18">
        <f>IF(OR(F194="",G194=""),"",ROUND(G194*(1+F194/30),1))</f>
        <v/>
      </c>
      <c r="K194" s="20" t="n"/>
    </row>
    <row r="195" ht="18" customHeight="1">
      <c r="A195" s="21" t="n"/>
      <c r="B195" s="22">
        <f>IF(A195="","",IFERROR(INT((A195-DATE(2026,4,27))/7)+1,""))</f>
        <v/>
      </c>
      <c r="C195" s="22" t="n"/>
      <c r="D195" s="23" t="n"/>
      <c r="E195" s="22" t="n"/>
      <c r="F195" s="22" t="n"/>
      <c r="G195" s="24" t="n"/>
      <c r="H195" s="22" t="n"/>
      <c r="I195" s="25">
        <f>IF(OR(F195="",G195=""),"",F195*G195)</f>
        <v/>
      </c>
      <c r="J195" s="24">
        <f>IF(OR(F195="",G195=""),"",ROUND(G195*(1+F195/30),1))</f>
        <v/>
      </c>
      <c r="K195" s="26" t="n"/>
    </row>
    <row r="196" ht="18" customHeight="1">
      <c r="A196" s="15" t="n"/>
      <c r="B196" s="16">
        <f>IF(A196="","",IFERROR(INT((A196-DATE(2026,4,27))/7)+1,""))</f>
        <v/>
      </c>
      <c r="C196" s="16" t="n"/>
      <c r="D196" s="17" t="n"/>
      <c r="E196" s="16" t="n"/>
      <c r="F196" s="16" t="n"/>
      <c r="G196" s="18" t="n"/>
      <c r="H196" s="16" t="n"/>
      <c r="I196" s="19">
        <f>IF(OR(F196="",G196=""),"",F196*G196)</f>
        <v/>
      </c>
      <c r="J196" s="18">
        <f>IF(OR(F196="",G196=""),"",ROUND(G196*(1+F196/30),1))</f>
        <v/>
      </c>
      <c r="K196" s="20" t="n"/>
    </row>
    <row r="197" ht="18" customHeight="1">
      <c r="A197" s="21" t="n"/>
      <c r="B197" s="22">
        <f>IF(A197="","",IFERROR(INT((A197-DATE(2026,4,27))/7)+1,""))</f>
        <v/>
      </c>
      <c r="C197" s="22" t="n"/>
      <c r="D197" s="23" t="n"/>
      <c r="E197" s="22" t="n"/>
      <c r="F197" s="22" t="n"/>
      <c r="G197" s="24" t="n"/>
      <c r="H197" s="22" t="n"/>
      <c r="I197" s="25">
        <f>IF(OR(F197="",G197=""),"",F197*G197)</f>
        <v/>
      </c>
      <c r="J197" s="24">
        <f>IF(OR(F197="",G197=""),"",ROUND(G197*(1+F197/30),1))</f>
        <v/>
      </c>
      <c r="K197" s="26" t="n"/>
    </row>
    <row r="198" ht="18" customHeight="1">
      <c r="A198" s="15" t="n"/>
      <c r="B198" s="16">
        <f>IF(A198="","",IFERROR(INT((A198-DATE(2026,4,27))/7)+1,""))</f>
        <v/>
      </c>
      <c r="C198" s="16" t="n"/>
      <c r="D198" s="17" t="n"/>
      <c r="E198" s="16" t="n"/>
      <c r="F198" s="16" t="n"/>
      <c r="G198" s="18" t="n"/>
      <c r="H198" s="16" t="n"/>
      <c r="I198" s="19">
        <f>IF(OR(F198="",G198=""),"",F198*G198)</f>
        <v/>
      </c>
      <c r="J198" s="18">
        <f>IF(OR(F198="",G198=""),"",ROUND(G198*(1+F198/30),1))</f>
        <v/>
      </c>
      <c r="K198" s="20" t="n"/>
    </row>
    <row r="199" ht="18" customHeight="1">
      <c r="A199" s="21" t="n"/>
      <c r="B199" s="22">
        <f>IF(A199="","",IFERROR(INT((A199-DATE(2026,4,27))/7)+1,""))</f>
        <v/>
      </c>
      <c r="C199" s="22" t="n"/>
      <c r="D199" s="23" t="n"/>
      <c r="E199" s="22" t="n"/>
      <c r="F199" s="22" t="n"/>
      <c r="G199" s="24" t="n"/>
      <c r="H199" s="22" t="n"/>
      <c r="I199" s="25">
        <f>IF(OR(F199="",G199=""),"",F199*G199)</f>
        <v/>
      </c>
      <c r="J199" s="24">
        <f>IF(OR(F199="",G199=""),"",ROUND(G199*(1+F199/30),1))</f>
        <v/>
      </c>
      <c r="K199" s="26" t="n"/>
    </row>
    <row r="200" ht="18" customHeight="1">
      <c r="A200" s="15" t="n"/>
      <c r="B200" s="16">
        <f>IF(A200="","",IFERROR(INT((A200-DATE(2026,4,27))/7)+1,""))</f>
        <v/>
      </c>
      <c r="C200" s="16" t="n"/>
      <c r="D200" s="17" t="n"/>
      <c r="E200" s="16" t="n"/>
      <c r="F200" s="16" t="n"/>
      <c r="G200" s="18" t="n"/>
      <c r="H200" s="16" t="n"/>
      <c r="I200" s="19">
        <f>IF(OR(F200="",G200=""),"",F200*G200)</f>
        <v/>
      </c>
      <c r="J200" s="18">
        <f>IF(OR(F200="",G200=""),"",ROUND(G200*(1+F200/30),1))</f>
        <v/>
      </c>
      <c r="K200" s="20" t="n"/>
    </row>
    <row r="201" ht="18" customHeight="1">
      <c r="A201" s="21" t="n"/>
      <c r="B201" s="22">
        <f>IF(A201="","",IFERROR(INT((A201-DATE(2026,4,27))/7)+1,""))</f>
        <v/>
      </c>
      <c r="C201" s="22" t="n"/>
      <c r="D201" s="23" t="n"/>
      <c r="E201" s="22" t="n"/>
      <c r="F201" s="22" t="n"/>
      <c r="G201" s="24" t="n"/>
      <c r="H201" s="22" t="n"/>
      <c r="I201" s="25">
        <f>IF(OR(F201="",G201=""),"",F201*G201)</f>
        <v/>
      </c>
      <c r="J201" s="24">
        <f>IF(OR(F201="",G201=""),"",ROUND(G201*(1+F201/30),1))</f>
        <v/>
      </c>
      <c r="K201" s="26" t="n"/>
    </row>
    <row r="202" ht="18" customHeight="1">
      <c r="A202" s="15" t="n"/>
      <c r="B202" s="16">
        <f>IF(A202="","",IFERROR(INT((A202-DATE(2026,4,27))/7)+1,""))</f>
        <v/>
      </c>
      <c r="C202" s="16" t="n"/>
      <c r="D202" s="17" t="n"/>
      <c r="E202" s="16" t="n"/>
      <c r="F202" s="16" t="n"/>
      <c r="G202" s="18" t="n"/>
      <c r="H202" s="16" t="n"/>
      <c r="I202" s="19">
        <f>IF(OR(F202="",G202=""),"",F202*G202)</f>
        <v/>
      </c>
      <c r="J202" s="18">
        <f>IF(OR(F202="",G202=""),"",ROUND(G202*(1+F202/30),1))</f>
        <v/>
      </c>
      <c r="K202" s="20" t="n"/>
    </row>
    <row r="203" ht="18" customHeight="1">
      <c r="A203" s="21" t="n"/>
      <c r="B203" s="22">
        <f>IF(A203="","",IFERROR(INT((A203-DATE(2026,4,27))/7)+1,""))</f>
        <v/>
      </c>
      <c r="C203" s="22" t="n"/>
      <c r="D203" s="23" t="n"/>
      <c r="E203" s="22" t="n"/>
      <c r="F203" s="22" t="n"/>
      <c r="G203" s="24" t="n"/>
      <c r="H203" s="22" t="n"/>
      <c r="I203" s="25">
        <f>IF(OR(F203="",G203=""),"",F203*G203)</f>
        <v/>
      </c>
      <c r="J203" s="24">
        <f>IF(OR(F203="",G203=""),"",ROUND(G203*(1+F203/30),1))</f>
        <v/>
      </c>
      <c r="K203" s="26" t="n"/>
    </row>
    <row r="204" ht="18" customHeight="1">
      <c r="A204" s="15" t="n"/>
      <c r="B204" s="16">
        <f>IF(A204="","",IFERROR(INT((A204-DATE(2026,4,27))/7)+1,""))</f>
        <v/>
      </c>
      <c r="C204" s="16" t="n"/>
      <c r="D204" s="17" t="n"/>
      <c r="E204" s="16" t="n"/>
      <c r="F204" s="16" t="n"/>
      <c r="G204" s="18" t="n"/>
      <c r="H204" s="16" t="n"/>
      <c r="I204" s="19">
        <f>IF(OR(F204="",G204=""),"",F204*G204)</f>
        <v/>
      </c>
      <c r="J204" s="18">
        <f>IF(OR(F204="",G204=""),"",ROUND(G204*(1+F204/30),1))</f>
        <v/>
      </c>
      <c r="K204" s="20" t="n"/>
    </row>
    <row r="205" ht="18" customHeight="1">
      <c r="A205" s="21" t="n"/>
      <c r="B205" s="22">
        <f>IF(A205="","",IFERROR(INT((A205-DATE(2026,4,27))/7)+1,""))</f>
        <v/>
      </c>
      <c r="C205" s="22" t="n"/>
      <c r="D205" s="23" t="n"/>
      <c r="E205" s="22" t="n"/>
      <c r="F205" s="22" t="n"/>
      <c r="G205" s="24" t="n"/>
      <c r="H205" s="22" t="n"/>
      <c r="I205" s="25">
        <f>IF(OR(F205="",G205=""),"",F205*G205)</f>
        <v/>
      </c>
      <c r="J205" s="24">
        <f>IF(OR(F205="",G205=""),"",ROUND(G205*(1+F205/30),1))</f>
        <v/>
      </c>
      <c r="K205" s="26" t="n"/>
    </row>
    <row r="206" ht="18" customHeight="1">
      <c r="A206" s="15" t="n"/>
      <c r="B206" s="16">
        <f>IF(A206="","",IFERROR(INT((A206-DATE(2026,4,27))/7)+1,""))</f>
        <v/>
      </c>
      <c r="C206" s="16" t="n"/>
      <c r="D206" s="17" t="n"/>
      <c r="E206" s="16" t="n"/>
      <c r="F206" s="16" t="n"/>
      <c r="G206" s="18" t="n"/>
      <c r="H206" s="16" t="n"/>
      <c r="I206" s="19">
        <f>IF(OR(F206="",G206=""),"",F206*G206)</f>
        <v/>
      </c>
      <c r="J206" s="18">
        <f>IF(OR(F206="",G206=""),"",ROUND(G206*(1+F206/30),1))</f>
        <v/>
      </c>
      <c r="K206" s="20" t="n"/>
    </row>
    <row r="207" ht="18" customHeight="1">
      <c r="A207" s="21" t="n"/>
      <c r="B207" s="22">
        <f>IF(A207="","",IFERROR(INT((A207-DATE(2026,4,27))/7)+1,""))</f>
        <v/>
      </c>
      <c r="C207" s="22" t="n"/>
      <c r="D207" s="23" t="n"/>
      <c r="E207" s="22" t="n"/>
      <c r="F207" s="22" t="n"/>
      <c r="G207" s="24" t="n"/>
      <c r="H207" s="22" t="n"/>
      <c r="I207" s="25">
        <f>IF(OR(F207="",G207=""),"",F207*G207)</f>
        <v/>
      </c>
      <c r="J207" s="24">
        <f>IF(OR(F207="",G207=""),"",ROUND(G207*(1+F207/30),1))</f>
        <v/>
      </c>
      <c r="K207" s="26" t="n"/>
    </row>
    <row r="208" ht="18" customHeight="1">
      <c r="A208" s="15" t="n"/>
      <c r="B208" s="16">
        <f>IF(A208="","",IFERROR(INT((A208-DATE(2026,4,27))/7)+1,""))</f>
        <v/>
      </c>
      <c r="C208" s="16" t="n"/>
      <c r="D208" s="17" t="n"/>
      <c r="E208" s="16" t="n"/>
      <c r="F208" s="16" t="n"/>
      <c r="G208" s="18" t="n"/>
      <c r="H208" s="16" t="n"/>
      <c r="I208" s="19">
        <f>IF(OR(F208="",G208=""),"",F208*G208)</f>
        <v/>
      </c>
      <c r="J208" s="18">
        <f>IF(OR(F208="",G208=""),"",ROUND(G208*(1+F208/30),1))</f>
        <v/>
      </c>
      <c r="K208" s="20" t="n"/>
    </row>
    <row r="209" ht="18" customHeight="1">
      <c r="A209" s="21" t="n"/>
      <c r="B209" s="22">
        <f>IF(A209="","",IFERROR(INT((A209-DATE(2026,4,27))/7)+1,""))</f>
        <v/>
      </c>
      <c r="C209" s="22" t="n"/>
      <c r="D209" s="23" t="n"/>
      <c r="E209" s="22" t="n"/>
      <c r="F209" s="22" t="n"/>
      <c r="G209" s="24" t="n"/>
      <c r="H209" s="22" t="n"/>
      <c r="I209" s="25">
        <f>IF(OR(F209="",G209=""),"",F209*G209)</f>
        <v/>
      </c>
      <c r="J209" s="24">
        <f>IF(OR(F209="",G209=""),"",ROUND(G209*(1+F209/30),1))</f>
        <v/>
      </c>
      <c r="K209" s="26" t="n"/>
    </row>
    <row r="210" ht="18" customHeight="1">
      <c r="A210" s="15" t="n"/>
      <c r="B210" s="16">
        <f>IF(A210="","",IFERROR(INT((A210-DATE(2026,4,27))/7)+1,""))</f>
        <v/>
      </c>
      <c r="C210" s="16" t="n"/>
      <c r="D210" s="17" t="n"/>
      <c r="E210" s="16" t="n"/>
      <c r="F210" s="16" t="n"/>
      <c r="G210" s="18" t="n"/>
      <c r="H210" s="16" t="n"/>
      <c r="I210" s="19">
        <f>IF(OR(F210="",G210=""),"",F210*G210)</f>
        <v/>
      </c>
      <c r="J210" s="18">
        <f>IF(OR(F210="",G210=""),"",ROUND(G210*(1+F210/30),1))</f>
        <v/>
      </c>
      <c r="K210" s="20" t="n"/>
    </row>
    <row r="211" ht="18" customHeight="1">
      <c r="A211" s="21" t="n"/>
      <c r="B211" s="22">
        <f>IF(A211="","",IFERROR(INT((A211-DATE(2026,4,27))/7)+1,""))</f>
        <v/>
      </c>
      <c r="C211" s="22" t="n"/>
      <c r="D211" s="23" t="n"/>
      <c r="E211" s="22" t="n"/>
      <c r="F211" s="22" t="n"/>
      <c r="G211" s="24" t="n"/>
      <c r="H211" s="22" t="n"/>
      <c r="I211" s="25">
        <f>IF(OR(F211="",G211=""),"",F211*G211)</f>
        <v/>
      </c>
      <c r="J211" s="24">
        <f>IF(OR(F211="",G211=""),"",ROUND(G211*(1+F211/30),1))</f>
        <v/>
      </c>
      <c r="K211" s="26" t="n"/>
    </row>
    <row r="212" ht="18" customHeight="1">
      <c r="A212" s="15" t="n"/>
      <c r="B212" s="16">
        <f>IF(A212="","",IFERROR(INT((A212-DATE(2026,4,27))/7)+1,""))</f>
        <v/>
      </c>
      <c r="C212" s="16" t="n"/>
      <c r="D212" s="17" t="n"/>
      <c r="E212" s="16" t="n"/>
      <c r="F212" s="16" t="n"/>
      <c r="G212" s="18" t="n"/>
      <c r="H212" s="16" t="n"/>
      <c r="I212" s="19">
        <f>IF(OR(F212="",G212=""),"",F212*G212)</f>
        <v/>
      </c>
      <c r="J212" s="18">
        <f>IF(OR(F212="",G212=""),"",ROUND(G212*(1+F212/30),1))</f>
        <v/>
      </c>
      <c r="K212" s="20" t="n"/>
    </row>
    <row r="213" ht="18" customHeight="1">
      <c r="A213" s="21" t="n"/>
      <c r="B213" s="22">
        <f>IF(A213="","",IFERROR(INT((A213-DATE(2026,4,27))/7)+1,""))</f>
        <v/>
      </c>
      <c r="C213" s="22" t="n"/>
      <c r="D213" s="23" t="n"/>
      <c r="E213" s="22" t="n"/>
      <c r="F213" s="22" t="n"/>
      <c r="G213" s="24" t="n"/>
      <c r="H213" s="22" t="n"/>
      <c r="I213" s="25">
        <f>IF(OR(F213="",G213=""),"",F213*G213)</f>
        <v/>
      </c>
      <c r="J213" s="24">
        <f>IF(OR(F213="",G213=""),"",ROUND(G213*(1+F213/30),1))</f>
        <v/>
      </c>
      <c r="K213" s="26" t="n"/>
    </row>
    <row r="214" ht="18" customHeight="1">
      <c r="A214" s="15" t="n"/>
      <c r="B214" s="16">
        <f>IF(A214="","",IFERROR(INT((A214-DATE(2026,4,27))/7)+1,""))</f>
        <v/>
      </c>
      <c r="C214" s="16" t="n"/>
      <c r="D214" s="17" t="n"/>
      <c r="E214" s="16" t="n"/>
      <c r="F214" s="16" t="n"/>
      <c r="G214" s="18" t="n"/>
      <c r="H214" s="16" t="n"/>
      <c r="I214" s="19">
        <f>IF(OR(F214="",G214=""),"",F214*G214)</f>
        <v/>
      </c>
      <c r="J214" s="18">
        <f>IF(OR(F214="",G214=""),"",ROUND(G214*(1+F214/30),1))</f>
        <v/>
      </c>
      <c r="K214" s="20" t="n"/>
    </row>
    <row r="215" ht="18" customHeight="1">
      <c r="A215" s="21" t="n"/>
      <c r="B215" s="22">
        <f>IF(A215="","",IFERROR(INT((A215-DATE(2026,4,27))/7)+1,""))</f>
        <v/>
      </c>
      <c r="C215" s="22" t="n"/>
      <c r="D215" s="23" t="n"/>
      <c r="E215" s="22" t="n"/>
      <c r="F215" s="22" t="n"/>
      <c r="G215" s="24" t="n"/>
      <c r="H215" s="22" t="n"/>
      <c r="I215" s="25">
        <f>IF(OR(F215="",G215=""),"",F215*G215)</f>
        <v/>
      </c>
      <c r="J215" s="24">
        <f>IF(OR(F215="",G215=""),"",ROUND(G215*(1+F215/30),1))</f>
        <v/>
      </c>
      <c r="K215" s="26" t="n"/>
    </row>
    <row r="216" ht="18" customHeight="1">
      <c r="A216" s="15" t="n"/>
      <c r="B216" s="16">
        <f>IF(A216="","",IFERROR(INT((A216-DATE(2026,4,27))/7)+1,""))</f>
        <v/>
      </c>
      <c r="C216" s="16" t="n"/>
      <c r="D216" s="17" t="n"/>
      <c r="E216" s="16" t="n"/>
      <c r="F216" s="16" t="n"/>
      <c r="G216" s="18" t="n"/>
      <c r="H216" s="16" t="n"/>
      <c r="I216" s="19">
        <f>IF(OR(F216="",G216=""),"",F216*G216)</f>
        <v/>
      </c>
      <c r="J216" s="18">
        <f>IF(OR(F216="",G216=""),"",ROUND(G216*(1+F216/30),1))</f>
        <v/>
      </c>
      <c r="K216" s="20" t="n"/>
    </row>
    <row r="217" ht="18" customHeight="1">
      <c r="A217" s="21" t="n"/>
      <c r="B217" s="22">
        <f>IF(A217="","",IFERROR(INT((A217-DATE(2026,4,27))/7)+1,""))</f>
        <v/>
      </c>
      <c r="C217" s="22" t="n"/>
      <c r="D217" s="23" t="n"/>
      <c r="E217" s="22" t="n"/>
      <c r="F217" s="22" t="n"/>
      <c r="G217" s="24" t="n"/>
      <c r="H217" s="22" t="n"/>
      <c r="I217" s="25">
        <f>IF(OR(F217="",G217=""),"",F217*G217)</f>
        <v/>
      </c>
      <c r="J217" s="24">
        <f>IF(OR(F217="",G217=""),"",ROUND(G217*(1+F217/30),1))</f>
        <v/>
      </c>
      <c r="K217" s="26" t="n"/>
    </row>
    <row r="218" ht="18" customHeight="1">
      <c r="A218" s="15" t="n"/>
      <c r="B218" s="16">
        <f>IF(A218="","",IFERROR(INT((A218-DATE(2026,4,27))/7)+1,""))</f>
        <v/>
      </c>
      <c r="C218" s="16" t="n"/>
      <c r="D218" s="17" t="n"/>
      <c r="E218" s="16" t="n"/>
      <c r="F218" s="16" t="n"/>
      <c r="G218" s="18" t="n"/>
      <c r="H218" s="16" t="n"/>
      <c r="I218" s="19">
        <f>IF(OR(F218="",G218=""),"",F218*G218)</f>
        <v/>
      </c>
      <c r="J218" s="18">
        <f>IF(OR(F218="",G218=""),"",ROUND(G218*(1+F218/30),1))</f>
        <v/>
      </c>
      <c r="K218" s="20" t="n"/>
    </row>
    <row r="219" ht="18" customHeight="1">
      <c r="A219" s="21" t="n"/>
      <c r="B219" s="22">
        <f>IF(A219="","",IFERROR(INT((A219-DATE(2026,4,27))/7)+1,""))</f>
        <v/>
      </c>
      <c r="C219" s="22" t="n"/>
      <c r="D219" s="23" t="n"/>
      <c r="E219" s="22" t="n"/>
      <c r="F219" s="22" t="n"/>
      <c r="G219" s="24" t="n"/>
      <c r="H219" s="22" t="n"/>
      <c r="I219" s="25">
        <f>IF(OR(F219="",G219=""),"",F219*G219)</f>
        <v/>
      </c>
      <c r="J219" s="24">
        <f>IF(OR(F219="",G219=""),"",ROUND(G219*(1+F219/30),1))</f>
        <v/>
      </c>
      <c r="K219" s="26" t="n"/>
    </row>
    <row r="220" ht="18" customHeight="1">
      <c r="A220" s="15" t="n"/>
      <c r="B220" s="16">
        <f>IF(A220="","",IFERROR(INT((A220-DATE(2026,4,27))/7)+1,""))</f>
        <v/>
      </c>
      <c r="C220" s="16" t="n"/>
      <c r="D220" s="17" t="n"/>
      <c r="E220" s="16" t="n"/>
      <c r="F220" s="16" t="n"/>
      <c r="G220" s="18" t="n"/>
      <c r="H220" s="16" t="n"/>
      <c r="I220" s="19">
        <f>IF(OR(F220="",G220=""),"",F220*G220)</f>
        <v/>
      </c>
      <c r="J220" s="18">
        <f>IF(OR(F220="",G220=""),"",ROUND(G220*(1+F220/30),1))</f>
        <v/>
      </c>
      <c r="K220" s="20" t="n"/>
    </row>
    <row r="221" ht="18" customHeight="1">
      <c r="A221" s="21" t="n"/>
      <c r="B221" s="22">
        <f>IF(A221="","",IFERROR(INT((A221-DATE(2026,4,27))/7)+1,""))</f>
        <v/>
      </c>
      <c r="C221" s="22" t="n"/>
      <c r="D221" s="23" t="n"/>
      <c r="E221" s="22" t="n"/>
      <c r="F221" s="22" t="n"/>
      <c r="G221" s="24" t="n"/>
      <c r="H221" s="22" t="n"/>
      <c r="I221" s="25">
        <f>IF(OR(F221="",G221=""),"",F221*G221)</f>
        <v/>
      </c>
      <c r="J221" s="24">
        <f>IF(OR(F221="",G221=""),"",ROUND(G221*(1+F221/30),1))</f>
        <v/>
      </c>
      <c r="K221" s="26" t="n"/>
    </row>
    <row r="222" ht="18" customHeight="1">
      <c r="A222" s="15" t="n"/>
      <c r="B222" s="16">
        <f>IF(A222="","",IFERROR(INT((A222-DATE(2026,4,27))/7)+1,""))</f>
        <v/>
      </c>
      <c r="C222" s="16" t="n"/>
      <c r="D222" s="17" t="n"/>
      <c r="E222" s="16" t="n"/>
      <c r="F222" s="16" t="n"/>
      <c r="G222" s="18" t="n"/>
      <c r="H222" s="16" t="n"/>
      <c r="I222" s="19">
        <f>IF(OR(F222="",G222=""),"",F222*G222)</f>
        <v/>
      </c>
      <c r="J222" s="18">
        <f>IF(OR(F222="",G222=""),"",ROUND(G222*(1+F222/30),1))</f>
        <v/>
      </c>
      <c r="K222" s="20" t="n"/>
    </row>
    <row r="223" ht="18" customHeight="1">
      <c r="A223" s="21" t="n"/>
      <c r="B223" s="22">
        <f>IF(A223="","",IFERROR(INT((A223-DATE(2026,4,27))/7)+1,""))</f>
        <v/>
      </c>
      <c r="C223" s="22" t="n"/>
      <c r="D223" s="23" t="n"/>
      <c r="E223" s="22" t="n"/>
      <c r="F223" s="22" t="n"/>
      <c r="G223" s="24" t="n"/>
      <c r="H223" s="22" t="n"/>
      <c r="I223" s="25">
        <f>IF(OR(F223="",G223=""),"",F223*G223)</f>
        <v/>
      </c>
      <c r="J223" s="24">
        <f>IF(OR(F223="",G223=""),"",ROUND(G223*(1+F223/30),1))</f>
        <v/>
      </c>
      <c r="K223" s="26" t="n"/>
    </row>
    <row r="224" ht="18" customHeight="1">
      <c r="A224" s="15" t="n"/>
      <c r="B224" s="16">
        <f>IF(A224="","",IFERROR(INT((A224-DATE(2026,4,27))/7)+1,""))</f>
        <v/>
      </c>
      <c r="C224" s="16" t="n"/>
      <c r="D224" s="17" t="n"/>
      <c r="E224" s="16" t="n"/>
      <c r="F224" s="16" t="n"/>
      <c r="G224" s="18" t="n"/>
      <c r="H224" s="16" t="n"/>
      <c r="I224" s="19">
        <f>IF(OR(F224="",G224=""),"",F224*G224)</f>
        <v/>
      </c>
      <c r="J224" s="18">
        <f>IF(OR(F224="",G224=""),"",ROUND(G224*(1+F224/30),1))</f>
        <v/>
      </c>
      <c r="K224" s="20" t="n"/>
    </row>
    <row r="225" ht="18" customHeight="1">
      <c r="A225" s="21" t="n"/>
      <c r="B225" s="22">
        <f>IF(A225="","",IFERROR(INT((A225-DATE(2026,4,27))/7)+1,""))</f>
        <v/>
      </c>
      <c r="C225" s="22" t="n"/>
      <c r="D225" s="23" t="n"/>
      <c r="E225" s="22" t="n"/>
      <c r="F225" s="22" t="n"/>
      <c r="G225" s="24" t="n"/>
      <c r="H225" s="22" t="n"/>
      <c r="I225" s="25">
        <f>IF(OR(F225="",G225=""),"",F225*G225)</f>
        <v/>
      </c>
      <c r="J225" s="24">
        <f>IF(OR(F225="",G225=""),"",ROUND(G225*(1+F225/30),1))</f>
        <v/>
      </c>
      <c r="K225" s="26" t="n"/>
    </row>
    <row r="226" ht="18" customHeight="1">
      <c r="A226" s="15" t="n"/>
      <c r="B226" s="16">
        <f>IF(A226="","",IFERROR(INT((A226-DATE(2026,4,27))/7)+1,""))</f>
        <v/>
      </c>
      <c r="C226" s="16" t="n"/>
      <c r="D226" s="17" t="n"/>
      <c r="E226" s="16" t="n"/>
      <c r="F226" s="16" t="n"/>
      <c r="G226" s="18" t="n"/>
      <c r="H226" s="16" t="n"/>
      <c r="I226" s="19">
        <f>IF(OR(F226="",G226=""),"",F226*G226)</f>
        <v/>
      </c>
      <c r="J226" s="18">
        <f>IF(OR(F226="",G226=""),"",ROUND(G226*(1+F226/30),1))</f>
        <v/>
      </c>
      <c r="K226" s="20" t="n"/>
    </row>
    <row r="227" ht="18" customHeight="1">
      <c r="A227" s="21" t="n"/>
      <c r="B227" s="22">
        <f>IF(A227="","",IFERROR(INT((A227-DATE(2026,4,27))/7)+1,""))</f>
        <v/>
      </c>
      <c r="C227" s="22" t="n"/>
      <c r="D227" s="23" t="n"/>
      <c r="E227" s="22" t="n"/>
      <c r="F227" s="22" t="n"/>
      <c r="G227" s="24" t="n"/>
      <c r="H227" s="22" t="n"/>
      <c r="I227" s="25">
        <f>IF(OR(F227="",G227=""),"",F227*G227)</f>
        <v/>
      </c>
      <c r="J227" s="24">
        <f>IF(OR(F227="",G227=""),"",ROUND(G227*(1+F227/30),1))</f>
        <v/>
      </c>
      <c r="K227" s="26" t="n"/>
    </row>
    <row r="228" ht="18" customHeight="1">
      <c r="A228" s="15" t="n"/>
      <c r="B228" s="16">
        <f>IF(A228="","",IFERROR(INT((A228-DATE(2026,4,27))/7)+1,""))</f>
        <v/>
      </c>
      <c r="C228" s="16" t="n"/>
      <c r="D228" s="17" t="n"/>
      <c r="E228" s="16" t="n"/>
      <c r="F228" s="16" t="n"/>
      <c r="G228" s="18" t="n"/>
      <c r="H228" s="16" t="n"/>
      <c r="I228" s="19">
        <f>IF(OR(F228="",G228=""),"",F228*G228)</f>
        <v/>
      </c>
      <c r="J228" s="18">
        <f>IF(OR(F228="",G228=""),"",ROUND(G228*(1+F228/30),1))</f>
        <v/>
      </c>
      <c r="K228" s="20" t="n"/>
    </row>
    <row r="229" ht="18" customHeight="1">
      <c r="A229" s="21" t="n"/>
      <c r="B229" s="22">
        <f>IF(A229="","",IFERROR(INT((A229-DATE(2026,4,27))/7)+1,""))</f>
        <v/>
      </c>
      <c r="C229" s="22" t="n"/>
      <c r="D229" s="23" t="n"/>
      <c r="E229" s="22" t="n"/>
      <c r="F229" s="22" t="n"/>
      <c r="G229" s="24" t="n"/>
      <c r="H229" s="22" t="n"/>
      <c r="I229" s="25">
        <f>IF(OR(F229="",G229=""),"",F229*G229)</f>
        <v/>
      </c>
      <c r="J229" s="24">
        <f>IF(OR(F229="",G229=""),"",ROUND(G229*(1+F229/30),1))</f>
        <v/>
      </c>
      <c r="K229" s="26" t="n"/>
    </row>
    <row r="230" ht="18" customHeight="1">
      <c r="A230" s="15" t="n"/>
      <c r="B230" s="16">
        <f>IF(A230="","",IFERROR(INT((A230-DATE(2026,4,27))/7)+1,""))</f>
        <v/>
      </c>
      <c r="C230" s="16" t="n"/>
      <c r="D230" s="17" t="n"/>
      <c r="E230" s="16" t="n"/>
      <c r="F230" s="16" t="n"/>
      <c r="G230" s="18" t="n"/>
      <c r="H230" s="16" t="n"/>
      <c r="I230" s="19">
        <f>IF(OR(F230="",G230=""),"",F230*G230)</f>
        <v/>
      </c>
      <c r="J230" s="18">
        <f>IF(OR(F230="",G230=""),"",ROUND(G230*(1+F230/30),1))</f>
        <v/>
      </c>
      <c r="K230" s="20" t="n"/>
    </row>
    <row r="231" ht="18" customHeight="1">
      <c r="A231" s="21" t="n"/>
      <c r="B231" s="22">
        <f>IF(A231="","",IFERROR(INT((A231-DATE(2026,4,27))/7)+1,""))</f>
        <v/>
      </c>
      <c r="C231" s="22" t="n"/>
      <c r="D231" s="23" t="n"/>
      <c r="E231" s="22" t="n"/>
      <c r="F231" s="22" t="n"/>
      <c r="G231" s="24" t="n"/>
      <c r="H231" s="22" t="n"/>
      <c r="I231" s="25">
        <f>IF(OR(F231="",G231=""),"",F231*G231)</f>
        <v/>
      </c>
      <c r="J231" s="24">
        <f>IF(OR(F231="",G231=""),"",ROUND(G231*(1+F231/30),1))</f>
        <v/>
      </c>
      <c r="K231" s="26" t="n"/>
    </row>
    <row r="232" ht="18" customHeight="1">
      <c r="A232" s="15" t="n"/>
      <c r="B232" s="16">
        <f>IF(A232="","",IFERROR(INT((A232-DATE(2026,4,27))/7)+1,""))</f>
        <v/>
      </c>
      <c r="C232" s="16" t="n"/>
      <c r="D232" s="17" t="n"/>
      <c r="E232" s="16" t="n"/>
      <c r="F232" s="16" t="n"/>
      <c r="G232" s="18" t="n"/>
      <c r="H232" s="16" t="n"/>
      <c r="I232" s="19">
        <f>IF(OR(F232="",G232=""),"",F232*G232)</f>
        <v/>
      </c>
      <c r="J232" s="18">
        <f>IF(OR(F232="",G232=""),"",ROUND(G232*(1+F232/30),1))</f>
        <v/>
      </c>
      <c r="K232" s="20" t="n"/>
    </row>
    <row r="233" ht="18" customHeight="1">
      <c r="A233" s="21" t="n"/>
      <c r="B233" s="22">
        <f>IF(A233="","",IFERROR(INT((A233-DATE(2026,4,27))/7)+1,""))</f>
        <v/>
      </c>
      <c r="C233" s="22" t="n"/>
      <c r="D233" s="23" t="n"/>
      <c r="E233" s="22" t="n"/>
      <c r="F233" s="22" t="n"/>
      <c r="G233" s="24" t="n"/>
      <c r="H233" s="22" t="n"/>
      <c r="I233" s="25">
        <f>IF(OR(F233="",G233=""),"",F233*G233)</f>
        <v/>
      </c>
      <c r="J233" s="24">
        <f>IF(OR(F233="",G233=""),"",ROUND(G233*(1+F233/30),1))</f>
        <v/>
      </c>
      <c r="K233" s="26" t="n"/>
    </row>
    <row r="234" ht="18" customHeight="1">
      <c r="A234" s="15" t="n"/>
      <c r="B234" s="16">
        <f>IF(A234="","",IFERROR(INT((A234-DATE(2026,4,27))/7)+1,""))</f>
        <v/>
      </c>
      <c r="C234" s="16" t="n"/>
      <c r="D234" s="17" t="n"/>
      <c r="E234" s="16" t="n"/>
      <c r="F234" s="16" t="n"/>
      <c r="G234" s="18" t="n"/>
      <c r="H234" s="16" t="n"/>
      <c r="I234" s="19">
        <f>IF(OR(F234="",G234=""),"",F234*G234)</f>
        <v/>
      </c>
      <c r="J234" s="18">
        <f>IF(OR(F234="",G234=""),"",ROUND(G234*(1+F234/30),1))</f>
        <v/>
      </c>
      <c r="K234" s="20" t="n"/>
    </row>
    <row r="235" ht="18" customHeight="1">
      <c r="A235" s="21" t="n"/>
      <c r="B235" s="22">
        <f>IF(A235="","",IFERROR(INT((A235-DATE(2026,4,27))/7)+1,""))</f>
        <v/>
      </c>
      <c r="C235" s="22" t="n"/>
      <c r="D235" s="23" t="n"/>
      <c r="E235" s="22" t="n"/>
      <c r="F235" s="22" t="n"/>
      <c r="G235" s="24" t="n"/>
      <c r="H235" s="22" t="n"/>
      <c r="I235" s="25">
        <f>IF(OR(F235="",G235=""),"",F235*G235)</f>
        <v/>
      </c>
      <c r="J235" s="24">
        <f>IF(OR(F235="",G235=""),"",ROUND(G235*(1+F235/30),1))</f>
        <v/>
      </c>
      <c r="K235" s="26" t="n"/>
    </row>
    <row r="236" ht="18" customHeight="1">
      <c r="A236" s="15" t="n"/>
      <c r="B236" s="16">
        <f>IF(A236="","",IFERROR(INT((A236-DATE(2026,4,27))/7)+1,""))</f>
        <v/>
      </c>
      <c r="C236" s="16" t="n"/>
      <c r="D236" s="17" t="n"/>
      <c r="E236" s="16" t="n"/>
      <c r="F236" s="16" t="n"/>
      <c r="G236" s="18" t="n"/>
      <c r="H236" s="16" t="n"/>
      <c r="I236" s="19">
        <f>IF(OR(F236="",G236=""),"",F236*G236)</f>
        <v/>
      </c>
      <c r="J236" s="18">
        <f>IF(OR(F236="",G236=""),"",ROUND(G236*(1+F236/30),1))</f>
        <v/>
      </c>
      <c r="K236" s="20" t="n"/>
    </row>
    <row r="237" ht="18" customHeight="1">
      <c r="A237" s="21" t="n"/>
      <c r="B237" s="22">
        <f>IF(A237="","",IFERROR(INT((A237-DATE(2026,4,27))/7)+1,""))</f>
        <v/>
      </c>
      <c r="C237" s="22" t="n"/>
      <c r="D237" s="23" t="n"/>
      <c r="E237" s="22" t="n"/>
      <c r="F237" s="22" t="n"/>
      <c r="G237" s="24" t="n"/>
      <c r="H237" s="22" t="n"/>
      <c r="I237" s="25">
        <f>IF(OR(F237="",G237=""),"",F237*G237)</f>
        <v/>
      </c>
      <c r="J237" s="24">
        <f>IF(OR(F237="",G237=""),"",ROUND(G237*(1+F237/30),1))</f>
        <v/>
      </c>
      <c r="K237" s="26" t="n"/>
    </row>
    <row r="238" ht="18" customHeight="1">
      <c r="A238" s="15" t="n"/>
      <c r="B238" s="16">
        <f>IF(A238="","",IFERROR(INT((A238-DATE(2026,4,27))/7)+1,""))</f>
        <v/>
      </c>
      <c r="C238" s="16" t="n"/>
      <c r="D238" s="17" t="n"/>
      <c r="E238" s="16" t="n"/>
      <c r="F238" s="16" t="n"/>
      <c r="G238" s="18" t="n"/>
      <c r="H238" s="16" t="n"/>
      <c r="I238" s="19">
        <f>IF(OR(F238="",G238=""),"",F238*G238)</f>
        <v/>
      </c>
      <c r="J238" s="18">
        <f>IF(OR(F238="",G238=""),"",ROUND(G238*(1+F238/30),1))</f>
        <v/>
      </c>
      <c r="K238" s="20" t="n"/>
    </row>
    <row r="239" ht="18" customHeight="1">
      <c r="A239" s="21" t="n"/>
      <c r="B239" s="22">
        <f>IF(A239="","",IFERROR(INT((A239-DATE(2026,4,27))/7)+1,""))</f>
        <v/>
      </c>
      <c r="C239" s="22" t="n"/>
      <c r="D239" s="23" t="n"/>
      <c r="E239" s="22" t="n"/>
      <c r="F239" s="22" t="n"/>
      <c r="G239" s="24" t="n"/>
      <c r="H239" s="22" t="n"/>
      <c r="I239" s="25">
        <f>IF(OR(F239="",G239=""),"",F239*G239)</f>
        <v/>
      </c>
      <c r="J239" s="24">
        <f>IF(OR(F239="",G239=""),"",ROUND(G239*(1+F239/30),1))</f>
        <v/>
      </c>
      <c r="K239" s="26" t="n"/>
    </row>
    <row r="240" ht="18" customHeight="1">
      <c r="A240" s="15" t="n"/>
      <c r="B240" s="16">
        <f>IF(A240="","",IFERROR(INT((A240-DATE(2026,4,27))/7)+1,""))</f>
        <v/>
      </c>
      <c r="C240" s="16" t="n"/>
      <c r="D240" s="17" t="n"/>
      <c r="E240" s="16" t="n"/>
      <c r="F240" s="16" t="n"/>
      <c r="G240" s="18" t="n"/>
      <c r="H240" s="16" t="n"/>
      <c r="I240" s="19">
        <f>IF(OR(F240="",G240=""),"",F240*G240)</f>
        <v/>
      </c>
      <c r="J240" s="18">
        <f>IF(OR(F240="",G240=""),"",ROUND(G240*(1+F240/30),1))</f>
        <v/>
      </c>
      <c r="K240" s="20" t="n"/>
    </row>
    <row r="241" ht="18" customHeight="1">
      <c r="A241" s="21" t="n"/>
      <c r="B241" s="22">
        <f>IF(A241="","",IFERROR(INT((A241-DATE(2026,4,27))/7)+1,""))</f>
        <v/>
      </c>
      <c r="C241" s="22" t="n"/>
      <c r="D241" s="23" t="n"/>
      <c r="E241" s="22" t="n"/>
      <c r="F241" s="22" t="n"/>
      <c r="G241" s="24" t="n"/>
      <c r="H241" s="22" t="n"/>
      <c r="I241" s="25">
        <f>IF(OR(F241="",G241=""),"",F241*G241)</f>
        <v/>
      </c>
      <c r="J241" s="24">
        <f>IF(OR(F241="",G241=""),"",ROUND(G241*(1+F241/30),1))</f>
        <v/>
      </c>
      <c r="K241" s="26" t="n"/>
    </row>
    <row r="242" ht="18" customHeight="1">
      <c r="A242" s="15" t="n"/>
      <c r="B242" s="16">
        <f>IF(A242="","",IFERROR(INT((A242-DATE(2026,4,27))/7)+1,""))</f>
        <v/>
      </c>
      <c r="C242" s="16" t="n"/>
      <c r="D242" s="17" t="n"/>
      <c r="E242" s="16" t="n"/>
      <c r="F242" s="16" t="n"/>
      <c r="G242" s="18" t="n"/>
      <c r="H242" s="16" t="n"/>
      <c r="I242" s="19">
        <f>IF(OR(F242="",G242=""),"",F242*G242)</f>
        <v/>
      </c>
      <c r="J242" s="18">
        <f>IF(OR(F242="",G242=""),"",ROUND(G242*(1+F242/30),1))</f>
        <v/>
      </c>
      <c r="K242" s="20" t="n"/>
    </row>
    <row r="243" ht="18" customHeight="1">
      <c r="A243" s="21" t="n"/>
      <c r="B243" s="22">
        <f>IF(A243="","",IFERROR(INT((A243-DATE(2026,4,27))/7)+1,""))</f>
        <v/>
      </c>
      <c r="C243" s="22" t="n"/>
      <c r="D243" s="23" t="n"/>
      <c r="E243" s="22" t="n"/>
      <c r="F243" s="22" t="n"/>
      <c r="G243" s="24" t="n"/>
      <c r="H243" s="22" t="n"/>
      <c r="I243" s="25">
        <f>IF(OR(F243="",G243=""),"",F243*G243)</f>
        <v/>
      </c>
      <c r="J243" s="24">
        <f>IF(OR(F243="",G243=""),"",ROUND(G243*(1+F243/30),1))</f>
        <v/>
      </c>
      <c r="K243" s="26" t="n"/>
    </row>
    <row r="244" ht="18" customHeight="1">
      <c r="A244" s="15" t="n"/>
      <c r="B244" s="16">
        <f>IF(A244="","",IFERROR(INT((A244-DATE(2026,4,27))/7)+1,""))</f>
        <v/>
      </c>
      <c r="C244" s="16" t="n"/>
      <c r="D244" s="17" t="n"/>
      <c r="E244" s="16" t="n"/>
      <c r="F244" s="16" t="n"/>
      <c r="G244" s="18" t="n"/>
      <c r="H244" s="16" t="n"/>
      <c r="I244" s="19">
        <f>IF(OR(F244="",G244=""),"",F244*G244)</f>
        <v/>
      </c>
      <c r="J244" s="18">
        <f>IF(OR(F244="",G244=""),"",ROUND(G244*(1+F244/30),1))</f>
        <v/>
      </c>
      <c r="K244" s="20" t="n"/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/>
      <c r="B3" s="22">
        <f>IF(A3="","",IFERROR(INT((A3-DATE(2026,4,27))/7)+1,""))</f>
        <v/>
      </c>
      <c r="C3" s="28" t="n"/>
      <c r="D3" s="24" t="n"/>
      <c r="E3" s="22">
        <f>IF(OR(C3="",D3=""),"",TEXT(D3/C3/1440,"m:ss"))</f>
        <v/>
      </c>
      <c r="F3" s="22" t="n"/>
      <c r="G3" s="22" t="n"/>
      <c r="H3" s="22" t="n"/>
      <c r="I3" s="22" t="n"/>
      <c r="J3" s="26" t="n"/>
    </row>
    <row r="4" ht="18" customHeight="1">
      <c r="A4" s="15" t="n"/>
      <c r="B4" s="16">
        <f>IF(A4="","",IFERROR(INT((A4-DATE(2026,4,27))/7)+1,""))</f>
        <v/>
      </c>
      <c r="C4" s="27" t="n"/>
      <c r="D4" s="18" t="n"/>
      <c r="E4" s="16">
        <f>IF(OR(C4="",D4=""),"",TEXT(D4/C4/1440,"m:ss"))</f>
        <v/>
      </c>
      <c r="F4" s="16" t="n"/>
      <c r="G4" s="16" t="n"/>
      <c r="H4" s="16" t="n"/>
      <c r="I4" s="16" t="n"/>
      <c r="J4" s="20" t="n"/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Fri, illness Thu/Fri)</t>
        </is>
      </c>
    </row>
    <row r="12" ht="18" customHeight="1">
      <c r="A12" s="15" t="n"/>
      <c r="B12" s="16">
        <f>IF(A12="","",IFERROR(INT((A12-DATE(2026,4,27))/7)+1,""))</f>
        <v/>
      </c>
      <c r="C12" s="18" t="n"/>
      <c r="D12" s="18" t="n"/>
      <c r="E12" s="18" t="n"/>
      <c r="F12" s="18" t="n"/>
      <c r="G12" s="18" t="n"/>
      <c r="H12" s="18" t="n"/>
      <c r="I12" s="20" t="n"/>
    </row>
    <row r="13" ht="18" customHeight="1">
      <c r="A13" s="21" t="n"/>
      <c r="B13" s="22">
        <f>IF(A13="","",IFERROR(INT((A13-DATE(2026,4,27))/7)+1,""))</f>
        <v/>
      </c>
      <c r="C13" s="24" t="n"/>
      <c r="D13" s="24" t="n"/>
      <c r="E13" s="24" t="n"/>
      <c r="F13" s="24" t="n"/>
      <c r="G13" s="24" t="n"/>
      <c r="H13" s="24" t="n"/>
      <c r="I13" s="26" t="n"/>
    </row>
    <row r="14" ht="18" customHeight="1">
      <c r="A14" s="15" t="n"/>
      <c r="B14" s="16">
        <f>IF(A14="","",IFERROR(INT((A14-DATE(2026,4,27))/7)+1,""))</f>
        <v/>
      </c>
      <c r="C14" s="18" t="n"/>
      <c r="D14" s="18" t="n"/>
      <c r="E14" s="18" t="n"/>
      <c r="F14" s="18" t="n"/>
      <c r="G14" s="18" t="n"/>
      <c r="H14" s="18" t="n"/>
      <c r="I14" s="20" t="n"/>
    </row>
    <row r="15" ht="18" customHeight="1">
      <c r="A15" s="21" t="n"/>
      <c r="B15" s="22">
        <f>IF(A15="","",IFERROR(INT((A15-DATE(2026,4,27))/7)+1,""))</f>
        <v/>
      </c>
      <c r="C15" s="24" t="n"/>
      <c r="D15" s="24" t="n"/>
      <c r="E15" s="24" t="n"/>
      <c r="F15" s="24" t="n"/>
      <c r="G15" s="24" t="n"/>
      <c r="H15" s="24" t="n"/>
      <c r="I15" s="26" t="n"/>
    </row>
    <row r="16" ht="18" customHeight="1">
      <c r="A16" s="15" t="n"/>
      <c r="B16" s="16">
        <f>IF(A16="","",IFERROR(INT((A16-DATE(2026,4,27))/7)+1,""))</f>
        <v/>
      </c>
      <c r="C16" s="18" t="n"/>
      <c r="D16" s="18" t="n"/>
      <c r="E16" s="18" t="n"/>
      <c r="F16" s="18" t="n"/>
      <c r="G16" s="18" t="n"/>
      <c r="H16" s="18" t="n"/>
      <c r="I16" s="20" t="n"/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2026-05-17T10:12:11Z</dcterms:created>
  <dcterms:modified xmlns:dcterms="http://purl.org/dc/terms/" xmlns:xsi="http://www.w3.org/2001/XMLSchema-instance" xsi:type="dcterms:W3CDTF">2026-05-17T10:12:12Z</dcterms:modified>
</cp:coreProperties>
</file>