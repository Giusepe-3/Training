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24" t="n">
        <v>5</v>
      </c>
      <c r="H207" s="22" t="n">
        <v>5</v>
      </c>
      <c r="I207" s="25">
        <f>IF(OR(F207="",G207=""),"",F207*G207)</f>
        <v/>
      </c>
      <c r="J207" s="24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1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18" t="n">
        <v>5</v>
      </c>
      <c r="H208" s="16" t="n">
        <v>6</v>
      </c>
      <c r="I208" s="19">
        <f>IF(OR(F208="",G208=""),"",F208*G208)</f>
        <v/>
      </c>
      <c r="J208" s="18">
        <f>IF(OR(F208="",G208=""),"",ROUND(G208*(1+F208/30),1))</f>
        <v/>
      </c>
      <c r="K208" s="20" t="inlineStr"/>
    </row>
    <row r="209" ht="18" customHeight="1">
      <c r="A209" s="21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24" t="n">
        <v>5</v>
      </c>
      <c r="H209" s="22" t="n">
        <v>7</v>
      </c>
      <c r="I209" s="25">
        <f>IF(OR(F209="",G209=""),"",F209*G209)</f>
        <v/>
      </c>
      <c r="J209" s="24">
        <f>IF(OR(F209="",G209=""),"",ROUND(G209*(1+F209/30),1))</f>
        <v/>
      </c>
      <c r="K209" s="26" t="inlineStr"/>
    </row>
    <row r="210" ht="18" customHeight="1">
      <c r="A210" s="1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18" t="n">
        <v>5</v>
      </c>
      <c r="H210" s="16" t="n">
        <v>6</v>
      </c>
      <c r="I210" s="19">
        <f>IF(OR(F210="",G210=""),"",F210*G210)</f>
        <v/>
      </c>
      <c r="J210" s="18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21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24" t="n">
        <v>3</v>
      </c>
      <c r="H211" s="22" t="n">
        <v>5</v>
      </c>
      <c r="I211" s="25">
        <f>IF(OR(F211="",G211=""),"",F211*G211)</f>
        <v/>
      </c>
      <c r="J211" s="24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1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18" t="n">
        <v>3</v>
      </c>
      <c r="H212" s="16" t="n">
        <v>5</v>
      </c>
      <c r="I212" s="19">
        <f>IF(OR(F212="",G212=""),"",F212*G212)</f>
        <v/>
      </c>
      <c r="J212" s="18">
        <f>IF(OR(F212="",G212=""),"",ROUND(G212*(1+F212/30),1))</f>
        <v/>
      </c>
      <c r="K212" s="20" t="inlineStr"/>
    </row>
    <row r="213" ht="18" customHeight="1">
      <c r="A213" s="21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24" t="n">
        <v>3</v>
      </c>
      <c r="H213" s="22" t="n">
        <v>5</v>
      </c>
      <c r="I213" s="25">
        <f>IF(OR(F213="",G213=""),"",F213*G213)</f>
        <v/>
      </c>
      <c r="J213" s="24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1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18" t="n">
        <v>5</v>
      </c>
      <c r="H214" s="16" t="n">
        <v>7</v>
      </c>
      <c r="I214" s="19">
        <f>IF(OR(F214="",G214=""),"",F214*G214)</f>
        <v/>
      </c>
      <c r="J214" s="18">
        <f>IF(OR(F214="",G214=""),"",ROUND(G214*(1+F214/30),1))</f>
        <v/>
      </c>
      <c r="K214" s="20" t="inlineStr"/>
    </row>
    <row r="215" ht="18" customHeight="1">
      <c r="A215" s="21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24" t="n">
        <v>5</v>
      </c>
      <c r="H215" s="22" t="n">
        <v>7</v>
      </c>
      <c r="I215" s="25">
        <f>IF(OR(F215="",G215=""),"",F215*G215)</f>
        <v/>
      </c>
      <c r="J215" s="24">
        <f>IF(OR(F215="",G215=""),"",ROUND(G215*(1+F215/30),1))</f>
        <v/>
      </c>
      <c r="K215" s="26" t="inlineStr"/>
    </row>
    <row r="216" ht="18" customHeight="1">
      <c r="A216" s="1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18" t="n">
        <v>5</v>
      </c>
      <c r="H216" s="16" t="n">
        <v>7</v>
      </c>
      <c r="I216" s="19">
        <f>IF(OR(F216="",G216=""),"",F216*G216)</f>
        <v/>
      </c>
      <c r="J216" s="18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21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24" t="n">
        <v>2.5</v>
      </c>
      <c r="H217" s="22" t="n">
        <v>7</v>
      </c>
      <c r="I217" s="25">
        <f>IF(OR(F217="",G217=""),"",F217*G217)</f>
        <v/>
      </c>
      <c r="J217" s="24">
        <f>IF(OR(F217="",G217=""),"",ROUND(G217*(1+F217/30),1))</f>
        <v/>
      </c>
      <c r="K217" s="26" t="inlineStr"/>
    </row>
    <row r="218" ht="18" customHeight="1">
      <c r="A218" s="1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18" t="n">
        <v>2.5</v>
      </c>
      <c r="H218" s="16" t="n">
        <v>7</v>
      </c>
      <c r="I218" s="19">
        <f>IF(OR(F218="",G218=""),"",F218*G218)</f>
        <v/>
      </c>
      <c r="J218" s="18">
        <f>IF(OR(F218="",G218=""),"",ROUND(G218*(1+F218/30),1))</f>
        <v/>
      </c>
      <c r="K218" s="20" t="inlineStr"/>
    </row>
    <row r="219" ht="18" customHeight="1">
      <c r="A219" s="21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24" t="n">
        <v>2.5</v>
      </c>
      <c r="H219" s="22" t="n">
        <v>7</v>
      </c>
      <c r="I219" s="25">
        <f>IF(OR(F219="",G219=""),"",F219*G219)</f>
        <v/>
      </c>
      <c r="J219" s="24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1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18" t="n">
        <v>15</v>
      </c>
      <c r="H220" s="16" t="n">
        <v>8</v>
      </c>
      <c r="I220" s="19">
        <f>IF(OR(F220="",G220=""),"",F220*G220)</f>
        <v/>
      </c>
      <c r="J220" s="18">
        <f>IF(OR(F220="",G220=""),"",ROUND(G220*(1+F220/30),1))</f>
        <v/>
      </c>
      <c r="K220" s="20" t="inlineStr"/>
    </row>
    <row r="221" ht="18" customHeight="1">
      <c r="A221" s="21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24" t="n">
        <v>15</v>
      </c>
      <c r="H221" s="22" t="n">
        <v>8</v>
      </c>
      <c r="I221" s="25">
        <f>IF(OR(F221="",G221=""),"",F221*G221)</f>
        <v/>
      </c>
      <c r="J221" s="24">
        <f>IF(OR(F221="",G221=""),"",ROUND(G221*(1+F221/30),1))</f>
        <v/>
      </c>
      <c r="K221" s="26" t="inlineStr"/>
    </row>
    <row r="222" ht="18" customHeight="1">
      <c r="A222" s="1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18" t="n">
        <v>15</v>
      </c>
      <c r="H222" s="16" t="n">
        <v>9</v>
      </c>
      <c r="I222" s="19">
        <f>IF(OR(F222="",G222=""),"",F222*G222)</f>
        <v/>
      </c>
      <c r="J222" s="18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21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24" t="n">
        <v>2</v>
      </c>
      <c r="H223" s="22" t="n">
        <v>8</v>
      </c>
      <c r="I223" s="25">
        <f>IF(OR(F223="",G223=""),"",F223*G223)</f>
        <v/>
      </c>
      <c r="J223" s="24">
        <f>IF(OR(F223="",G223=""),"",ROUND(G223*(1+F223/30),1))</f>
        <v/>
      </c>
      <c r="K223" s="26" t="inlineStr"/>
    </row>
    <row r="224" ht="18" customHeight="1">
      <c r="A224" s="1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18" t="n">
        <v>2</v>
      </c>
      <c r="H224" s="16" t="n">
        <v>8</v>
      </c>
      <c r="I224" s="19">
        <f>IF(OR(F224="",G224=""),"",F224*G224)</f>
        <v/>
      </c>
      <c r="J224" s="18">
        <f>IF(OR(F224="",G224=""),"",ROUND(G224*(1+F224/30),1))</f>
        <v/>
      </c>
      <c r="K224" s="20" t="inlineStr"/>
    </row>
    <row r="225" ht="18" customHeight="1">
      <c r="A225" s="21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24" t="n">
        <v>2</v>
      </c>
      <c r="H225" s="22" t="n">
        <v>8</v>
      </c>
      <c r="I225" s="25">
        <f>IF(OR(F225="",G225=""),"",F225*G225)</f>
        <v/>
      </c>
      <c r="J225" s="24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1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18" t="n">
        <v>35</v>
      </c>
      <c r="H226" s="16" t="n">
        <v>9</v>
      </c>
      <c r="I226" s="19">
        <f>IF(OR(F226="",G226=""),"",F226*G226)</f>
        <v/>
      </c>
      <c r="J226" s="18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21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24" t="n">
        <v>30</v>
      </c>
      <c r="H227" s="22" t="n">
        <v>7</v>
      </c>
      <c r="I227" s="25">
        <f>IF(OR(F227="",G227=""),"",F227*G227)</f>
        <v/>
      </c>
      <c r="J227" s="24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1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18" t="n">
        <v>30</v>
      </c>
      <c r="H228" s="16" t="n">
        <v>8</v>
      </c>
      <c r="I228" s="19">
        <f>IF(OR(F228="",G228=""),"",F228*G228)</f>
        <v/>
      </c>
      <c r="J228" s="18">
        <f>IF(OR(F228="",G228=""),"",ROUND(G228*(1+F228/30),1))</f>
        <v/>
      </c>
      <c r="K228" s="20" t="inlineStr"/>
    </row>
    <row r="229" ht="18" customHeight="1">
      <c r="A229" s="21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24" t="n">
        <v>30</v>
      </c>
      <c r="H229" s="22" t="n">
        <v>8</v>
      </c>
      <c r="I229" s="25">
        <f>IF(OR(F229="",G229=""),"",F229*G229)</f>
        <v/>
      </c>
      <c r="J229" s="24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1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18" t="n">
        <v>25</v>
      </c>
      <c r="H230" s="16" t="n">
        <v>6</v>
      </c>
      <c r="I230" s="19">
        <f>IF(OR(F230="",G230=""),"",F230*G230)</f>
        <v/>
      </c>
      <c r="J230" s="18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21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24" t="n">
        <v>25</v>
      </c>
      <c r="H231" s="22" t="n">
        <v>7</v>
      </c>
      <c r="I231" s="25">
        <f>IF(OR(F231="",G231=""),"",F231*G231)</f>
        <v/>
      </c>
      <c r="J231" s="24">
        <f>IF(OR(F231="",G231=""),"",ROUND(G231*(1+F231/30),1))</f>
        <v/>
      </c>
      <c r="K231" s="26" t="inlineStr"/>
    </row>
    <row r="232" ht="18" customHeight="1">
      <c r="A232" s="1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18" t="n">
        <v>25</v>
      </c>
      <c r="H232" s="16" t="n">
        <v>7</v>
      </c>
      <c r="I232" s="19">
        <f>IF(OR(F232="",G232=""),"",F232*G232)</f>
        <v/>
      </c>
      <c r="J232" s="18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21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24" t="n">
        <v>7</v>
      </c>
      <c r="H233" s="22" t="n">
        <v>5</v>
      </c>
      <c r="I233" s="25">
        <f>IF(OR(F233="",G233=""),"",F233*G233)</f>
        <v/>
      </c>
      <c r="J233" s="24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1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18" t="n">
        <v>8</v>
      </c>
      <c r="H234" s="16" t="n">
        <v>7</v>
      </c>
      <c r="I234" s="19">
        <f>IF(OR(F234="",G234=""),"",F234*G234)</f>
        <v/>
      </c>
      <c r="J234" s="18">
        <f>IF(OR(F234="",G234=""),"",ROUND(G234*(1+F234/30),1))</f>
        <v/>
      </c>
      <c r="K234" s="20" t="inlineStr"/>
    </row>
    <row r="235" ht="18" customHeight="1">
      <c r="A235" s="21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24" t="n">
        <v>8</v>
      </c>
      <c r="H235" s="22" t="n">
        <v>7</v>
      </c>
      <c r="I235" s="25">
        <f>IF(OR(F235="",G235=""),"",F235*G235)</f>
        <v/>
      </c>
      <c r="J235" s="24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1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18" t="n">
        <v>10</v>
      </c>
      <c r="H236" s="16" t="n">
        <v>7</v>
      </c>
      <c r="I236" s="19">
        <f>IF(OR(F236="",G236=""),"",F236*G236)</f>
        <v/>
      </c>
      <c r="J236" s="18">
        <f>IF(OR(F236="",G236=""),"",ROUND(G236*(1+F236/30),1))</f>
        <v/>
      </c>
      <c r="K236" s="20" t="inlineStr"/>
    </row>
    <row r="237" ht="18" customHeight="1">
      <c r="A237" s="21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24" t="n">
        <v>10</v>
      </c>
      <c r="H237" s="22" t="n">
        <v>7</v>
      </c>
      <c r="I237" s="25">
        <f>IF(OR(F237="",G237=""),"",F237*G237)</f>
        <v/>
      </c>
      <c r="J237" s="24">
        <f>IF(OR(F237="",G237=""),"",ROUND(G237*(1+F237/30),1))</f>
        <v/>
      </c>
      <c r="K237" s="26" t="inlineStr"/>
    </row>
    <row r="238" ht="18" customHeight="1">
      <c r="A238" s="1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18" t="n">
        <v>10</v>
      </c>
      <c r="H238" s="16" t="n">
        <v>8</v>
      </c>
      <c r="I238" s="19">
        <f>IF(OR(F238="",G238=""),"",F238*G238)</f>
        <v/>
      </c>
      <c r="J238" s="18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21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24" t="n">
        <v>13.6</v>
      </c>
      <c r="H239" s="22" t="n">
        <v>6</v>
      </c>
      <c r="I239" s="25">
        <f>IF(OR(F239="",G239=""),"",F239*G239)</f>
        <v/>
      </c>
      <c r="J239" s="24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1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18" t="n">
        <v>13.6</v>
      </c>
      <c r="H240" s="16" t="n">
        <v>8</v>
      </c>
      <c r="I240" s="19">
        <f>IF(OR(F240="",G240=""),"",F240*G240)</f>
        <v/>
      </c>
      <c r="J240" s="18">
        <f>IF(OR(F240="",G240=""),"",ROUND(G240*(1+F240/30),1))</f>
        <v/>
      </c>
      <c r="K240" s="20" t="inlineStr"/>
    </row>
    <row r="241" ht="18" customHeight="1">
      <c r="A241" s="21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24" t="n">
        <v>13.6</v>
      </c>
      <c r="H241" s="22" t="n">
        <v>7</v>
      </c>
      <c r="I241" s="25">
        <f>IF(OR(F241="",G241=""),"",F241*G241)</f>
        <v/>
      </c>
      <c r="J241" s="24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1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18" t="n">
        <v>6</v>
      </c>
      <c r="H242" s="16" t="n">
        <v>7</v>
      </c>
      <c r="I242" s="19">
        <f>IF(OR(F242="",G242=""),"",F242*G242)</f>
        <v/>
      </c>
      <c r="J242" s="18">
        <f>IF(OR(F242="",G242=""),"",ROUND(G242*(1+F242/30),1))</f>
        <v/>
      </c>
      <c r="K242" s="20" t="inlineStr"/>
    </row>
    <row r="243" ht="18" customHeight="1">
      <c r="A243" s="21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24" t="n">
        <v>6</v>
      </c>
      <c r="H243" s="22" t="n">
        <v>7</v>
      </c>
      <c r="I243" s="25">
        <f>IF(OR(F243="",G243=""),"",F243*G243)</f>
        <v/>
      </c>
      <c r="J243" s="24">
        <f>IF(OR(F243="",G243=""),"",ROUND(G243*(1+F243/30),1))</f>
        <v/>
      </c>
      <c r="K243" s="26" t="inlineStr"/>
    </row>
    <row r="244" ht="18" customHeight="1">
      <c r="A244" s="1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18" t="n">
        <v>6</v>
      </c>
      <c r="H244" s="16" t="n">
        <v>7</v>
      </c>
      <c r="I244" s="19">
        <f>IF(OR(F244="",G244=""),"",F244*G244)</f>
        <v/>
      </c>
      <c r="J244" s="18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>
        <v>46182</v>
      </c>
      <c r="B4" s="16">
        <f>IF(A4="","",IFERROR(INT((A4-DATE(2026,4,27))/7)+1,""))</f>
        <v/>
      </c>
      <c r="C4" s="27" t="n">
        <v>6</v>
      </c>
      <c r="D4" s="18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>
        <v>46181</v>
      </c>
      <c r="B14" s="16">
        <f>IF(A14="","",IFERROR(INT((A14-DATE(2026,4,27))/7)+1,""))</f>
        <v/>
      </c>
      <c r="C14" s="18" t="n">
        <v>77.09999999999999</v>
      </c>
      <c r="D14" s="18" t="n">
        <v>7</v>
      </c>
      <c r="E14" s="18" t="n"/>
      <c r="F14" s="18" t="n"/>
      <c r="G14" s="18" t="n"/>
      <c r="H14" s="18" t="n"/>
      <c r="I14" s="20" t="inlineStr">
        <is>
          <t>Build W1 Mon AM (cut PAUSED, maintenance — BW gain expected, NOT flagged)</t>
        </is>
      </c>
    </row>
    <row r="15" ht="18" customHeight="1">
      <c r="A15" s="21" t="n">
        <v>46182</v>
      </c>
      <c r="B15" s="22">
        <f>IF(A15="","",IFERROR(INT((A15-DATE(2026,4,27))/7)+1,""))</f>
        <v/>
      </c>
      <c r="C15" s="24" t="n">
        <v>76.7</v>
      </c>
      <c r="D15" s="24" t="n">
        <v>7.5</v>
      </c>
      <c r="E15" s="24" t="n"/>
      <c r="F15" s="24" t="n"/>
      <c r="G15" s="24" t="n"/>
      <c r="H15" s="24" t="n"/>
      <c r="I15" s="26" t="inlineStr">
        <is>
          <t>Build W1 Tue AM (run #1 back off layoff)</t>
        </is>
      </c>
    </row>
    <row r="16" ht="18" customHeight="1">
      <c r="A16" s="15" t="n">
        <v>46183</v>
      </c>
      <c r="B16" s="16">
        <f>IF(A16="","",IFERROR(INT((A16-DATE(2026,4,27))/7)+1,""))</f>
        <v/>
      </c>
      <c r="C16" s="18" t="n">
        <v>75.90000000000001</v>
      </c>
      <c r="D16" s="18" t="n">
        <v>9</v>
      </c>
      <c r="E16" s="18" t="n"/>
      <c r="F16" s="18" t="n"/>
      <c r="G16" s="18" t="n"/>
      <c r="H16" s="18" t="n"/>
      <c r="I16" s="20" t="inlineStr">
        <is>
          <t>Build W1 Wed AM (glycogen dip post hot run + 19k steps; cut paused, NOT flagged)</t>
        </is>
      </c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2026-06-10T22:46:32Z</dcterms:created>
  <dcterms:modified xmlns:dcterms="http://purl.org/dc/terms/" xmlns:xsi="http://www.w3.org/2001/XMLSchema-instance" xsi:type="dcterms:W3CDTF">2026-06-10T22:46:32Z</dcterms:modified>
</cp:coreProperties>
</file>