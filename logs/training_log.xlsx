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c r="B404" s="16">
        <f>IF(A404="","",IFERROR(INT((A404-DATE(2026,4,27))/7)+1,""))</f>
        <v/>
      </c>
      <c r="C404" s="16" t="n"/>
      <c r="D404" s="17" t="n"/>
      <c r="E404" s="16" t="n"/>
      <c r="F404" s="16" t="n"/>
      <c r="G404" s="36" t="n"/>
      <c r="H404" s="16" t="n"/>
      <c r="I404" s="19">
        <f>IF(OR(F404="",G404=""),"",F404*G404)</f>
        <v/>
      </c>
      <c r="J404" s="36">
        <f>IF(OR(F404="",G404=""),"",ROUND(G404*(1+F404/30),1))</f>
        <v/>
      </c>
      <c r="K404" s="20" t="n"/>
    </row>
    <row r="405" ht="18" customHeight="1">
      <c r="A405" s="37" t="n"/>
      <c r="B405" s="22">
        <f>IF(A405="","",IFERROR(INT((A405-DATE(2026,4,27))/7)+1,""))</f>
        <v/>
      </c>
      <c r="C405" s="22" t="n"/>
      <c r="D405" s="23" t="n"/>
      <c r="E405" s="22" t="n"/>
      <c r="F405" s="22" t="n"/>
      <c r="G405" s="38" t="n"/>
      <c r="H405" s="22" t="n"/>
      <c r="I405" s="25">
        <f>IF(OR(F405="",G405=""),"",F405*G405)</f>
        <v/>
      </c>
      <c r="J405" s="38">
        <f>IF(OR(F405="",G405=""),"",ROUND(G405*(1+F405/30),1))</f>
        <v/>
      </c>
      <c r="K405" s="26" t="n"/>
    </row>
    <row r="406" ht="18" customHeight="1">
      <c r="A406" s="35" t="n"/>
      <c r="B406" s="16">
        <f>IF(A406="","",IFERROR(INT((A406-DATE(2026,4,27))/7)+1,""))</f>
        <v/>
      </c>
      <c r="C406" s="16" t="n"/>
      <c r="D406" s="17" t="n"/>
      <c r="E406" s="16" t="n"/>
      <c r="F406" s="16" t="n"/>
      <c r="G406" s="36" t="n"/>
      <c r="H406" s="16" t="n"/>
      <c r="I406" s="19">
        <f>IF(OR(F406="",G406=""),"",F406*G406)</f>
        <v/>
      </c>
      <c r="J406" s="36">
        <f>IF(OR(F406="",G406=""),"",ROUND(G406*(1+F406/30),1))</f>
        <v/>
      </c>
      <c r="K406" s="20" t="n"/>
    </row>
    <row r="407" ht="18" customHeight="1">
      <c r="A407" s="37" t="n"/>
      <c r="B407" s="22">
        <f>IF(A407="","",IFERROR(INT((A407-DATE(2026,4,27))/7)+1,""))</f>
        <v/>
      </c>
      <c r="C407" s="22" t="n"/>
      <c r="D407" s="23" t="n"/>
      <c r="E407" s="22" t="n"/>
      <c r="F407" s="22" t="n"/>
      <c r="G407" s="38" t="n"/>
      <c r="H407" s="22" t="n"/>
      <c r="I407" s="25">
        <f>IF(OR(F407="",G407=""),"",F407*G407)</f>
        <v/>
      </c>
      <c r="J407" s="38">
        <f>IF(OR(F407="",G407=""),"",ROUND(G407*(1+F407/30),1))</f>
        <v/>
      </c>
      <c r="K407" s="26" t="n"/>
    </row>
    <row r="408" ht="18" customHeight="1">
      <c r="A408" s="35" t="n"/>
      <c r="B408" s="16">
        <f>IF(A408="","",IFERROR(INT((A408-DATE(2026,4,27))/7)+1,""))</f>
        <v/>
      </c>
      <c r="C408" s="16" t="n"/>
      <c r="D408" s="17" t="n"/>
      <c r="E408" s="16" t="n"/>
      <c r="F408" s="16" t="n"/>
      <c r="G408" s="36" t="n"/>
      <c r="H408" s="16" t="n"/>
      <c r="I408" s="19">
        <f>IF(OR(F408="",G408=""),"",F408*G408)</f>
        <v/>
      </c>
      <c r="J408" s="36">
        <f>IF(OR(F408="",G408=""),"",ROUND(G408*(1+F408/30),1))</f>
        <v/>
      </c>
      <c r="K408" s="20" t="n"/>
    </row>
    <row r="409" ht="18" customHeight="1">
      <c r="A409" s="37" t="n"/>
      <c r="B409" s="22">
        <f>IF(A409="","",IFERROR(INT((A409-DATE(2026,4,27))/7)+1,""))</f>
        <v/>
      </c>
      <c r="C409" s="22" t="n"/>
      <c r="D409" s="23" t="n"/>
      <c r="E409" s="22" t="n"/>
      <c r="F409" s="22" t="n"/>
      <c r="G409" s="38" t="n"/>
      <c r="H409" s="22" t="n"/>
      <c r="I409" s="25">
        <f>IF(OR(F409="",G409=""),"",F409*G409)</f>
        <v/>
      </c>
      <c r="J409" s="38">
        <f>IF(OR(F409="",G409=""),"",ROUND(G409*(1+F409/30),1))</f>
        <v/>
      </c>
      <c r="K409" s="26" t="n"/>
    </row>
    <row r="410" ht="18" customHeight="1">
      <c r="A410" s="35" t="n"/>
      <c r="B410" s="16">
        <f>IF(A410="","",IFERROR(INT((A410-DATE(2026,4,27))/7)+1,""))</f>
        <v/>
      </c>
      <c r="C410" s="16" t="n"/>
      <c r="D410" s="17" t="n"/>
      <c r="E410" s="16" t="n"/>
      <c r="F410" s="16" t="n"/>
      <c r="G410" s="36" t="n"/>
      <c r="H410" s="16" t="n"/>
      <c r="I410" s="19">
        <f>IF(OR(F410="",G410=""),"",F410*G410)</f>
        <v/>
      </c>
      <c r="J410" s="36">
        <f>IF(OR(F410="",G410=""),"",ROUND(G410*(1+F410/30),1))</f>
        <v/>
      </c>
      <c r="K410" s="20" t="n"/>
    </row>
    <row r="411" ht="18" customHeight="1">
      <c r="A411" s="37" t="n"/>
      <c r="B411" s="22">
        <f>IF(A411="","",IFERROR(INT((A411-DATE(2026,4,27))/7)+1,""))</f>
        <v/>
      </c>
      <c r="C411" s="22" t="n"/>
      <c r="D411" s="23" t="n"/>
      <c r="E411" s="22" t="n"/>
      <c r="F411" s="22" t="n"/>
      <c r="G411" s="38" t="n"/>
      <c r="H411" s="22" t="n"/>
      <c r="I411" s="25">
        <f>IF(OR(F411="",G411=""),"",F411*G411)</f>
        <v/>
      </c>
      <c r="J411" s="38">
        <f>IF(OR(F411="",G411=""),"",ROUND(G411*(1+F411/30),1))</f>
        <v/>
      </c>
      <c r="K411" s="26" t="n"/>
    </row>
    <row r="412" ht="18" customHeight="1">
      <c r="A412" s="35" t="n"/>
      <c r="B412" s="16">
        <f>IF(A412="","",IFERROR(INT((A412-DATE(2026,4,27))/7)+1,""))</f>
        <v/>
      </c>
      <c r="C412" s="16" t="n"/>
      <c r="D412" s="17" t="n"/>
      <c r="E412" s="16" t="n"/>
      <c r="F412" s="16" t="n"/>
      <c r="G412" s="36" t="n"/>
      <c r="H412" s="16" t="n"/>
      <c r="I412" s="19">
        <f>IF(OR(F412="",G412=""),"",F412*G412)</f>
        <v/>
      </c>
      <c r="J412" s="36">
        <f>IF(OR(F412="",G412=""),"",ROUND(G412*(1+F412/30),1))</f>
        <v/>
      </c>
      <c r="K412" s="20" t="n"/>
    </row>
    <row r="413" ht="18" customHeight="1">
      <c r="A413" s="37" t="n"/>
      <c r="B413" s="22">
        <f>IF(A413="","",IFERROR(INT((A413-DATE(2026,4,27))/7)+1,""))</f>
        <v/>
      </c>
      <c r="C413" s="22" t="n"/>
      <c r="D413" s="23" t="n"/>
      <c r="E413" s="22" t="n"/>
      <c r="F413" s="22" t="n"/>
      <c r="G413" s="38" t="n"/>
      <c r="H413" s="22" t="n"/>
      <c r="I413" s="25">
        <f>IF(OR(F413="",G413=""),"",F413*G413)</f>
        <v/>
      </c>
      <c r="J413" s="38">
        <f>IF(OR(F413="",G413=""),"",ROUND(G413*(1+F413/30),1))</f>
        <v/>
      </c>
      <c r="K413" s="26" t="n"/>
    </row>
    <row r="414" ht="18" customHeight="1">
      <c r="A414" s="35" t="n"/>
      <c r="B414" s="16">
        <f>IF(A414="","",IFERROR(INT((A414-DATE(2026,4,27))/7)+1,""))</f>
        <v/>
      </c>
      <c r="C414" s="16" t="n"/>
      <c r="D414" s="17" t="n"/>
      <c r="E414" s="16" t="n"/>
      <c r="F414" s="16" t="n"/>
      <c r="G414" s="36" t="n"/>
      <c r="H414" s="16" t="n"/>
      <c r="I414" s="19">
        <f>IF(OR(F414="",G414=""),"",F414*G414)</f>
        <v/>
      </c>
      <c r="J414" s="36">
        <f>IF(OR(F414="",G414=""),"",ROUND(G414*(1+F414/30),1))</f>
        <v/>
      </c>
      <c r="K414" s="20" t="n"/>
    </row>
    <row r="415" ht="18" customHeight="1">
      <c r="A415" s="37" t="n"/>
      <c r="B415" s="22">
        <f>IF(A415="","",IFERROR(INT((A415-DATE(2026,4,27))/7)+1,""))</f>
        <v/>
      </c>
      <c r="C415" s="22" t="n"/>
      <c r="D415" s="23" t="n"/>
      <c r="E415" s="22" t="n"/>
      <c r="F415" s="22" t="n"/>
      <c r="G415" s="38" t="n"/>
      <c r="H415" s="22" t="n"/>
      <c r="I415" s="25">
        <f>IF(OR(F415="",G415=""),"",F415*G415)</f>
        <v/>
      </c>
      <c r="J415" s="38">
        <f>IF(OR(F415="",G415=""),"",ROUND(G415*(1+F415/30),1))</f>
        <v/>
      </c>
      <c r="K415" s="26" t="n"/>
    </row>
    <row r="416" ht="18" customHeight="1">
      <c r="A416" s="35" t="n"/>
      <c r="B416" s="16">
        <f>IF(A416="","",IFERROR(INT((A416-DATE(2026,4,27))/7)+1,""))</f>
        <v/>
      </c>
      <c r="C416" s="16" t="n"/>
      <c r="D416" s="17" t="n"/>
      <c r="E416" s="16" t="n"/>
      <c r="F416" s="16" t="n"/>
      <c r="G416" s="36" t="n"/>
      <c r="H416" s="16" t="n"/>
      <c r="I416" s="19">
        <f>IF(OR(F416="",G416=""),"",F416*G416)</f>
        <v/>
      </c>
      <c r="J416" s="36">
        <f>IF(OR(F416="",G416=""),"",ROUND(G416*(1+F416/30),1))</f>
        <v/>
      </c>
      <c r="K416" s="20" t="n"/>
    </row>
    <row r="417" ht="18" customHeight="1">
      <c r="A417" s="37" t="n"/>
      <c r="B417" s="22">
        <f>IF(A417="","",IFERROR(INT((A417-DATE(2026,4,27))/7)+1,""))</f>
        <v/>
      </c>
      <c r="C417" s="22" t="n"/>
      <c r="D417" s="23" t="n"/>
      <c r="E417" s="22" t="n"/>
      <c r="F417" s="22" t="n"/>
      <c r="G417" s="38" t="n"/>
      <c r="H417" s="22" t="n"/>
      <c r="I417" s="25">
        <f>IF(OR(F417="",G417=""),"",F417*G417)</f>
        <v/>
      </c>
      <c r="J417" s="38">
        <f>IF(OR(F417="",G417=""),"",ROUND(G417*(1+F417/30),1))</f>
        <v/>
      </c>
      <c r="K417" s="26" t="n"/>
    </row>
    <row r="418" ht="18" customHeight="1">
      <c r="A418" s="35" t="n"/>
      <c r="B418" s="16">
        <f>IF(A418="","",IFERROR(INT((A418-DATE(2026,4,27))/7)+1,""))</f>
        <v/>
      </c>
      <c r="C418" s="16" t="n"/>
      <c r="D418" s="17" t="n"/>
      <c r="E418" s="16" t="n"/>
      <c r="F418" s="16" t="n"/>
      <c r="G418" s="36" t="n"/>
      <c r="H418" s="16" t="n"/>
      <c r="I418" s="19">
        <f>IF(OR(F418="",G418=""),"",F418*G418)</f>
        <v/>
      </c>
      <c r="J418" s="36">
        <f>IF(OR(F418="",G418=""),"",ROUND(G418*(1+F418/30),1))</f>
        <v/>
      </c>
      <c r="K418" s="20" t="n"/>
    </row>
    <row r="419" ht="18" customHeight="1">
      <c r="A419" s="37" t="n"/>
      <c r="B419" s="22">
        <f>IF(A419="","",IFERROR(INT((A419-DATE(2026,4,27))/7)+1,""))</f>
        <v/>
      </c>
      <c r="C419" s="22" t="n"/>
      <c r="D419" s="23" t="n"/>
      <c r="E419" s="22" t="n"/>
      <c r="F419" s="22" t="n"/>
      <c r="G419" s="38" t="n"/>
      <c r="H419" s="22" t="n"/>
      <c r="I419" s="25">
        <f>IF(OR(F419="",G419=""),"",F419*G419)</f>
        <v/>
      </c>
      <c r="J419" s="38">
        <f>IF(OR(F419="",G419=""),"",ROUND(G419*(1+F419/30),1))</f>
        <v/>
      </c>
      <c r="K419" s="26" t="n"/>
    </row>
    <row r="420" ht="18" customHeight="1">
      <c r="A420" s="35" t="n"/>
      <c r="B420" s="16">
        <f>IF(A420="","",IFERROR(INT((A420-DATE(2026,4,27))/7)+1,""))</f>
        <v/>
      </c>
      <c r="C420" s="16" t="n"/>
      <c r="D420" s="17" t="n"/>
      <c r="E420" s="16" t="n"/>
      <c r="F420" s="16" t="n"/>
      <c r="G420" s="36" t="n"/>
      <c r="H420" s="16" t="n"/>
      <c r="I420" s="19">
        <f>IF(OR(F420="",G420=""),"",F420*G420)</f>
        <v/>
      </c>
      <c r="J420" s="36">
        <f>IF(OR(F420="",G420=""),"",ROUND(G420*(1+F420/30),1))</f>
        <v/>
      </c>
      <c r="K420" s="20" t="n"/>
    </row>
    <row r="421" ht="18" customHeight="1">
      <c r="A421" s="37" t="n"/>
      <c r="B421" s="22">
        <f>IF(A421="","",IFERROR(INT((A421-DATE(2026,4,27))/7)+1,""))</f>
        <v/>
      </c>
      <c r="C421" s="22" t="n"/>
      <c r="D421" s="23" t="n"/>
      <c r="E421" s="22" t="n"/>
      <c r="F421" s="22" t="n"/>
      <c r="G421" s="38" t="n"/>
      <c r="H421" s="22" t="n"/>
      <c r="I421" s="25">
        <f>IF(OR(F421="",G421=""),"",F421*G421)</f>
        <v/>
      </c>
      <c r="J421" s="38">
        <f>IF(OR(F421="",G421=""),"",ROUND(G421*(1+F421/30),1))</f>
        <v/>
      </c>
      <c r="K421" s="26" t="n"/>
    </row>
    <row r="422" ht="18" customHeight="1">
      <c r="A422" s="35" t="n"/>
      <c r="B422" s="16">
        <f>IF(A422="","",IFERROR(INT((A422-DATE(2026,4,27))/7)+1,""))</f>
        <v/>
      </c>
      <c r="C422" s="16" t="n"/>
      <c r="D422" s="17" t="n"/>
      <c r="E422" s="16" t="n"/>
      <c r="F422" s="16" t="n"/>
      <c r="G422" s="36" t="n"/>
      <c r="H422" s="16" t="n"/>
      <c r="I422" s="19">
        <f>IF(OR(F422="",G422=""),"",F422*G422)</f>
        <v/>
      </c>
      <c r="J422" s="36">
        <f>IF(OR(F422="",G422=""),"",ROUND(G422*(1+F422/30),1))</f>
        <v/>
      </c>
      <c r="K422" s="20" t="n"/>
    </row>
    <row r="423" ht="18" customHeight="1">
      <c r="A423" s="37" t="n"/>
      <c r="B423" s="22">
        <f>IF(A423="","",IFERROR(INT((A423-DATE(2026,4,27))/7)+1,""))</f>
        <v/>
      </c>
      <c r="C423" s="22" t="n"/>
      <c r="D423" s="23" t="n"/>
      <c r="E423" s="22" t="n"/>
      <c r="F423" s="22" t="n"/>
      <c r="G423" s="38" t="n"/>
      <c r="H423" s="22" t="n"/>
      <c r="I423" s="25">
        <f>IF(OR(F423="",G423=""),"",F423*G423)</f>
        <v/>
      </c>
      <c r="J423" s="38">
        <f>IF(OR(F423="",G423=""),"",ROUND(G423*(1+F423/30),1))</f>
        <v/>
      </c>
      <c r="K423" s="26" t="n"/>
    </row>
    <row r="424" ht="18" customHeight="1">
      <c r="A424" s="35" t="n"/>
      <c r="B424" s="16">
        <f>IF(A424="","",IFERROR(INT((A424-DATE(2026,4,27))/7)+1,""))</f>
        <v/>
      </c>
      <c r="C424" s="16" t="n"/>
      <c r="D424" s="17" t="n"/>
      <c r="E424" s="16" t="n"/>
      <c r="F424" s="16" t="n"/>
      <c r="G424" s="36" t="n"/>
      <c r="H424" s="16" t="n"/>
      <c r="I424" s="19">
        <f>IF(OR(F424="",G424=""),"",F424*G424)</f>
        <v/>
      </c>
      <c r="J424" s="36">
        <f>IF(OR(F424="",G424=""),"",ROUND(G424*(1+F424/30),1))</f>
        <v/>
      </c>
      <c r="K424" s="20" t="n"/>
    </row>
    <row r="425" ht="18" customHeight="1">
      <c r="A425" s="37" t="n"/>
      <c r="B425" s="22">
        <f>IF(A425="","",IFERROR(INT((A425-DATE(2026,4,27))/7)+1,""))</f>
        <v/>
      </c>
      <c r="C425" s="22" t="n"/>
      <c r="D425" s="23" t="n"/>
      <c r="E425" s="22" t="n"/>
      <c r="F425" s="22" t="n"/>
      <c r="G425" s="38" t="n"/>
      <c r="H425" s="22" t="n"/>
      <c r="I425" s="25">
        <f>IF(OR(F425="",G425=""),"",F425*G425)</f>
        <v/>
      </c>
      <c r="J425" s="38">
        <f>IF(OR(F425="",G425=""),"",ROUND(G425*(1+F425/30),1))</f>
        <v/>
      </c>
      <c r="K425" s="26" t="n"/>
    </row>
    <row r="426" ht="18" customHeight="1">
      <c r="A426" s="35" t="n"/>
      <c r="B426" s="16">
        <f>IF(A426="","",IFERROR(INT((A426-DATE(2026,4,27))/7)+1,""))</f>
        <v/>
      </c>
      <c r="C426" s="16" t="n"/>
      <c r="D426" s="17" t="n"/>
      <c r="E426" s="16" t="n"/>
      <c r="F426" s="16" t="n"/>
      <c r="G426" s="36" t="n"/>
      <c r="H426" s="16" t="n"/>
      <c r="I426" s="19">
        <f>IF(OR(F426="",G426=""),"",F426*G426)</f>
        <v/>
      </c>
      <c r="J426" s="36">
        <f>IF(OR(F426="",G426=""),"",ROUND(G426*(1+F426/30),1))</f>
        <v/>
      </c>
      <c r="K426" s="20" t="n"/>
    </row>
    <row r="427" ht="18" customHeight="1">
      <c r="A427" s="37" t="n"/>
      <c r="B427" s="22">
        <f>IF(A427="","",IFERROR(INT((A427-DATE(2026,4,27))/7)+1,""))</f>
        <v/>
      </c>
      <c r="C427" s="22" t="n"/>
      <c r="D427" s="23" t="n"/>
      <c r="E427" s="22" t="n"/>
      <c r="F427" s="22" t="n"/>
      <c r="G427" s="38" t="n"/>
      <c r="H427" s="22" t="n"/>
      <c r="I427" s="25">
        <f>IF(OR(F427="",G427=""),"",F427*G427)</f>
        <v/>
      </c>
      <c r="J427" s="38">
        <f>IF(OR(F427="",G427=""),"",ROUND(G427*(1+F427/30),1))</f>
        <v/>
      </c>
      <c r="K427" s="26" t="n"/>
    </row>
    <row r="428" ht="18" customHeight="1">
      <c r="A428" s="35" t="n"/>
      <c r="B428" s="16">
        <f>IF(A428="","",IFERROR(INT((A428-DATE(2026,4,27))/7)+1,""))</f>
        <v/>
      </c>
      <c r="C428" s="16" t="n"/>
      <c r="D428" s="17" t="n"/>
      <c r="E428" s="16" t="n"/>
      <c r="F428" s="16" t="n"/>
      <c r="G428" s="36" t="n"/>
      <c r="H428" s="16" t="n"/>
      <c r="I428" s="19">
        <f>IF(OR(F428="",G428=""),"",F428*G428)</f>
        <v/>
      </c>
      <c r="J428" s="36">
        <f>IF(OR(F428="",G428=""),"",ROUND(G428*(1+F428/30),1))</f>
        <v/>
      </c>
      <c r="K428" s="20" t="n"/>
    </row>
    <row r="429" ht="18" customHeight="1">
      <c r="A429" s="37" t="n"/>
      <c r="B429" s="22">
        <f>IF(A429="","",IFERROR(INT((A429-DATE(2026,4,27))/7)+1,""))</f>
        <v/>
      </c>
      <c r="C429" s="22" t="n"/>
      <c r="D429" s="23" t="n"/>
      <c r="E429" s="22" t="n"/>
      <c r="F429" s="22" t="n"/>
      <c r="G429" s="38" t="n"/>
      <c r="H429" s="22" t="n"/>
      <c r="I429" s="25">
        <f>IF(OR(F429="",G429=""),"",F429*G429)</f>
        <v/>
      </c>
      <c r="J429" s="38">
        <f>IF(OR(F429="",G429=""),"",ROUND(G429*(1+F429/30),1))</f>
        <v/>
      </c>
      <c r="K429" s="26" t="n"/>
    </row>
    <row r="430" ht="18" customHeight="1">
      <c r="A430" s="35" t="n"/>
      <c r="B430" s="16">
        <f>IF(A430="","",IFERROR(INT((A430-DATE(2026,4,27))/7)+1,""))</f>
        <v/>
      </c>
      <c r="C430" s="16" t="n"/>
      <c r="D430" s="17" t="n"/>
      <c r="E430" s="16" t="n"/>
      <c r="F430" s="16" t="n"/>
      <c r="G430" s="36" t="n"/>
      <c r="H430" s="16" t="n"/>
      <c r="I430" s="19">
        <f>IF(OR(F430="",G430=""),"",F430*G430)</f>
        <v/>
      </c>
      <c r="J430" s="36">
        <f>IF(OR(F430="",G430=""),"",ROUND(G430*(1+F430/30),1))</f>
        <v/>
      </c>
      <c r="K430" s="20" t="n"/>
    </row>
    <row r="431" ht="18" customHeight="1">
      <c r="A431" s="37" t="n"/>
      <c r="B431" s="22">
        <f>IF(A431="","",IFERROR(INT((A431-DATE(2026,4,27))/7)+1,""))</f>
        <v/>
      </c>
      <c r="C431" s="22" t="n"/>
      <c r="D431" s="23" t="n"/>
      <c r="E431" s="22" t="n"/>
      <c r="F431" s="22" t="n"/>
      <c r="G431" s="38" t="n"/>
      <c r="H431" s="22" t="n"/>
      <c r="I431" s="25">
        <f>IF(OR(F431="",G431=""),"",F431*G431)</f>
        <v/>
      </c>
      <c r="J431" s="38">
        <f>IF(OR(F431="",G431=""),"",ROUND(G431*(1+F431/30),1))</f>
        <v/>
      </c>
      <c r="K431" s="26" t="n"/>
    </row>
    <row r="432" ht="18" customHeight="1">
      <c r="A432" s="35" t="n"/>
      <c r="B432" s="16">
        <f>IF(A432="","",IFERROR(INT((A432-DATE(2026,4,27))/7)+1,""))</f>
        <v/>
      </c>
      <c r="C432" s="16" t="n"/>
      <c r="D432" s="17" t="n"/>
      <c r="E432" s="16" t="n"/>
      <c r="F432" s="16" t="n"/>
      <c r="G432" s="36" t="n"/>
      <c r="H432" s="16" t="n"/>
      <c r="I432" s="19">
        <f>IF(OR(F432="",G432=""),"",F432*G432)</f>
        <v/>
      </c>
      <c r="J432" s="36">
        <f>IF(OR(F432="",G432=""),"",ROUND(G432*(1+F432/30),1))</f>
        <v/>
      </c>
      <c r="K432" s="20" t="n"/>
    </row>
    <row r="433" ht="18" customHeight="1">
      <c r="A433" s="37" t="n"/>
      <c r="B433" s="22">
        <f>IF(A433="","",IFERROR(INT((A433-DATE(2026,4,27))/7)+1,""))</f>
        <v/>
      </c>
      <c r="C433" s="22" t="n"/>
      <c r="D433" s="23" t="n"/>
      <c r="E433" s="22" t="n"/>
      <c r="F433" s="22" t="n"/>
      <c r="G433" s="38" t="n"/>
      <c r="H433" s="22" t="n"/>
      <c r="I433" s="25">
        <f>IF(OR(F433="",G433=""),"",F433*G433)</f>
        <v/>
      </c>
      <c r="J433" s="38">
        <f>IF(OR(F433="",G433=""),"",ROUND(G433*(1+F433/30),1))</f>
        <v/>
      </c>
      <c r="K433" s="26" t="n"/>
    </row>
    <row r="434" ht="18" customHeight="1">
      <c r="A434" s="35" t="n"/>
      <c r="B434" s="16">
        <f>IF(A434="","",IFERROR(INT((A434-DATE(2026,4,27))/7)+1,""))</f>
        <v/>
      </c>
      <c r="C434" s="16" t="n"/>
      <c r="D434" s="17" t="n"/>
      <c r="E434" s="16" t="n"/>
      <c r="F434" s="16" t="n"/>
      <c r="G434" s="36" t="n"/>
      <c r="H434" s="16" t="n"/>
      <c r="I434" s="19">
        <f>IF(OR(F434="",G434=""),"",F434*G434)</f>
        <v/>
      </c>
      <c r="J434" s="36">
        <f>IF(OR(F434="",G434=""),"",ROUND(G434*(1+F434/30),1))</f>
        <v/>
      </c>
      <c r="K434" s="20" t="n"/>
    </row>
    <row r="435" ht="18" customHeight="1">
      <c r="A435" s="37" t="n"/>
      <c r="B435" s="22">
        <f>IF(A435="","",IFERROR(INT((A435-DATE(2026,4,27))/7)+1,""))</f>
        <v/>
      </c>
      <c r="C435" s="22" t="n"/>
      <c r="D435" s="23" t="n"/>
      <c r="E435" s="22" t="n"/>
      <c r="F435" s="22" t="n"/>
      <c r="G435" s="38" t="n"/>
      <c r="H435" s="22" t="n"/>
      <c r="I435" s="25">
        <f>IF(OR(F435="",G435=""),"",F435*G435)</f>
        <v/>
      </c>
      <c r="J435" s="38">
        <f>IF(OR(F435="",G435=""),"",ROUND(G435*(1+F435/30),1))</f>
        <v/>
      </c>
      <c r="K435" s="26" t="n"/>
    </row>
    <row r="436" ht="18" customHeight="1">
      <c r="A436" s="35" t="n"/>
      <c r="B436" s="16">
        <f>IF(A436="","",IFERROR(INT((A436-DATE(2026,4,27))/7)+1,""))</f>
        <v/>
      </c>
      <c r="C436" s="16" t="n"/>
      <c r="D436" s="17" t="n"/>
      <c r="E436" s="16" t="n"/>
      <c r="F436" s="16" t="n"/>
      <c r="G436" s="36" t="n"/>
      <c r="H436" s="16" t="n"/>
      <c r="I436" s="19">
        <f>IF(OR(F436="",G436=""),"",F436*G436)</f>
        <v/>
      </c>
      <c r="J436" s="36">
        <f>IF(OR(F436="",G436=""),"",ROUND(G436*(1+F436/30),1))</f>
        <v/>
      </c>
      <c r="K436" s="20" t="n"/>
    </row>
    <row r="437" ht="18" customHeight="1">
      <c r="A437" s="37" t="n"/>
      <c r="B437" s="22">
        <f>IF(A437="","",IFERROR(INT((A437-DATE(2026,4,27))/7)+1,""))</f>
        <v/>
      </c>
      <c r="C437" s="22" t="n"/>
      <c r="D437" s="23" t="n"/>
      <c r="E437" s="22" t="n"/>
      <c r="F437" s="22" t="n"/>
      <c r="G437" s="38" t="n"/>
      <c r="H437" s="22" t="n"/>
      <c r="I437" s="25">
        <f>IF(OR(F437="",G437=""),"",F437*G437)</f>
        <v/>
      </c>
      <c r="J437" s="38">
        <f>IF(OR(F437="",G437=""),"",ROUND(G437*(1+F437/30),1))</f>
        <v/>
      </c>
      <c r="K437" s="26" t="n"/>
    </row>
    <row r="438" ht="18" customHeight="1">
      <c r="A438" s="35" t="n"/>
      <c r="B438" s="16">
        <f>IF(A438="","",IFERROR(INT((A438-DATE(2026,4,27))/7)+1,""))</f>
        <v/>
      </c>
      <c r="C438" s="16" t="n"/>
      <c r="D438" s="17" t="n"/>
      <c r="E438" s="16" t="n"/>
      <c r="F438" s="16" t="n"/>
      <c r="G438" s="36" t="n"/>
      <c r="H438" s="16" t="n"/>
      <c r="I438" s="19">
        <f>IF(OR(F438="",G438=""),"",F438*G438)</f>
        <v/>
      </c>
      <c r="J438" s="36">
        <f>IF(OR(F438="",G438=""),"",ROUND(G438*(1+F438/30),1))</f>
        <v/>
      </c>
      <c r="K438" s="20" t="n"/>
    </row>
    <row r="439" ht="18" customHeight="1">
      <c r="A439" s="37" t="n"/>
      <c r="B439" s="22">
        <f>IF(A439="","",IFERROR(INT((A439-DATE(2026,4,27))/7)+1,""))</f>
        <v/>
      </c>
      <c r="C439" s="22" t="n"/>
      <c r="D439" s="23" t="n"/>
      <c r="E439" s="22" t="n"/>
      <c r="F439" s="22" t="n"/>
      <c r="G439" s="38" t="n"/>
      <c r="H439" s="22" t="n"/>
      <c r="I439" s="25">
        <f>IF(OR(F439="",G439=""),"",F439*G439)</f>
        <v/>
      </c>
      <c r="J439" s="38">
        <f>IF(OR(F439="",G439=""),"",ROUND(G439*(1+F439/30),1))</f>
        <v/>
      </c>
      <c r="K439" s="26" t="n"/>
    </row>
    <row r="440" ht="18" customHeight="1">
      <c r="A440" s="35" t="n"/>
      <c r="B440" s="16">
        <f>IF(A440="","",IFERROR(INT((A440-DATE(2026,4,27))/7)+1,""))</f>
        <v/>
      </c>
      <c r="C440" s="16" t="n"/>
      <c r="D440" s="17" t="n"/>
      <c r="E440" s="16" t="n"/>
      <c r="F440" s="16" t="n"/>
      <c r="G440" s="36" t="n"/>
      <c r="H440" s="16" t="n"/>
      <c r="I440" s="19">
        <f>IF(OR(F440="",G440=""),"",F440*G440)</f>
        <v/>
      </c>
      <c r="J440" s="36">
        <f>IF(OR(F440="",G440=""),"",ROUND(G440*(1+F440/30),1))</f>
        <v/>
      </c>
      <c r="K440" s="20" t="n"/>
    </row>
    <row r="441" ht="18" customHeight="1">
      <c r="A441" s="37" t="n"/>
      <c r="B441" s="22">
        <f>IF(A441="","",IFERROR(INT((A441-DATE(2026,4,27))/7)+1,""))</f>
        <v/>
      </c>
      <c r="C441" s="22" t="n"/>
      <c r="D441" s="23" t="n"/>
      <c r="E441" s="22" t="n"/>
      <c r="F441" s="22" t="n"/>
      <c r="G441" s="38" t="n"/>
      <c r="H441" s="22" t="n"/>
      <c r="I441" s="25">
        <f>IF(OR(F441="",G441=""),"",F441*G441)</f>
        <v/>
      </c>
      <c r="J441" s="38">
        <f>IF(OR(F441="",G441=""),"",ROUND(G441*(1+F441/30),1))</f>
        <v/>
      </c>
      <c r="K441" s="26" t="n"/>
    </row>
    <row r="442" ht="18" customHeight="1">
      <c r="A442" s="35" t="n"/>
      <c r="B442" s="16">
        <f>IF(A442="","",IFERROR(INT((A442-DATE(2026,4,27))/7)+1,""))</f>
        <v/>
      </c>
      <c r="C442" s="16" t="n"/>
      <c r="D442" s="17" t="n"/>
      <c r="E442" s="16" t="n"/>
      <c r="F442" s="16" t="n"/>
      <c r="G442" s="36" t="n"/>
      <c r="H442" s="16" t="n"/>
      <c r="I442" s="19">
        <f>IF(OR(F442="",G442=""),"",F442*G442)</f>
        <v/>
      </c>
      <c r="J442" s="36">
        <f>IF(OR(F442="",G442=""),"",ROUND(G442*(1+F442/30),1))</f>
        <v/>
      </c>
      <c r="K442" s="20" t="n"/>
    </row>
    <row r="443" ht="18" customHeight="1">
      <c r="A443" s="37" t="n"/>
      <c r="B443" s="22">
        <f>IF(A443="","",IFERROR(INT((A443-DATE(2026,4,27))/7)+1,""))</f>
        <v/>
      </c>
      <c r="C443" s="22" t="n"/>
      <c r="D443" s="23" t="n"/>
      <c r="E443" s="22" t="n"/>
      <c r="F443" s="22" t="n"/>
      <c r="G443" s="38" t="n"/>
      <c r="H443" s="22" t="n"/>
      <c r="I443" s="25">
        <f>IF(OR(F443="",G443=""),"",F443*G443)</f>
        <v/>
      </c>
      <c r="J443" s="38">
        <f>IF(OR(F443="",G443=""),"",ROUND(G443*(1+F443/30),1))</f>
        <v/>
      </c>
      <c r="K443" s="26" t="n"/>
    </row>
    <row r="444" ht="18" customHeight="1">
      <c r="A444" s="35" t="n"/>
      <c r="B444" s="16">
        <f>IF(A444="","",IFERROR(INT((A444-DATE(2026,4,27))/7)+1,""))</f>
        <v/>
      </c>
      <c r="C444" s="16" t="n"/>
      <c r="D444" s="17" t="n"/>
      <c r="E444" s="16" t="n"/>
      <c r="F444" s="16" t="n"/>
      <c r="G444" s="36" t="n"/>
      <c r="H444" s="16" t="n"/>
      <c r="I444" s="19">
        <f>IF(OR(F444="",G444=""),"",F444*G444)</f>
        <v/>
      </c>
      <c r="J444" s="36">
        <f>IF(OR(F444="",G444=""),"",ROUND(G444*(1+F444/30),1))</f>
        <v/>
      </c>
      <c r="K444" s="20" t="n"/>
    </row>
    <row r="445" ht="18" customHeight="1">
      <c r="A445" s="37" t="n"/>
      <c r="B445" s="22">
        <f>IF(A445="","",IFERROR(INT((A445-DATE(2026,4,27))/7)+1,""))</f>
        <v/>
      </c>
      <c r="C445" s="22" t="n"/>
      <c r="D445" s="23" t="n"/>
      <c r="E445" s="22" t="n"/>
      <c r="F445" s="22" t="n"/>
      <c r="G445" s="38" t="n"/>
      <c r="H445" s="22" t="n"/>
      <c r="I445" s="25">
        <f>IF(OR(F445="",G445=""),"",F445*G445)</f>
        <v/>
      </c>
      <c r="J445" s="38">
        <f>IF(OR(F445="",G445=""),"",ROUND(G445*(1+F445/30),1))</f>
        <v/>
      </c>
      <c r="K445" s="26" t="n"/>
    </row>
    <row r="446" ht="18" customHeight="1">
      <c r="A446" s="35" t="n"/>
      <c r="B446" s="16">
        <f>IF(A446="","",IFERROR(INT((A446-DATE(2026,4,27))/7)+1,""))</f>
        <v/>
      </c>
      <c r="C446" s="16" t="n"/>
      <c r="D446" s="17" t="n"/>
      <c r="E446" s="16" t="n"/>
      <c r="F446" s="16" t="n"/>
      <c r="G446" s="36" t="n"/>
      <c r="H446" s="16" t="n"/>
      <c r="I446" s="19">
        <f>IF(OR(F446="",G446=""),"",F446*G446)</f>
        <v/>
      </c>
      <c r="J446" s="36">
        <f>IF(OR(F446="",G446=""),"",ROUND(G446*(1+F446/30),1))</f>
        <v/>
      </c>
      <c r="K446" s="20" t="n"/>
    </row>
    <row r="447" ht="18" customHeight="1">
      <c r="A447" s="37" t="n"/>
      <c r="B447" s="22">
        <f>IF(A447="","",IFERROR(INT((A447-DATE(2026,4,27))/7)+1,""))</f>
        <v/>
      </c>
      <c r="C447" s="22" t="n"/>
      <c r="D447" s="23" t="n"/>
      <c r="E447" s="22" t="n"/>
      <c r="F447" s="22" t="n"/>
      <c r="G447" s="38" t="n"/>
      <c r="H447" s="22" t="n"/>
      <c r="I447" s="25">
        <f>IF(OR(F447="",G447=""),"",F447*G447)</f>
        <v/>
      </c>
      <c r="J447" s="38">
        <f>IF(OR(F447="",G447=""),"",ROUND(G447*(1+F447/30),1))</f>
        <v/>
      </c>
      <c r="K447" s="26" t="n"/>
    </row>
    <row r="448" ht="18" customHeight="1">
      <c r="A448" s="35" t="n"/>
      <c r="B448" s="16">
        <f>IF(A448="","",IFERROR(INT((A448-DATE(2026,4,27))/7)+1,""))</f>
        <v/>
      </c>
      <c r="C448" s="16" t="n"/>
      <c r="D448" s="17" t="n"/>
      <c r="E448" s="16" t="n"/>
      <c r="F448" s="16" t="n"/>
      <c r="G448" s="36" t="n"/>
      <c r="H448" s="16" t="n"/>
      <c r="I448" s="19">
        <f>IF(OR(F448="",G448=""),"",F448*G448)</f>
        <v/>
      </c>
      <c r="J448" s="36">
        <f>IF(OR(F448="",G448=""),"",ROUND(G448*(1+F448/30),1))</f>
        <v/>
      </c>
      <c r="K448" s="20" t="n"/>
    </row>
    <row r="449" ht="18" customHeight="1">
      <c r="A449" s="37" t="n"/>
      <c r="B449" s="22">
        <f>IF(A449="","",IFERROR(INT((A449-DATE(2026,4,27))/7)+1,""))</f>
        <v/>
      </c>
      <c r="C449" s="22" t="n"/>
      <c r="D449" s="23" t="n"/>
      <c r="E449" s="22" t="n"/>
      <c r="F449" s="22" t="n"/>
      <c r="G449" s="38" t="n"/>
      <c r="H449" s="22" t="n"/>
      <c r="I449" s="25">
        <f>IF(OR(F449="",G449=""),"",F449*G449)</f>
        <v/>
      </c>
      <c r="J449" s="38">
        <f>IF(OR(F449="",G449=""),"",ROUND(G449*(1+F449/30),1))</f>
        <v/>
      </c>
      <c r="K449" s="26" t="n"/>
    </row>
    <row r="450" ht="18" customHeight="1">
      <c r="A450" s="35" t="n"/>
      <c r="B450" s="16">
        <f>IF(A450="","",IFERROR(INT((A450-DATE(2026,4,27))/7)+1,""))</f>
        <v/>
      </c>
      <c r="C450" s="16" t="n"/>
      <c r="D450" s="17" t="n"/>
      <c r="E450" s="16" t="n"/>
      <c r="F450" s="16" t="n"/>
      <c r="G450" s="36" t="n"/>
      <c r="H450" s="16" t="n"/>
      <c r="I450" s="19">
        <f>IF(OR(F450="",G450=""),"",F450*G450)</f>
        <v/>
      </c>
      <c r="J450" s="36">
        <f>IF(OR(F450="",G450=""),"",ROUND(G450*(1+F450/30),1))</f>
        <v/>
      </c>
      <c r="K450" s="20" t="n"/>
    </row>
    <row r="451" ht="18" customHeight="1">
      <c r="A451" s="37" t="n"/>
      <c r="B451" s="22">
        <f>IF(A451="","",IFERROR(INT((A451-DATE(2026,4,27))/7)+1,""))</f>
        <v/>
      </c>
      <c r="C451" s="22" t="n"/>
      <c r="D451" s="23" t="n"/>
      <c r="E451" s="22" t="n"/>
      <c r="F451" s="22" t="n"/>
      <c r="G451" s="38" t="n"/>
      <c r="H451" s="22" t="n"/>
      <c r="I451" s="25">
        <f>IF(OR(F451="",G451=""),"",F451*G451)</f>
        <v/>
      </c>
      <c r="J451" s="38">
        <f>IF(OR(F451="",G451=""),"",ROUND(G451*(1+F451/30),1))</f>
        <v/>
      </c>
      <c r="K451" s="26" t="n"/>
    </row>
    <row r="452" ht="18" customHeight="1">
      <c r="A452" s="35" t="n"/>
      <c r="B452" s="16">
        <f>IF(A452="","",IFERROR(INT((A452-DATE(2026,4,27))/7)+1,""))</f>
        <v/>
      </c>
      <c r="C452" s="16" t="n"/>
      <c r="D452" s="17" t="n"/>
      <c r="E452" s="16" t="n"/>
      <c r="F452" s="16" t="n"/>
      <c r="G452" s="36" t="n"/>
      <c r="H452" s="16" t="n"/>
      <c r="I452" s="19">
        <f>IF(OR(F452="",G452=""),"",F452*G452)</f>
        <v/>
      </c>
      <c r="J452" s="36">
        <f>IF(OR(F452="",G452=""),"",ROUND(G452*(1+F452/30),1))</f>
        <v/>
      </c>
      <c r="K452" s="20" t="n"/>
    </row>
    <row r="453" ht="18" customHeight="1">
      <c r="A453" s="37" t="n"/>
      <c r="B453" s="22">
        <f>IF(A453="","",IFERROR(INT((A453-DATE(2026,4,27))/7)+1,""))</f>
        <v/>
      </c>
      <c r="C453" s="22" t="n"/>
      <c r="D453" s="23" t="n"/>
      <c r="E453" s="22" t="n"/>
      <c r="F453" s="22" t="n"/>
      <c r="G453" s="38" t="n"/>
      <c r="H453" s="22" t="n"/>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c r="B23" s="22">
        <f>IF(A23="","",IFERROR(INT((A23-DATE(2026,4,27))/7)+1,""))</f>
        <v/>
      </c>
      <c r="C23" s="28" t="n"/>
      <c r="D23" s="38" t="n"/>
      <c r="E23" s="22">
        <f>IF(OR(C23="",D23=""),"",TEXT(D23/C23/1440,"m:ss"))</f>
        <v/>
      </c>
      <c r="F23" s="22" t="n"/>
      <c r="G23" s="22" t="n"/>
      <c r="H23" s="22" t="n"/>
      <c r="I23" s="22" t="n"/>
      <c r="J23" s="26" t="n"/>
    </row>
    <row r="24" ht="18" customHeight="1">
      <c r="A24" s="35" t="n"/>
      <c r="B24" s="16">
        <f>IF(A24="","",IFERROR(INT((A24-DATE(2026,4,27))/7)+1,""))</f>
        <v/>
      </c>
      <c r="C24" s="27" t="n"/>
      <c r="D24" s="36" t="n"/>
      <c r="E24" s="16">
        <f>IF(OR(C24="",D24=""),"",TEXT(D24/C24/1440,"m:ss"))</f>
        <v/>
      </c>
      <c r="F24" s="16" t="n"/>
      <c r="G24" s="16" t="n"/>
      <c r="H24" s="16" t="n"/>
      <c r="I24" s="16" t="n"/>
      <c r="J24" s="20" t="n"/>
    </row>
    <row r="25" ht="18" customHeight="1">
      <c r="A25" s="37" t="n"/>
      <c r="B25" s="22">
        <f>IF(A25="","",IFERROR(INT((A25-DATE(2026,4,27))/7)+1,""))</f>
        <v/>
      </c>
      <c r="C25" s="28" t="n"/>
      <c r="D25" s="38" t="n"/>
      <c r="E25" s="22">
        <f>IF(OR(C25="",D25=""),"",TEXT(D25/C25/1440,"m:ss"))</f>
        <v/>
      </c>
      <c r="F25" s="22" t="n"/>
      <c r="G25" s="22" t="n"/>
      <c r="H25" s="22" t="n"/>
      <c r="I25" s="22" t="n"/>
      <c r="J25" s="26" t="n"/>
    </row>
    <row r="26" ht="18" customHeight="1">
      <c r="A26" s="35" t="n"/>
      <c r="B26" s="16">
        <f>IF(A26="","",IFERROR(INT((A26-DATE(2026,4,27))/7)+1,""))</f>
        <v/>
      </c>
      <c r="C26" s="27" t="n"/>
      <c r="D26" s="36" t="n"/>
      <c r="E26" s="16">
        <f>IF(OR(C26="",D26=""),"",TEXT(D26/C26/1440,"m:ss"))</f>
        <v/>
      </c>
      <c r="F26" s="16" t="n"/>
      <c r="G26" s="16" t="n"/>
      <c r="H26" s="16" t="n"/>
      <c r="I26" s="16" t="n"/>
      <c r="J26" s="20" t="n"/>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c r="B47" s="22">
        <f>IF(A47="","",IFERROR(INT((A47-DATE(2026,4,27))/7)+1,""))</f>
        <v/>
      </c>
      <c r="C47" s="38" t="n"/>
      <c r="D47" s="38" t="n"/>
      <c r="E47" s="38" t="n"/>
      <c r="F47" s="38" t="n"/>
      <c r="G47" s="38" t="n"/>
      <c r="H47" s="38" t="n"/>
      <c r="I47" s="26" t="n"/>
    </row>
    <row r="48" ht="18" customHeight="1">
      <c r="A48" s="35" t="n"/>
      <c r="B48" s="16">
        <f>IF(A48="","",IFERROR(INT((A48-DATE(2026,4,27))/7)+1,""))</f>
        <v/>
      </c>
      <c r="C48" s="36" t="n"/>
      <c r="D48" s="36" t="n"/>
      <c r="E48" s="36" t="n"/>
      <c r="F48" s="36" t="n"/>
      <c r="G48" s="36" t="n"/>
      <c r="H48" s="36" t="n"/>
      <c r="I48" s="20" t="n"/>
    </row>
    <row r="49" ht="18" customHeight="1">
      <c r="A49" s="37" t="n"/>
      <c r="B49" s="22">
        <f>IF(A49="","",IFERROR(INT((A49-DATE(2026,4,27))/7)+1,""))</f>
        <v/>
      </c>
      <c r="C49" s="38" t="n"/>
      <c r="D49" s="38" t="n"/>
      <c r="E49" s="38" t="n"/>
      <c r="F49" s="38" t="n"/>
      <c r="G49" s="38" t="n"/>
      <c r="H49" s="38" t="n"/>
      <c r="I49" s="26" t="n"/>
    </row>
    <row r="50" ht="18" customHeight="1">
      <c r="A50" s="35" t="n"/>
      <c r="B50" s="16">
        <f>IF(A50="","",IFERROR(INT((A50-DATE(2026,4,27))/7)+1,""))</f>
        <v/>
      </c>
      <c r="C50" s="36" t="n"/>
      <c r="D50" s="36" t="n"/>
      <c r="E50" s="36" t="n"/>
      <c r="F50" s="36" t="n"/>
      <c r="G50" s="36" t="n"/>
      <c r="H50" s="36" t="n"/>
      <c r="I50" s="20" t="n"/>
    </row>
    <row r="51" ht="18" customHeight="1">
      <c r="A51" s="37" t="n"/>
      <c r="B51" s="22">
        <f>IF(A51="","",IFERROR(INT((A51-DATE(2026,4,27))/7)+1,""))</f>
        <v/>
      </c>
      <c r="C51" s="38" t="n"/>
      <c r="D51" s="38" t="n"/>
      <c r="E51" s="38" t="n"/>
      <c r="F51" s="38" t="n"/>
      <c r="G51" s="38" t="n"/>
      <c r="H51" s="38" t="n"/>
      <c r="I51" s="26" t="n"/>
    </row>
    <row r="52" ht="18" customHeight="1">
      <c r="A52" s="35" t="n"/>
      <c r="B52" s="16">
        <f>IF(A52="","",IFERROR(INT((A52-DATE(2026,4,27))/7)+1,""))</f>
        <v/>
      </c>
      <c r="C52" s="36" t="n"/>
      <c r="D52" s="36" t="n"/>
      <c r="E52" s="36" t="n"/>
      <c r="F52" s="36" t="n"/>
      <c r="G52" s="36" t="n"/>
      <c r="H52" s="36" t="n"/>
      <c r="I52" s="20" t="n"/>
    </row>
    <row r="53" ht="18" customHeight="1">
      <c r="A53" s="37" t="n"/>
      <c r="B53" s="22">
        <f>IF(A53="","",IFERROR(INT((A53-DATE(2026,4,27))/7)+1,""))</f>
        <v/>
      </c>
      <c r="C53" s="38" t="n"/>
      <c r="D53" s="38" t="n"/>
      <c r="E53" s="38" t="n"/>
      <c r="F53" s="38" t="n"/>
      <c r="G53" s="38" t="n"/>
      <c r="H53" s="38" t="n"/>
      <c r="I53" s="26" t="n"/>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2026-09-17T20:36:04Z</dcterms:modified>
</cp:coreProperties>
</file>