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36" t="n"/>
      <c r="H376" s="16" t="n"/>
      <c r="I376" s="19">
        <f>IF(OR(F376="",G376=""),"",F376*G376)</f>
        <v/>
      </c>
      <c r="J376" s="36">
        <f>IF(OR(F376="",G376=""),"",ROUND(G376*(1+F376/30),1))</f>
        <v/>
      </c>
      <c r="K376" s="20" t="n"/>
    </row>
    <row r="377" ht="18" customHeight="1">
      <c r="A377" s="37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38" t="n"/>
      <c r="H377" s="22" t="n"/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36" t="n"/>
      <c r="H378" s="16" t="n"/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38" t="n"/>
      <c r="H379" s="22" t="n"/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36" t="n"/>
      <c r="H380" s="16" t="n"/>
      <c r="I380" s="19">
        <f>IF(OR(F380="",G380=""),"",F380*G380)</f>
        <v/>
      </c>
      <c r="J380" s="36">
        <f>IF(OR(F380="",G380=""),"",ROUND(G380*(1+F380/30),1))</f>
        <v/>
      </c>
      <c r="K380" s="20" t="n"/>
    </row>
    <row r="381" ht="18" customHeight="1">
      <c r="A381" s="37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38" t="n"/>
      <c r="H381" s="22" t="n"/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36" t="n"/>
      <c r="H382" s="16" t="n"/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38" t="n"/>
      <c r="H383" s="22" t="n"/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36" t="n"/>
      <c r="H384" s="16" t="n"/>
      <c r="I384" s="19">
        <f>IF(OR(F384="",G384=""),"",F384*G384)</f>
        <v/>
      </c>
      <c r="J384" s="36">
        <f>IF(OR(F384="",G384=""),"",ROUND(G384*(1+F384/30),1))</f>
        <v/>
      </c>
      <c r="K384" s="20" t="n"/>
    </row>
    <row r="385" ht="18" customHeight="1">
      <c r="A385" s="37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38" t="n"/>
      <c r="H385" s="22" t="n"/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36" t="n"/>
      <c r="H386" s="16" t="n"/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38" t="n"/>
      <c r="H387" s="22" t="n"/>
      <c r="I387" s="25">
        <f>IF(OR(F387="",G387=""),"",F387*G387)</f>
        <v/>
      </c>
      <c r="J387" s="38">
        <f>IF(OR(F387="",G387=""),"",ROUND(G387*(1+F387/30),1))</f>
        <v/>
      </c>
      <c r="K387" s="26" t="n"/>
    </row>
    <row r="388" ht="18" customHeight="1">
      <c r="A388" s="3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36" t="n"/>
      <c r="H388" s="16" t="n"/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38" t="n"/>
      <c r="H389" s="22" t="n"/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36" t="n"/>
      <c r="H390" s="16" t="n"/>
      <c r="I390" s="19">
        <f>IF(OR(F390="",G390=""),"",F390*G390)</f>
        <v/>
      </c>
      <c r="J390" s="36">
        <f>IF(OR(F390="",G390=""),"",ROUND(G390*(1+F390/30),1))</f>
        <v/>
      </c>
      <c r="K390" s="20" t="n"/>
    </row>
    <row r="391" ht="18" customHeight="1">
      <c r="A391" s="37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38" t="n"/>
      <c r="H391" s="22" t="n"/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36" t="n"/>
      <c r="H392" s="16" t="n"/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38" t="n"/>
      <c r="H393" s="22" t="n"/>
      <c r="I393" s="25">
        <f>IF(OR(F393="",G393=""),"",F393*G393)</f>
        <v/>
      </c>
      <c r="J393" s="38">
        <f>IF(OR(F393="",G393=""),"",ROUND(G393*(1+F393/30),1))</f>
        <v/>
      </c>
      <c r="K393" s="26" t="n"/>
    </row>
    <row r="394" ht="18" customHeight="1">
      <c r="A394" s="3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36" t="n"/>
      <c r="H394" s="16" t="n"/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38" t="n"/>
      <c r="H395" s="22" t="n"/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36" t="n"/>
      <c r="H396" s="16" t="n"/>
      <c r="I396" s="19">
        <f>IF(OR(F396="",G396=""),"",F396*G396)</f>
        <v/>
      </c>
      <c r="J396" s="36">
        <f>IF(OR(F396="",G396=""),"",ROUND(G396*(1+F396/30),1))</f>
        <v/>
      </c>
      <c r="K396" s="20" t="n"/>
    </row>
    <row r="397" ht="18" customHeight="1">
      <c r="A397" s="37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38" t="n"/>
      <c r="H397" s="22" t="n"/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36" t="n"/>
      <c r="H398" s="16" t="n"/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38" t="n"/>
      <c r="H399" s="22" t="n"/>
      <c r="I399" s="25">
        <f>IF(OR(F399="",G399=""),"",F399*G399)</f>
        <v/>
      </c>
      <c r="J399" s="38">
        <f>IF(OR(F399="",G399=""),"",ROUND(G399*(1+F399/30),1))</f>
        <v/>
      </c>
      <c r="K399" s="26" t="n"/>
    </row>
    <row r="400" ht="18" customHeight="1">
      <c r="A400" s="3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36" t="n"/>
      <c r="H400" s="16" t="n"/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38" t="n"/>
      <c r="H401" s="22" t="n"/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36" t="n"/>
      <c r="H402" s="16" t="n"/>
      <c r="I402" s="19">
        <f>IF(OR(F402="",G402=""),"",F402*G402)</f>
        <v/>
      </c>
      <c r="J402" s="36">
        <f>IF(OR(F402="",G402=""),"",ROUND(G402*(1+F402/30),1))</f>
        <v/>
      </c>
      <c r="K402" s="20" t="n"/>
    </row>
    <row r="403" ht="18" customHeight="1">
      <c r="A403" s="37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38" t="n"/>
      <c r="H403" s="22" t="n"/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>
        <v>46271</v>
      </c>
      <c r="B18" s="16">
        <f>IF(A18="","",IFERROR(INT((A18-DATE(2026,4,27))/7)+1,""))</f>
        <v/>
      </c>
      <c r="C18" s="27" t="n">
        <v>10</v>
      </c>
      <c r="D18" s="36" t="n">
        <v>75.15000000000001</v>
      </c>
      <c r="E18" s="16">
        <f>IF(OR(C18="",D18=""),"",TEXT(D18/C18/1440,"m:ss"))</f>
        <v/>
      </c>
      <c r="F18" s="16" t="n">
        <v>150</v>
      </c>
      <c r="G18" s="16" t="n">
        <v>161</v>
      </c>
      <c r="H18" s="16" t="n">
        <v>4</v>
      </c>
      <c r="I18" s="16" t="inlineStr">
        <is>
          <t>Long</t>
        </is>
      </c>
      <c r="J18" s="20" t="inlineStr">
        <is>
          <t>Blk2 Wk A Sun - LONG 10k, WEEK A CLOSER. 7:31/km, 97%Z2 = HIGHEST IN LOG (94 on 5k -&gt; 80 on 6k -&gt; 97 on 10k; easy-day discipline scaled UP with distance). Longest run since 2026-06-22 (18k); +36% step over Fri's 6k; taken 20h post-lifting instead of 48h (cali moved Fri-&gt;Sat). CADENCE 167 = BLOCK'S OLDEST OPEN ITEM CLOSED: 3rd cued run, 3rd hit (166/166/167), 1 spm off the 168 PR, held through 75 min where fatigue had every chance to drag turnover down. Never lost, only uncued - metronome every run to the race, bone lever (shorter ground contact = less tibial impact). 0 WALK BREAKS over 10k = continuous running green at 6k AND at 10k under fatigue; the 4 breaks on 9/2 were first-run-back rust, not a pattern. SHIN CLEAN check #15, 15 straight, through the biggest distance jump of the block. HONEST PACE READ: 7:31/km @ HR 150 today vs 7:08/km @ HR 145 on 9/4 = slower pace at HIGHER HR. Over 67% more distance, sunny vs 13C rain = ordinary decoupling on a re-entry long run, NOT a flag; max 161 = steady drift, no spikes. But the run sat AT the ceiling, not under it -&gt; Wk B's 12k must OPEN SLOWER (~7:35-7:50/km early); the extra 2km comes out of the first half's pace budget, not the second half's HR. RPE 4 + user: 'a bit tired but could have done 15km chill' = engine ahead of chassis and ahead of plan. Extraction audit verdict: the un-cashed lever is COMPLIANCE (3 of 4 runs run, 21 of 26 km), NOT more km - long-run ramp is already stacked at its ceiling and bone, not lungs, sets the ceiling. Wk B long stays 12k; set distance by bone, not by breath. Fuel during run: half banana + 80% Powerade ~30-40g carbs / 75 min = on the 30 g/h prescription, unprompted. Kcal 2693 vs ~2600 long-day cap = +93 = FUEL DRIFT ARRESTED (was +977/+546/+937). Protein 170 (down from 227). Creatine Y.</t>
        </is>
      </c>
    </row>
    <row r="19" ht="18" customHeight="1">
      <c r="A19" s="37" t="n"/>
      <c r="B19" s="22">
        <f>IF(A19="","",IFERROR(INT((A19-DATE(2026,4,27))/7)+1,""))</f>
        <v/>
      </c>
      <c r="C19" s="28" t="n"/>
      <c r="D19" s="38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35" t="n"/>
      <c r="B20" s="16">
        <f>IF(A20="","",IFERROR(INT((A20-DATE(2026,4,27))/7)+1,""))</f>
        <v/>
      </c>
      <c r="C20" s="27" t="n"/>
      <c r="D20" s="36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37" t="n"/>
      <c r="B21" s="22">
        <f>IF(A21="","",IFERROR(INT((A21-DATE(2026,4,27))/7)+1,""))</f>
        <v/>
      </c>
      <c r="C21" s="28" t="n"/>
      <c r="D21" s="38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>
        <v>46271</v>
      </c>
      <c r="B35" s="22">
        <f>IF(A35="","",IFERROR(INT((A35-DATE(2026,4,27))/7)+1,""))</f>
        <v/>
      </c>
      <c r="C35" s="38" t="n">
        <v>75.84999999999999</v>
      </c>
      <c r="D35" s="38" t="n">
        <v>9.5</v>
      </c>
      <c r="E35" s="38" t="n"/>
      <c r="F35" s="38" t="n"/>
      <c r="G35" s="38" t="n"/>
      <c r="H35" s="38" t="n"/>
      <c r="I35" s="26" t="inlineStr">
        <is>
          <t>Wk A Sun - LONG 10k, week closer. AM GREEN: sleep 9:30 q9, RHR 46 (delta +2 vs baseline 44 = noise off a 65-min lifting session), motivation 9, energy 10, stress 1, joints all clear. SHIN CLEAN check #14 (pre-run) and #15 (post-run). DOMS legs ALL 1 (quad/ham/glute/calf/tib) at 20h post-cali - Sat's calf 2 / tib 2 cleared overnight. SECOND consecutive time the RPE 6 leg cap delivered fresh legs into a run day, this time off 24h not 48h: the Fri-&gt;Sat cali move cost nothing. Cap VALIDATED, not merely tolerated. Upper DOMS chest 3 / delt 3 / back 2 / arm 2 = the 9/5 push/pull fix landing on schedule (push went 5.9 -&gt; 8.0 RPE); irrelevant to running. BW 75.85 = FLAT vs 9/5, first non-rising point in the fuel drift. 9/5 ran +937 kcal and the scale did not move -&gt; confirms the +0.85 over the 75.0 close (8/31) is mostly glycogen + water, not fat. Flag NOT closed - weigh in Mon 9/7 AM, that reading makes the 7-day trend call. FUEL DRIFT ARRESTED: 2693 kcal vs the ~2600 long-day cap = +93, after +977 (9/2), +546 (9/4), +937 (9/5). Protein 170 g, down from 227, 5 over band on a long day = the correction landed. Creatine Y. Non-long days ~2400, protein 155-165.</t>
        </is>
      </c>
    </row>
    <row r="36" ht="18" customHeight="1">
      <c r="A36" s="35" t="n"/>
      <c r="B36" s="16">
        <f>IF(A36="","",IFERROR(INT((A36-DATE(2026,4,27))/7)+1,""))</f>
        <v/>
      </c>
      <c r="C36" s="36" t="n"/>
      <c r="D36" s="36" t="n"/>
      <c r="E36" s="36" t="n"/>
      <c r="F36" s="36" t="n"/>
      <c r="G36" s="36" t="n"/>
      <c r="H36" s="36" t="n"/>
      <c r="I36" s="20" t="n"/>
    </row>
    <row r="37" ht="18" customHeight="1">
      <c r="A37" s="37" t="n"/>
      <c r="B37" s="22">
        <f>IF(A37="","",IFERROR(INT((A37-DATE(2026,4,27))/7)+1,""))</f>
        <v/>
      </c>
      <c r="C37" s="38" t="n"/>
      <c r="D37" s="38" t="n"/>
      <c r="E37" s="38" t="n"/>
      <c r="F37" s="38" t="n"/>
      <c r="G37" s="38" t="n"/>
      <c r="H37" s="38" t="n"/>
      <c r="I37" s="26" t="n"/>
    </row>
    <row r="38" ht="18" customHeight="1">
      <c r="A38" s="35" t="n"/>
      <c r="B38" s="16">
        <f>IF(A38="","",IFERROR(INT((A38-DATE(2026,4,27))/7)+1,""))</f>
        <v/>
      </c>
      <c r="C38" s="36" t="n"/>
      <c r="D38" s="36" t="n"/>
      <c r="E38" s="36" t="n"/>
      <c r="F38" s="36" t="n"/>
      <c r="G38" s="36" t="n"/>
      <c r="H38" s="36" t="n"/>
      <c r="I38" s="20" t="n"/>
    </row>
    <row r="39" ht="18" customHeight="1">
      <c r="A39" s="37" t="n"/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n"/>
    </row>
    <row r="40" ht="18" customHeight="1">
      <c r="A40" s="35" t="n"/>
      <c r="B40" s="16">
        <f>IF(A40="","",IFERROR(INT((A40-DATE(2026,4,27))/7)+1,""))</f>
        <v/>
      </c>
      <c r="C40" s="36" t="n"/>
      <c r="D40" s="36" t="n"/>
      <c r="E40" s="36" t="n"/>
      <c r="F40" s="36" t="n"/>
      <c r="G40" s="36" t="n"/>
      <c r="H40" s="36" t="n"/>
      <c r="I40" s="20" t="n"/>
    </row>
    <row r="41" ht="18" customHeight="1">
      <c r="A41" s="37" t="n"/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n"/>
    </row>
    <row r="42" ht="18" customHeight="1">
      <c r="A42" s="35" t="n"/>
      <c r="B42" s="16">
        <f>IF(A42="","",IFERROR(INT((A42-DATE(2026,4,27))/7)+1,""))</f>
        <v/>
      </c>
      <c r="C42" s="36" t="n"/>
      <c r="D42" s="36" t="n"/>
      <c r="E42" s="36" t="n"/>
      <c r="F42" s="36" t="n"/>
      <c r="G42" s="36" t="n"/>
      <c r="H42" s="36" t="n"/>
      <c r="I42" s="20" t="n"/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2026-09-06T20:03:10Z</dcterms:modified>
</cp:coreProperties>
</file>