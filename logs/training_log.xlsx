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s" sheetId="2" state="visible" r:id="rId2"/>
    <sheet xmlns:r="http://schemas.openxmlformats.org/officeDocument/2006/relationships" name="Lifting Log" sheetId="3" state="visible" r:id="rId3"/>
    <sheet xmlns:r="http://schemas.openxmlformats.org/officeDocument/2006/relationships" name="Running Log" sheetId="4" state="visible" r:id="rId4"/>
    <sheet xmlns:r="http://schemas.openxmlformats.org/officeDocument/2006/relationships" name="Body Metrics" sheetId="5" state="visible" r:id="rId5"/>
    <sheet xmlns:r="http://schemas.openxmlformats.org/officeDocument/2006/relationships" name="Personal Records" sheetId="6" state="visible" r:id="rId6"/>
    <sheet xmlns:r="http://schemas.openxmlformats.org/officeDocument/2006/relationships" name="Weekly Summary" sheetId="7" state="visible" r:id="rId7"/>
    <sheet xmlns:r="http://schemas.openxmlformats.org/officeDocument/2006/relationships" name="Progression Data" sheetId="8" state="visible" r:id="rId8"/>
    <sheet xmlns:r="http://schemas.openxmlformats.org/officeDocument/2006/relationships"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e1RM (kg) by Week — priority lifts</a:t>
            </a:r>
          </a:p>
        </rich>
      </tx>
    </title>
    <plotArea>
      <lineChart>
        <grouping val="standard"/>
        <ser>
          <idx val="0"/>
          <order val="0"/>
          <tx>
            <strRef>
              <f>'Progression Data'!C1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Data'!$C$2:$C$12</f>
            </numRef>
          </val>
          <smooth val="0"/>
        </ser>
        <ser>
          <idx val="1"/>
          <order val="1"/>
          <tx>
            <strRef>
              <f>'Progression Data'!D1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Data'!$D$2:$D$12</f>
            </numRef>
          </val>
          <smooth val="0"/>
        </ser>
        <ser>
          <idx val="2"/>
          <order val="2"/>
          <tx>
            <strRef>
              <f>'Progression Data'!E1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Data'!$E$2:$E$12</f>
            </numRef>
          </val>
          <smooth val="0"/>
        </ser>
        <ser>
          <idx val="3"/>
          <order val="3"/>
          <tx>
            <strRef>
              <f>'Progression Data'!F1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Data'!$F$2:$F$12</f>
            </numRef>
          </val>
          <smooth val="0"/>
        </ser>
        <ser>
          <idx val="4"/>
          <order val="4"/>
          <tx>
            <strRef>
              <f>'Progression Data'!G1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Data'!$G$2:$G$12</f>
            </numRef>
          </val>
          <smooth val="0"/>
        </ser>
        <ser>
          <idx val="5"/>
          <order val="5"/>
          <tx>
            <strRef>
              <f>'Progression Data'!H1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Data'!$H$2:$H$12</f>
            </numRef>
          </val>
          <smooth val="0"/>
        </ser>
        <ser>
          <idx val="6"/>
          <order val="6"/>
          <tx>
            <strRef>
              <f>'Progression Data'!I1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Data'!$I$2:$I$12</f>
            </numRef>
          </val>
          <smooth val="0"/>
        </ser>
        <ser>
          <idx val="7"/>
          <order val="7"/>
          <tx>
            <strRef>
              <f>'Progression Data'!J1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Data'!$J$2:$J$12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Total Lifting Volume (kg) by Week</a:t>
            </a:r>
          </a:p>
        </rich>
      </tx>
    </title>
    <plotArea>
      <barChart>
        <barDir val="col"/>
        <grouping val="clustered"/>
        <ser>
          <idx val="0"/>
          <order val="0"/>
          <tx>
            <strRef>
              <f>'Weekly Summary'!E1</f>
            </strRef>
          </tx>
          <spPr>
            <a:ln xmlns:a="http://schemas.openxmlformats.org/drawingml/2006/mai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Volume (kg)</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Avg Session RPE by Week</a:t>
            </a:r>
          </a:p>
        </rich>
      </tx>
    </title>
    <plotArea>
      <lineChart>
        <grouping val="standard"/>
        <ser>
          <idx val="0"/>
          <order val="0"/>
          <tx>
            <strRef>
              <f>'Weekly Summary'!F1</f>
            </strRef>
          </tx>
          <spPr>
            <a:ln xmlns:a="http://schemas.openxmlformats.org/drawingml/2006/main">
              <a:prstDash val="solid"/>
            </a:ln>
          </spPr>
          <marker>
            <symbol val="circle"/>
            <size val="6"/>
            <spPr>
              <a:ln xmlns:a="http://schemas.openxmlformats.org/drawingml/2006/main">
                <a:prstDash val="solid"/>
              </a:ln>
            </spPr>
          </marker>
          <cat>
            <numRef>
              <f>'Weekly Summary'!$A$2:$A$12</f>
            </numRef>
          </cat>
          <val>
            <numRef>
              <f>'Weekly Summary'!$F$2:$F$12</f>
            </numRef>
          </val>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max val="10"/>
          <min val="5"/>
        </scaling>
        <axPos val="l"/>
        <title>
          <tx>
            <rich>
              <a:bodyPr xmlns:a="http://schemas.openxmlformats.org/drawingml/2006/main"/>
              <a:p xmlns:a="http://schemas.openxmlformats.org/drawingml/2006/main">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Body Weight (kg) over time</a:t>
            </a:r>
          </a:p>
        </rich>
      </tx>
    </title>
    <plotArea>
      <lineChart>
        <grouping val="standard"/>
        <ser>
          <idx val="0"/>
          <order val="0"/>
          <tx>
            <strRef>
              <f>'Body Metrics'!C1</f>
            </strRef>
          </tx>
          <spPr>
            <a:ln xmlns:a="http://schemas.openxmlformats.org/drawingml/2006/main">
              <a:prstDash val="solid"/>
            </a:ln>
          </spPr>
          <marker>
            <symbol val="circle"/>
            <size val="6"/>
            <spPr>
              <a:ln xmlns:a="http://schemas.openxmlformats.org/drawingml/2006/mai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xmlns:a="http://schemas.openxmlformats.org/drawingml/2006/main"/>
              <a:p xmlns:a="http://schemas.openxmlformats.org/drawingml/2006/main">
                <a:pPr>
                  <a:defRPr/>
                </a:pPr>
                <a:r>
                  <a:t>Date</a:t>
                </a:r>
              </a:p>
            </rich>
          </tx>
        </title>
        <numFmt formatCode="mmm d" sourceLinked="0"/>
        <majorTickMark val="none"/>
        <minorTickMark val="none"/>
        <crossAx val="100"/>
        <majorTimeUnit val="days"/>
      </dateAx>
      <valAx>
        <axId val="100"/>
        <scaling>
          <orientation val="minMax"/>
        </scaling>
        <axPos val="l"/>
        <title>
          <tx>
            <rich>
              <a:bodyPr xmlns:a="http://schemas.openxmlformats.org/drawingml/2006/main"/>
              <a:p xmlns:a="http://schemas.openxmlformats.org/drawingml/2006/main">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Working Sets by Week</a:t>
            </a:r>
          </a:p>
        </rich>
      </tx>
    </title>
    <plotArea>
      <barChart>
        <barDir val="col"/>
        <grouping val="clustered"/>
        <ser>
          <idx val="0"/>
          <order val="0"/>
          <tx>
            <strRef>
              <f>'Weekly Summary'!D1</f>
            </strRef>
          </tx>
          <spPr>
            <a:ln xmlns:a="http://schemas.openxmlformats.org/drawingml/2006/mai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Sets</a:t>
                </a:r>
              </a:p>
            </rich>
          </tx>
        </title>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Run Distance (km) by Week</a:t>
            </a:r>
          </a:p>
        </rich>
      </tx>
    </title>
    <plotArea>
      <barChart>
        <barDir val="col"/>
        <grouping val="clustered"/>
        <ser>
          <idx val="0"/>
          <order val="0"/>
          <tx>
            <strRef>
              <f>'Weekly Summary'!H1</f>
            </strRef>
          </tx>
          <spPr>
            <a:ln xmlns:a="http://schemas.openxmlformats.org/drawingml/2006/mai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40</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63</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109</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132</row>
      <rowOff>0</rowOff>
    </from>
    <ext cx="864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c r="B404" s="16">
        <f>IF(A404="","",IFERROR(INT((A404-DATE(2026,4,27))/7)+1,""))</f>
        <v/>
      </c>
      <c r="C404" s="16" t="n"/>
      <c r="D404" s="17" t="n"/>
      <c r="E404" s="16" t="n"/>
      <c r="F404" s="16" t="n"/>
      <c r="G404" s="36" t="n"/>
      <c r="H404" s="16" t="n"/>
      <c r="I404" s="19">
        <f>IF(OR(F404="",G404=""),"",F404*G404)</f>
        <v/>
      </c>
      <c r="J404" s="36">
        <f>IF(OR(F404="",G404=""),"",ROUND(G404*(1+F404/30),1))</f>
        <v/>
      </c>
      <c r="K404" s="20" t="n"/>
    </row>
    <row r="405" ht="18" customHeight="1">
      <c r="A405" s="37" t="n"/>
      <c r="B405" s="22">
        <f>IF(A405="","",IFERROR(INT((A405-DATE(2026,4,27))/7)+1,""))</f>
        <v/>
      </c>
      <c r="C405" s="22" t="n"/>
      <c r="D405" s="23" t="n"/>
      <c r="E405" s="22" t="n"/>
      <c r="F405" s="22" t="n"/>
      <c r="G405" s="38" t="n"/>
      <c r="H405" s="22" t="n"/>
      <c r="I405" s="25">
        <f>IF(OR(F405="",G405=""),"",F405*G405)</f>
        <v/>
      </c>
      <c r="J405" s="38">
        <f>IF(OR(F405="",G405=""),"",ROUND(G405*(1+F405/30),1))</f>
        <v/>
      </c>
      <c r="K405" s="26" t="n"/>
    </row>
    <row r="406" ht="18" customHeight="1">
      <c r="A406" s="35" t="n"/>
      <c r="B406" s="16">
        <f>IF(A406="","",IFERROR(INT((A406-DATE(2026,4,27))/7)+1,""))</f>
        <v/>
      </c>
      <c r="C406" s="16" t="n"/>
      <c r="D406" s="17" t="n"/>
      <c r="E406" s="16" t="n"/>
      <c r="F406" s="16" t="n"/>
      <c r="G406" s="36" t="n"/>
      <c r="H406" s="16" t="n"/>
      <c r="I406" s="19">
        <f>IF(OR(F406="",G406=""),"",F406*G406)</f>
        <v/>
      </c>
      <c r="J406" s="36">
        <f>IF(OR(F406="",G406=""),"",ROUND(G406*(1+F406/30),1))</f>
        <v/>
      </c>
      <c r="K406" s="20" t="n"/>
    </row>
    <row r="407" ht="18" customHeight="1">
      <c r="A407" s="37" t="n"/>
      <c r="B407" s="22">
        <f>IF(A407="","",IFERROR(INT((A407-DATE(2026,4,27))/7)+1,""))</f>
        <v/>
      </c>
      <c r="C407" s="22" t="n"/>
      <c r="D407" s="23" t="n"/>
      <c r="E407" s="22" t="n"/>
      <c r="F407" s="22" t="n"/>
      <c r="G407" s="38" t="n"/>
      <c r="H407" s="22" t="n"/>
      <c r="I407" s="25">
        <f>IF(OR(F407="",G407=""),"",F407*G407)</f>
        <v/>
      </c>
      <c r="J407" s="38">
        <f>IF(OR(F407="",G407=""),"",ROUND(G407*(1+F407/30),1))</f>
        <v/>
      </c>
      <c r="K407" s="26" t="n"/>
    </row>
    <row r="408" ht="18" customHeight="1">
      <c r="A408" s="35" t="n"/>
      <c r="B408" s="16">
        <f>IF(A408="","",IFERROR(INT((A408-DATE(2026,4,27))/7)+1,""))</f>
        <v/>
      </c>
      <c r="C408" s="16" t="n"/>
      <c r="D408" s="17" t="n"/>
      <c r="E408" s="16" t="n"/>
      <c r="F408" s="16" t="n"/>
      <c r="G408" s="36" t="n"/>
      <c r="H408" s="16" t="n"/>
      <c r="I408" s="19">
        <f>IF(OR(F408="",G408=""),"",F408*G408)</f>
        <v/>
      </c>
      <c r="J408" s="36">
        <f>IF(OR(F408="",G408=""),"",ROUND(G408*(1+F408/30),1))</f>
        <v/>
      </c>
      <c r="K408" s="20" t="n"/>
    </row>
    <row r="409" ht="18" customHeight="1">
      <c r="A409" s="37" t="n"/>
      <c r="B409" s="22">
        <f>IF(A409="","",IFERROR(INT((A409-DATE(2026,4,27))/7)+1,""))</f>
        <v/>
      </c>
      <c r="C409" s="22" t="n"/>
      <c r="D409" s="23" t="n"/>
      <c r="E409" s="22" t="n"/>
      <c r="F409" s="22" t="n"/>
      <c r="G409" s="38" t="n"/>
      <c r="H409" s="22" t="n"/>
      <c r="I409" s="25">
        <f>IF(OR(F409="",G409=""),"",F409*G409)</f>
        <v/>
      </c>
      <c r="J409" s="38">
        <f>IF(OR(F409="",G409=""),"",ROUND(G409*(1+F409/30),1))</f>
        <v/>
      </c>
      <c r="K409" s="26" t="n"/>
    </row>
    <row r="410" ht="18" customHeight="1">
      <c r="A410" s="35" t="n"/>
      <c r="B410" s="16">
        <f>IF(A410="","",IFERROR(INT((A410-DATE(2026,4,27))/7)+1,""))</f>
        <v/>
      </c>
      <c r="C410" s="16" t="n"/>
      <c r="D410" s="17" t="n"/>
      <c r="E410" s="16" t="n"/>
      <c r="F410" s="16" t="n"/>
      <c r="G410" s="36" t="n"/>
      <c r="H410" s="16" t="n"/>
      <c r="I410" s="19">
        <f>IF(OR(F410="",G410=""),"",F410*G410)</f>
        <v/>
      </c>
      <c r="J410" s="36">
        <f>IF(OR(F410="",G410=""),"",ROUND(G410*(1+F410/30),1))</f>
        <v/>
      </c>
      <c r="K410" s="20" t="n"/>
    </row>
    <row r="411" ht="18" customHeight="1">
      <c r="A411" s="37" t="n"/>
      <c r="B411" s="22">
        <f>IF(A411="","",IFERROR(INT((A411-DATE(2026,4,27))/7)+1,""))</f>
        <v/>
      </c>
      <c r="C411" s="22" t="n"/>
      <c r="D411" s="23" t="n"/>
      <c r="E411" s="22" t="n"/>
      <c r="F411" s="22" t="n"/>
      <c r="G411" s="38" t="n"/>
      <c r="H411" s="22" t="n"/>
      <c r="I411" s="25">
        <f>IF(OR(F411="",G411=""),"",F411*G411)</f>
        <v/>
      </c>
      <c r="J411" s="38">
        <f>IF(OR(F411="",G411=""),"",ROUND(G411*(1+F411/30),1))</f>
        <v/>
      </c>
      <c r="K411" s="26" t="n"/>
    </row>
    <row r="412" ht="18" customHeight="1">
      <c r="A412" s="35" t="n"/>
      <c r="B412" s="16">
        <f>IF(A412="","",IFERROR(INT((A412-DATE(2026,4,27))/7)+1,""))</f>
        <v/>
      </c>
      <c r="C412" s="16" t="n"/>
      <c r="D412" s="17" t="n"/>
      <c r="E412" s="16" t="n"/>
      <c r="F412" s="16" t="n"/>
      <c r="G412" s="36" t="n"/>
      <c r="H412" s="16" t="n"/>
      <c r="I412" s="19">
        <f>IF(OR(F412="",G412=""),"",F412*G412)</f>
        <v/>
      </c>
      <c r="J412" s="36">
        <f>IF(OR(F412="",G412=""),"",ROUND(G412*(1+F412/30),1))</f>
        <v/>
      </c>
      <c r="K412" s="20" t="n"/>
    </row>
    <row r="413" ht="18" customHeight="1">
      <c r="A413" s="37" t="n"/>
      <c r="B413" s="22">
        <f>IF(A413="","",IFERROR(INT((A413-DATE(2026,4,27))/7)+1,""))</f>
        <v/>
      </c>
      <c r="C413" s="22" t="n"/>
      <c r="D413" s="23" t="n"/>
      <c r="E413" s="22" t="n"/>
      <c r="F413" s="22" t="n"/>
      <c r="G413" s="38" t="n"/>
      <c r="H413" s="22" t="n"/>
      <c r="I413" s="25">
        <f>IF(OR(F413="",G413=""),"",F413*G413)</f>
        <v/>
      </c>
      <c r="J413" s="38">
        <f>IF(OR(F413="",G413=""),"",ROUND(G413*(1+F413/30),1))</f>
        <v/>
      </c>
      <c r="K413" s="26" t="n"/>
    </row>
    <row r="414" ht="18" customHeight="1">
      <c r="A414" s="35" t="n"/>
      <c r="B414" s="16">
        <f>IF(A414="","",IFERROR(INT((A414-DATE(2026,4,27))/7)+1,""))</f>
        <v/>
      </c>
      <c r="C414" s="16" t="n"/>
      <c r="D414" s="17" t="n"/>
      <c r="E414" s="16" t="n"/>
      <c r="F414" s="16" t="n"/>
      <c r="G414" s="36" t="n"/>
      <c r="H414" s="16" t="n"/>
      <c r="I414" s="19">
        <f>IF(OR(F414="",G414=""),"",F414*G414)</f>
        <v/>
      </c>
      <c r="J414" s="36">
        <f>IF(OR(F414="",G414=""),"",ROUND(G414*(1+F414/30),1))</f>
        <v/>
      </c>
      <c r="K414" s="20" t="n"/>
    </row>
    <row r="415" ht="18" customHeight="1">
      <c r="A415" s="37" t="n"/>
      <c r="B415" s="22">
        <f>IF(A415="","",IFERROR(INT((A415-DATE(2026,4,27))/7)+1,""))</f>
        <v/>
      </c>
      <c r="C415" s="22" t="n"/>
      <c r="D415" s="23" t="n"/>
      <c r="E415" s="22" t="n"/>
      <c r="F415" s="22" t="n"/>
      <c r="G415" s="38" t="n"/>
      <c r="H415" s="22" t="n"/>
      <c r="I415" s="25">
        <f>IF(OR(F415="",G415=""),"",F415*G415)</f>
        <v/>
      </c>
      <c r="J415" s="38">
        <f>IF(OR(F415="",G415=""),"",ROUND(G415*(1+F415/30),1))</f>
        <v/>
      </c>
      <c r="K415" s="26" t="n"/>
    </row>
    <row r="416" ht="18" customHeight="1">
      <c r="A416" s="35" t="n"/>
      <c r="B416" s="16">
        <f>IF(A416="","",IFERROR(INT((A416-DATE(2026,4,27))/7)+1,""))</f>
        <v/>
      </c>
      <c r="C416" s="16" t="n"/>
      <c r="D416" s="17" t="n"/>
      <c r="E416" s="16" t="n"/>
      <c r="F416" s="16" t="n"/>
      <c r="G416" s="36" t="n"/>
      <c r="H416" s="16" t="n"/>
      <c r="I416" s="19">
        <f>IF(OR(F416="",G416=""),"",F416*G416)</f>
        <v/>
      </c>
      <c r="J416" s="36">
        <f>IF(OR(F416="",G416=""),"",ROUND(G416*(1+F416/30),1))</f>
        <v/>
      </c>
      <c r="K416" s="20" t="n"/>
    </row>
    <row r="417" ht="18" customHeight="1">
      <c r="A417" s="37" t="n"/>
      <c r="B417" s="22">
        <f>IF(A417="","",IFERROR(INT((A417-DATE(2026,4,27))/7)+1,""))</f>
        <v/>
      </c>
      <c r="C417" s="22" t="n"/>
      <c r="D417" s="23" t="n"/>
      <c r="E417" s="22" t="n"/>
      <c r="F417" s="22" t="n"/>
      <c r="G417" s="38" t="n"/>
      <c r="H417" s="22" t="n"/>
      <c r="I417" s="25">
        <f>IF(OR(F417="",G417=""),"",F417*G417)</f>
        <v/>
      </c>
      <c r="J417" s="38">
        <f>IF(OR(F417="",G417=""),"",ROUND(G417*(1+F417/30),1))</f>
        <v/>
      </c>
      <c r="K417" s="26" t="n"/>
    </row>
    <row r="418" ht="18" customHeight="1">
      <c r="A418" s="35" t="n"/>
      <c r="B418" s="16">
        <f>IF(A418="","",IFERROR(INT((A418-DATE(2026,4,27))/7)+1,""))</f>
        <v/>
      </c>
      <c r="C418" s="16" t="n"/>
      <c r="D418" s="17" t="n"/>
      <c r="E418" s="16" t="n"/>
      <c r="F418" s="16" t="n"/>
      <c r="G418" s="36" t="n"/>
      <c r="H418" s="16" t="n"/>
      <c r="I418" s="19">
        <f>IF(OR(F418="",G418=""),"",F418*G418)</f>
        <v/>
      </c>
      <c r="J418" s="36">
        <f>IF(OR(F418="",G418=""),"",ROUND(G418*(1+F418/30),1))</f>
        <v/>
      </c>
      <c r="K418" s="20" t="n"/>
    </row>
    <row r="419" ht="18" customHeight="1">
      <c r="A419" s="37" t="n"/>
      <c r="B419" s="22">
        <f>IF(A419="","",IFERROR(INT((A419-DATE(2026,4,27))/7)+1,""))</f>
        <v/>
      </c>
      <c r="C419" s="22" t="n"/>
      <c r="D419" s="23" t="n"/>
      <c r="E419" s="22" t="n"/>
      <c r="F419" s="22" t="n"/>
      <c r="G419" s="38" t="n"/>
      <c r="H419" s="22" t="n"/>
      <c r="I419" s="25">
        <f>IF(OR(F419="",G419=""),"",F419*G419)</f>
        <v/>
      </c>
      <c r="J419" s="38">
        <f>IF(OR(F419="",G419=""),"",ROUND(G419*(1+F419/30),1))</f>
        <v/>
      </c>
      <c r="K419" s="26" t="n"/>
    </row>
    <row r="420" ht="18" customHeight="1">
      <c r="A420" s="35" t="n"/>
      <c r="B420" s="16">
        <f>IF(A420="","",IFERROR(INT((A420-DATE(2026,4,27))/7)+1,""))</f>
        <v/>
      </c>
      <c r="C420" s="16" t="n"/>
      <c r="D420" s="17" t="n"/>
      <c r="E420" s="16" t="n"/>
      <c r="F420" s="16" t="n"/>
      <c r="G420" s="36" t="n"/>
      <c r="H420" s="16" t="n"/>
      <c r="I420" s="19">
        <f>IF(OR(F420="",G420=""),"",F420*G420)</f>
        <v/>
      </c>
      <c r="J420" s="36">
        <f>IF(OR(F420="",G420=""),"",ROUND(G420*(1+F420/30),1))</f>
        <v/>
      </c>
      <c r="K420" s="20" t="n"/>
    </row>
    <row r="421" ht="18" customHeight="1">
      <c r="A421" s="37" t="n"/>
      <c r="B421" s="22">
        <f>IF(A421="","",IFERROR(INT((A421-DATE(2026,4,27))/7)+1,""))</f>
        <v/>
      </c>
      <c r="C421" s="22" t="n"/>
      <c r="D421" s="23" t="n"/>
      <c r="E421" s="22" t="n"/>
      <c r="F421" s="22" t="n"/>
      <c r="G421" s="38" t="n"/>
      <c r="H421" s="22" t="n"/>
      <c r="I421" s="25">
        <f>IF(OR(F421="",G421=""),"",F421*G421)</f>
        <v/>
      </c>
      <c r="J421" s="38">
        <f>IF(OR(F421="",G421=""),"",ROUND(G421*(1+F421/30),1))</f>
        <v/>
      </c>
      <c r="K421" s="26" t="n"/>
    </row>
    <row r="422" ht="18" customHeight="1">
      <c r="A422" s="35" t="n"/>
      <c r="B422" s="16">
        <f>IF(A422="","",IFERROR(INT((A422-DATE(2026,4,27))/7)+1,""))</f>
        <v/>
      </c>
      <c r="C422" s="16" t="n"/>
      <c r="D422" s="17" t="n"/>
      <c r="E422" s="16" t="n"/>
      <c r="F422" s="16" t="n"/>
      <c r="G422" s="36" t="n"/>
      <c r="H422" s="16" t="n"/>
      <c r="I422" s="19">
        <f>IF(OR(F422="",G422=""),"",F422*G422)</f>
        <v/>
      </c>
      <c r="J422" s="36">
        <f>IF(OR(F422="",G422=""),"",ROUND(G422*(1+F422/30),1))</f>
        <v/>
      </c>
      <c r="K422" s="20" t="n"/>
    </row>
    <row r="423" ht="18" customHeight="1">
      <c r="A423" s="37" t="n"/>
      <c r="B423" s="22">
        <f>IF(A423="","",IFERROR(INT((A423-DATE(2026,4,27))/7)+1,""))</f>
        <v/>
      </c>
      <c r="C423" s="22" t="n"/>
      <c r="D423" s="23" t="n"/>
      <c r="E423" s="22" t="n"/>
      <c r="F423" s="22" t="n"/>
      <c r="G423" s="38" t="n"/>
      <c r="H423" s="22" t="n"/>
      <c r="I423" s="25">
        <f>IF(OR(F423="",G423=""),"",F423*G423)</f>
        <v/>
      </c>
      <c r="J423" s="38">
        <f>IF(OR(F423="",G423=""),"",ROUND(G423*(1+F423/30),1))</f>
        <v/>
      </c>
      <c r="K423" s="26" t="n"/>
    </row>
    <row r="424" ht="18" customHeight="1">
      <c r="A424" s="35" t="n"/>
      <c r="B424" s="16">
        <f>IF(A424="","",IFERROR(INT((A424-DATE(2026,4,27))/7)+1,""))</f>
        <v/>
      </c>
      <c r="C424" s="16" t="n"/>
      <c r="D424" s="17" t="n"/>
      <c r="E424" s="16" t="n"/>
      <c r="F424" s="16" t="n"/>
      <c r="G424" s="36" t="n"/>
      <c r="H424" s="16" t="n"/>
      <c r="I424" s="19">
        <f>IF(OR(F424="",G424=""),"",F424*G424)</f>
        <v/>
      </c>
      <c r="J424" s="36">
        <f>IF(OR(F424="",G424=""),"",ROUND(G424*(1+F424/30),1))</f>
        <v/>
      </c>
      <c r="K424" s="20" t="n"/>
    </row>
    <row r="425" ht="18" customHeight="1">
      <c r="A425" s="37" t="n"/>
      <c r="B425" s="22">
        <f>IF(A425="","",IFERROR(INT((A425-DATE(2026,4,27))/7)+1,""))</f>
        <v/>
      </c>
      <c r="C425" s="22" t="n"/>
      <c r="D425" s="23" t="n"/>
      <c r="E425" s="22" t="n"/>
      <c r="F425" s="22" t="n"/>
      <c r="G425" s="38" t="n"/>
      <c r="H425" s="22" t="n"/>
      <c r="I425" s="25">
        <f>IF(OR(F425="",G425=""),"",F425*G425)</f>
        <v/>
      </c>
      <c r="J425" s="38">
        <f>IF(OR(F425="",G425=""),"",ROUND(G425*(1+F425/30),1))</f>
        <v/>
      </c>
      <c r="K425" s="26" t="n"/>
    </row>
    <row r="426" ht="18" customHeight="1">
      <c r="A426" s="35" t="n"/>
      <c r="B426" s="16">
        <f>IF(A426="","",IFERROR(INT((A426-DATE(2026,4,27))/7)+1,""))</f>
        <v/>
      </c>
      <c r="C426" s="16" t="n"/>
      <c r="D426" s="17" t="n"/>
      <c r="E426" s="16" t="n"/>
      <c r="F426" s="16" t="n"/>
      <c r="G426" s="36" t="n"/>
      <c r="H426" s="16" t="n"/>
      <c r="I426" s="19">
        <f>IF(OR(F426="",G426=""),"",F426*G426)</f>
        <v/>
      </c>
      <c r="J426" s="36">
        <f>IF(OR(F426="",G426=""),"",ROUND(G426*(1+F426/30),1))</f>
        <v/>
      </c>
      <c r="K426" s="20" t="n"/>
    </row>
    <row r="427" ht="18" customHeight="1">
      <c r="A427" s="37" t="n"/>
      <c r="B427" s="22">
        <f>IF(A427="","",IFERROR(INT((A427-DATE(2026,4,27))/7)+1,""))</f>
        <v/>
      </c>
      <c r="C427" s="22" t="n"/>
      <c r="D427" s="23" t="n"/>
      <c r="E427" s="22" t="n"/>
      <c r="F427" s="22" t="n"/>
      <c r="G427" s="38" t="n"/>
      <c r="H427" s="22" t="n"/>
      <c r="I427" s="25">
        <f>IF(OR(F427="",G427=""),"",F427*G427)</f>
        <v/>
      </c>
      <c r="J427" s="38">
        <f>IF(OR(F427="",G427=""),"",ROUND(G427*(1+F427/30),1))</f>
        <v/>
      </c>
      <c r="K427" s="26" t="n"/>
    </row>
    <row r="428" ht="18" customHeight="1">
      <c r="A428" s="35" t="n"/>
      <c r="B428" s="16">
        <f>IF(A428="","",IFERROR(INT((A428-DATE(2026,4,27))/7)+1,""))</f>
        <v/>
      </c>
      <c r="C428" s="16" t="n"/>
      <c r="D428" s="17" t="n"/>
      <c r="E428" s="16" t="n"/>
      <c r="F428" s="16" t="n"/>
      <c r="G428" s="36" t="n"/>
      <c r="H428" s="16" t="n"/>
      <c r="I428" s="19">
        <f>IF(OR(F428="",G428=""),"",F428*G428)</f>
        <v/>
      </c>
      <c r="J428" s="36">
        <f>IF(OR(F428="",G428=""),"",ROUND(G428*(1+F428/30),1))</f>
        <v/>
      </c>
      <c r="K428" s="20" t="n"/>
    </row>
    <row r="429" ht="18" customHeight="1">
      <c r="A429" s="37" t="n"/>
      <c r="B429" s="22">
        <f>IF(A429="","",IFERROR(INT((A429-DATE(2026,4,27))/7)+1,""))</f>
        <v/>
      </c>
      <c r="C429" s="22" t="n"/>
      <c r="D429" s="23" t="n"/>
      <c r="E429" s="22" t="n"/>
      <c r="F429" s="22" t="n"/>
      <c r="G429" s="38" t="n"/>
      <c r="H429" s="22" t="n"/>
      <c r="I429" s="25">
        <f>IF(OR(F429="",G429=""),"",F429*G429)</f>
        <v/>
      </c>
      <c r="J429" s="38">
        <f>IF(OR(F429="",G429=""),"",ROUND(G429*(1+F429/30),1))</f>
        <v/>
      </c>
      <c r="K429" s="26" t="n"/>
    </row>
    <row r="430" ht="18" customHeight="1">
      <c r="A430" s="35" t="n"/>
      <c r="B430" s="16">
        <f>IF(A430="","",IFERROR(INT((A430-DATE(2026,4,27))/7)+1,""))</f>
        <v/>
      </c>
      <c r="C430" s="16" t="n"/>
      <c r="D430" s="17" t="n"/>
      <c r="E430" s="16" t="n"/>
      <c r="F430" s="16" t="n"/>
      <c r="G430" s="36" t="n"/>
      <c r="H430" s="16" t="n"/>
      <c r="I430" s="19">
        <f>IF(OR(F430="",G430=""),"",F430*G430)</f>
        <v/>
      </c>
      <c r="J430" s="36">
        <f>IF(OR(F430="",G430=""),"",ROUND(G430*(1+F430/30),1))</f>
        <v/>
      </c>
      <c r="K430" s="20" t="n"/>
    </row>
    <row r="431" ht="18" customHeight="1">
      <c r="A431" s="37" t="n"/>
      <c r="B431" s="22">
        <f>IF(A431="","",IFERROR(INT((A431-DATE(2026,4,27))/7)+1,""))</f>
        <v/>
      </c>
      <c r="C431" s="22" t="n"/>
      <c r="D431" s="23" t="n"/>
      <c r="E431" s="22" t="n"/>
      <c r="F431" s="22" t="n"/>
      <c r="G431" s="38" t="n"/>
      <c r="H431" s="22" t="n"/>
      <c r="I431" s="25">
        <f>IF(OR(F431="",G431=""),"",F431*G431)</f>
        <v/>
      </c>
      <c r="J431" s="38">
        <f>IF(OR(F431="",G431=""),"",ROUND(G431*(1+F431/30),1))</f>
        <v/>
      </c>
      <c r="K431" s="26" t="n"/>
    </row>
    <row r="432" ht="18" customHeight="1">
      <c r="A432" s="35" t="n"/>
      <c r="B432" s="16">
        <f>IF(A432="","",IFERROR(INT((A432-DATE(2026,4,27))/7)+1,""))</f>
        <v/>
      </c>
      <c r="C432" s="16" t="n"/>
      <c r="D432" s="17" t="n"/>
      <c r="E432" s="16" t="n"/>
      <c r="F432" s="16" t="n"/>
      <c r="G432" s="36" t="n"/>
      <c r="H432" s="16" t="n"/>
      <c r="I432" s="19">
        <f>IF(OR(F432="",G432=""),"",F432*G432)</f>
        <v/>
      </c>
      <c r="J432" s="36">
        <f>IF(OR(F432="",G432=""),"",ROUND(G432*(1+F432/30),1))</f>
        <v/>
      </c>
      <c r="K432" s="20" t="n"/>
    </row>
    <row r="433" ht="18" customHeight="1">
      <c r="A433" s="37" t="n"/>
      <c r="B433" s="22">
        <f>IF(A433="","",IFERROR(INT((A433-DATE(2026,4,27))/7)+1,""))</f>
        <v/>
      </c>
      <c r="C433" s="22" t="n"/>
      <c r="D433" s="23" t="n"/>
      <c r="E433" s="22" t="n"/>
      <c r="F433" s="22" t="n"/>
      <c r="G433" s="38" t="n"/>
      <c r="H433" s="22" t="n"/>
      <c r="I433" s="25">
        <f>IF(OR(F433="",G433=""),"",F433*G433)</f>
        <v/>
      </c>
      <c r="J433" s="38">
        <f>IF(OR(F433="",G433=""),"",ROUND(G433*(1+F433/30),1))</f>
        <v/>
      </c>
      <c r="K433" s="26" t="n"/>
    </row>
    <row r="434" ht="18" customHeight="1">
      <c r="A434" s="35" t="n"/>
      <c r="B434" s="16">
        <f>IF(A434="","",IFERROR(INT((A434-DATE(2026,4,27))/7)+1,""))</f>
        <v/>
      </c>
      <c r="C434" s="16" t="n"/>
      <c r="D434" s="17" t="n"/>
      <c r="E434" s="16" t="n"/>
      <c r="F434" s="16" t="n"/>
      <c r="G434" s="36" t="n"/>
      <c r="H434" s="16" t="n"/>
      <c r="I434" s="19">
        <f>IF(OR(F434="",G434=""),"",F434*G434)</f>
        <v/>
      </c>
      <c r="J434" s="36">
        <f>IF(OR(F434="",G434=""),"",ROUND(G434*(1+F434/30),1))</f>
        <v/>
      </c>
      <c r="K434" s="20" t="n"/>
    </row>
    <row r="435" ht="18" customHeight="1">
      <c r="A435" s="37" t="n"/>
      <c r="B435" s="22">
        <f>IF(A435="","",IFERROR(INT((A435-DATE(2026,4,27))/7)+1,""))</f>
        <v/>
      </c>
      <c r="C435" s="22" t="n"/>
      <c r="D435" s="23" t="n"/>
      <c r="E435" s="22" t="n"/>
      <c r="F435" s="22" t="n"/>
      <c r="G435" s="38" t="n"/>
      <c r="H435" s="22" t="n"/>
      <c r="I435" s="25">
        <f>IF(OR(F435="",G435=""),"",F435*G435)</f>
        <v/>
      </c>
      <c r="J435" s="38">
        <f>IF(OR(F435="",G435=""),"",ROUND(G435*(1+F435/30),1))</f>
        <v/>
      </c>
      <c r="K435" s="26" t="n"/>
    </row>
    <row r="436" ht="18" customHeight="1">
      <c r="A436" s="35" t="n"/>
      <c r="B436" s="16">
        <f>IF(A436="","",IFERROR(INT((A436-DATE(2026,4,27))/7)+1,""))</f>
        <v/>
      </c>
      <c r="C436" s="16" t="n"/>
      <c r="D436" s="17" t="n"/>
      <c r="E436" s="16" t="n"/>
      <c r="F436" s="16" t="n"/>
      <c r="G436" s="36" t="n"/>
      <c r="H436" s="16" t="n"/>
      <c r="I436" s="19">
        <f>IF(OR(F436="",G436=""),"",F436*G436)</f>
        <v/>
      </c>
      <c r="J436" s="36">
        <f>IF(OR(F436="",G436=""),"",ROUND(G436*(1+F436/30),1))</f>
        <v/>
      </c>
      <c r="K436" s="20" t="n"/>
    </row>
    <row r="437" ht="18" customHeight="1">
      <c r="A437" s="37" t="n"/>
      <c r="B437" s="22">
        <f>IF(A437="","",IFERROR(INT((A437-DATE(2026,4,27))/7)+1,""))</f>
        <v/>
      </c>
      <c r="C437" s="22" t="n"/>
      <c r="D437" s="23" t="n"/>
      <c r="E437" s="22" t="n"/>
      <c r="F437" s="22" t="n"/>
      <c r="G437" s="38" t="n"/>
      <c r="H437" s="22" t="n"/>
      <c r="I437" s="25">
        <f>IF(OR(F437="",G437=""),"",F437*G437)</f>
        <v/>
      </c>
      <c r="J437" s="38">
        <f>IF(OR(F437="",G437=""),"",ROUND(G437*(1+F437/30),1))</f>
        <v/>
      </c>
      <c r="K437" s="26" t="n"/>
    </row>
    <row r="438" ht="18" customHeight="1">
      <c r="A438" s="35" t="n"/>
      <c r="B438" s="16">
        <f>IF(A438="","",IFERROR(INT((A438-DATE(2026,4,27))/7)+1,""))</f>
        <v/>
      </c>
      <c r="C438" s="16" t="n"/>
      <c r="D438" s="17" t="n"/>
      <c r="E438" s="16" t="n"/>
      <c r="F438" s="16" t="n"/>
      <c r="G438" s="36" t="n"/>
      <c r="H438" s="16" t="n"/>
      <c r="I438" s="19">
        <f>IF(OR(F438="",G438=""),"",F438*G438)</f>
        <v/>
      </c>
      <c r="J438" s="36">
        <f>IF(OR(F438="",G438=""),"",ROUND(G438*(1+F438/30),1))</f>
        <v/>
      </c>
      <c r="K438" s="20" t="n"/>
    </row>
    <row r="439" ht="18" customHeight="1">
      <c r="A439" s="37" t="n"/>
      <c r="B439" s="22">
        <f>IF(A439="","",IFERROR(INT((A439-DATE(2026,4,27))/7)+1,""))</f>
        <v/>
      </c>
      <c r="C439" s="22" t="n"/>
      <c r="D439" s="23" t="n"/>
      <c r="E439" s="22" t="n"/>
      <c r="F439" s="22" t="n"/>
      <c r="G439" s="38" t="n"/>
      <c r="H439" s="22" t="n"/>
      <c r="I439" s="25">
        <f>IF(OR(F439="",G439=""),"",F439*G439)</f>
        <v/>
      </c>
      <c r="J439" s="38">
        <f>IF(OR(F439="",G439=""),"",ROUND(G439*(1+F439/30),1))</f>
        <v/>
      </c>
      <c r="K439" s="26" t="n"/>
    </row>
    <row r="440" ht="18" customHeight="1">
      <c r="A440" s="35" t="n"/>
      <c r="B440" s="16">
        <f>IF(A440="","",IFERROR(INT((A440-DATE(2026,4,27))/7)+1,""))</f>
        <v/>
      </c>
      <c r="C440" s="16" t="n"/>
      <c r="D440" s="17" t="n"/>
      <c r="E440" s="16" t="n"/>
      <c r="F440" s="16" t="n"/>
      <c r="G440" s="36" t="n"/>
      <c r="H440" s="16" t="n"/>
      <c r="I440" s="19">
        <f>IF(OR(F440="",G440=""),"",F440*G440)</f>
        <v/>
      </c>
      <c r="J440" s="36">
        <f>IF(OR(F440="",G440=""),"",ROUND(G440*(1+F440/30),1))</f>
        <v/>
      </c>
      <c r="K440" s="20" t="n"/>
    </row>
    <row r="441" ht="18" customHeight="1">
      <c r="A441" s="37" t="n"/>
      <c r="B441" s="22">
        <f>IF(A441="","",IFERROR(INT((A441-DATE(2026,4,27))/7)+1,""))</f>
        <v/>
      </c>
      <c r="C441" s="22" t="n"/>
      <c r="D441" s="23" t="n"/>
      <c r="E441" s="22" t="n"/>
      <c r="F441" s="22" t="n"/>
      <c r="G441" s="38" t="n"/>
      <c r="H441" s="22" t="n"/>
      <c r="I441" s="25">
        <f>IF(OR(F441="",G441=""),"",F441*G441)</f>
        <v/>
      </c>
      <c r="J441" s="38">
        <f>IF(OR(F441="",G441=""),"",ROUND(G441*(1+F441/30),1))</f>
        <v/>
      </c>
      <c r="K441" s="26" t="n"/>
    </row>
    <row r="442" ht="18" customHeight="1">
      <c r="A442" s="35" t="n"/>
      <c r="B442" s="16">
        <f>IF(A442="","",IFERROR(INT((A442-DATE(2026,4,27))/7)+1,""))</f>
        <v/>
      </c>
      <c r="C442" s="16" t="n"/>
      <c r="D442" s="17" t="n"/>
      <c r="E442" s="16" t="n"/>
      <c r="F442" s="16" t="n"/>
      <c r="G442" s="36" t="n"/>
      <c r="H442" s="16" t="n"/>
      <c r="I442" s="19">
        <f>IF(OR(F442="",G442=""),"",F442*G442)</f>
        <v/>
      </c>
      <c r="J442" s="36">
        <f>IF(OR(F442="",G442=""),"",ROUND(G442*(1+F442/30),1))</f>
        <v/>
      </c>
      <c r="K442" s="20" t="n"/>
    </row>
    <row r="443" ht="18" customHeight="1">
      <c r="A443" s="37" t="n"/>
      <c r="B443" s="22">
        <f>IF(A443="","",IFERROR(INT((A443-DATE(2026,4,27))/7)+1,""))</f>
        <v/>
      </c>
      <c r="C443" s="22" t="n"/>
      <c r="D443" s="23" t="n"/>
      <c r="E443" s="22" t="n"/>
      <c r="F443" s="22" t="n"/>
      <c r="G443" s="38" t="n"/>
      <c r="H443" s="22" t="n"/>
      <c r="I443" s="25">
        <f>IF(OR(F443="",G443=""),"",F443*G443)</f>
        <v/>
      </c>
      <c r="J443" s="38">
        <f>IF(OR(F443="",G443=""),"",ROUND(G443*(1+F443/30),1))</f>
        <v/>
      </c>
      <c r="K443" s="26" t="n"/>
    </row>
    <row r="444" ht="18" customHeight="1">
      <c r="A444" s="35" t="n"/>
      <c r="B444" s="16">
        <f>IF(A444="","",IFERROR(INT((A444-DATE(2026,4,27))/7)+1,""))</f>
        <v/>
      </c>
      <c r="C444" s="16" t="n"/>
      <c r="D444" s="17" t="n"/>
      <c r="E444" s="16" t="n"/>
      <c r="F444" s="16" t="n"/>
      <c r="G444" s="36" t="n"/>
      <c r="H444" s="16" t="n"/>
      <c r="I444" s="19">
        <f>IF(OR(F444="",G444=""),"",F444*G444)</f>
        <v/>
      </c>
      <c r="J444" s="36">
        <f>IF(OR(F444="",G444=""),"",ROUND(G444*(1+F444/30),1))</f>
        <v/>
      </c>
      <c r="K444" s="20" t="n"/>
    </row>
    <row r="445" ht="18" customHeight="1">
      <c r="A445" s="37" t="n"/>
      <c r="B445" s="22">
        <f>IF(A445="","",IFERROR(INT((A445-DATE(2026,4,27))/7)+1,""))</f>
        <v/>
      </c>
      <c r="C445" s="22" t="n"/>
      <c r="D445" s="23" t="n"/>
      <c r="E445" s="22" t="n"/>
      <c r="F445" s="22" t="n"/>
      <c r="G445" s="38" t="n"/>
      <c r="H445" s="22" t="n"/>
      <c r="I445" s="25">
        <f>IF(OR(F445="",G445=""),"",F445*G445)</f>
        <v/>
      </c>
      <c r="J445" s="38">
        <f>IF(OR(F445="",G445=""),"",ROUND(G445*(1+F445/30),1))</f>
        <v/>
      </c>
      <c r="K445" s="26" t="n"/>
    </row>
    <row r="446" ht="18" customHeight="1">
      <c r="A446" s="35" t="n"/>
      <c r="B446" s="16">
        <f>IF(A446="","",IFERROR(INT((A446-DATE(2026,4,27))/7)+1,""))</f>
        <v/>
      </c>
      <c r="C446" s="16" t="n"/>
      <c r="D446" s="17" t="n"/>
      <c r="E446" s="16" t="n"/>
      <c r="F446" s="16" t="n"/>
      <c r="G446" s="36" t="n"/>
      <c r="H446" s="16" t="n"/>
      <c r="I446" s="19">
        <f>IF(OR(F446="",G446=""),"",F446*G446)</f>
        <v/>
      </c>
      <c r="J446" s="36">
        <f>IF(OR(F446="",G446=""),"",ROUND(G446*(1+F446/30),1))</f>
        <v/>
      </c>
      <c r="K446" s="20" t="n"/>
    </row>
    <row r="447" ht="18" customHeight="1">
      <c r="A447" s="37" t="n"/>
      <c r="B447" s="22">
        <f>IF(A447="","",IFERROR(INT((A447-DATE(2026,4,27))/7)+1,""))</f>
        <v/>
      </c>
      <c r="C447" s="22" t="n"/>
      <c r="D447" s="23" t="n"/>
      <c r="E447" s="22" t="n"/>
      <c r="F447" s="22" t="n"/>
      <c r="G447" s="38" t="n"/>
      <c r="H447" s="22" t="n"/>
      <c r="I447" s="25">
        <f>IF(OR(F447="",G447=""),"",F447*G447)</f>
        <v/>
      </c>
      <c r="J447" s="38">
        <f>IF(OR(F447="",G447=""),"",ROUND(G447*(1+F447/30),1))</f>
        <v/>
      </c>
      <c r="K447" s="26" t="n"/>
    </row>
    <row r="448" ht="18" customHeight="1">
      <c r="A448" s="35" t="n"/>
      <c r="B448" s="16">
        <f>IF(A448="","",IFERROR(INT((A448-DATE(2026,4,27))/7)+1,""))</f>
        <v/>
      </c>
      <c r="C448" s="16" t="n"/>
      <c r="D448" s="17" t="n"/>
      <c r="E448" s="16" t="n"/>
      <c r="F448" s="16" t="n"/>
      <c r="G448" s="36" t="n"/>
      <c r="H448" s="16" t="n"/>
      <c r="I448" s="19">
        <f>IF(OR(F448="",G448=""),"",F448*G448)</f>
        <v/>
      </c>
      <c r="J448" s="36">
        <f>IF(OR(F448="",G448=""),"",ROUND(G448*(1+F448/30),1))</f>
        <v/>
      </c>
      <c r="K448" s="20" t="n"/>
    </row>
    <row r="449" ht="18" customHeight="1">
      <c r="A449" s="37" t="n"/>
      <c r="B449" s="22">
        <f>IF(A449="","",IFERROR(INT((A449-DATE(2026,4,27))/7)+1,""))</f>
        <v/>
      </c>
      <c r="C449" s="22" t="n"/>
      <c r="D449" s="23" t="n"/>
      <c r="E449" s="22" t="n"/>
      <c r="F449" s="22" t="n"/>
      <c r="G449" s="38" t="n"/>
      <c r="H449" s="22" t="n"/>
      <c r="I449" s="25">
        <f>IF(OR(F449="",G449=""),"",F449*G449)</f>
        <v/>
      </c>
      <c r="J449" s="38">
        <f>IF(OR(F449="",G449=""),"",ROUND(G449*(1+F449/30),1))</f>
        <v/>
      </c>
      <c r="K449" s="26" t="n"/>
    </row>
    <row r="450" ht="18" customHeight="1">
      <c r="A450" s="35" t="n"/>
      <c r="B450" s="16">
        <f>IF(A450="","",IFERROR(INT((A450-DATE(2026,4,27))/7)+1,""))</f>
        <v/>
      </c>
      <c r="C450" s="16" t="n"/>
      <c r="D450" s="17" t="n"/>
      <c r="E450" s="16" t="n"/>
      <c r="F450" s="16" t="n"/>
      <c r="G450" s="36" t="n"/>
      <c r="H450" s="16" t="n"/>
      <c r="I450" s="19">
        <f>IF(OR(F450="",G450=""),"",F450*G450)</f>
        <v/>
      </c>
      <c r="J450" s="36">
        <f>IF(OR(F450="",G450=""),"",ROUND(G450*(1+F450/30),1))</f>
        <v/>
      </c>
      <c r="K450" s="20" t="n"/>
    </row>
    <row r="451" ht="18" customHeight="1">
      <c r="A451" s="37" t="n"/>
      <c r="B451" s="22">
        <f>IF(A451="","",IFERROR(INT((A451-DATE(2026,4,27))/7)+1,""))</f>
        <v/>
      </c>
      <c r="C451" s="22" t="n"/>
      <c r="D451" s="23" t="n"/>
      <c r="E451" s="22" t="n"/>
      <c r="F451" s="22" t="n"/>
      <c r="G451" s="38" t="n"/>
      <c r="H451" s="22" t="n"/>
      <c r="I451" s="25">
        <f>IF(OR(F451="",G451=""),"",F451*G451)</f>
        <v/>
      </c>
      <c r="J451" s="38">
        <f>IF(OR(F451="",G451=""),"",ROUND(G451*(1+F451/30),1))</f>
        <v/>
      </c>
      <c r="K451" s="26" t="n"/>
    </row>
    <row r="452" ht="18" customHeight="1">
      <c r="A452" s="35" t="n"/>
      <c r="B452" s="16">
        <f>IF(A452="","",IFERROR(INT((A452-DATE(2026,4,27))/7)+1,""))</f>
        <v/>
      </c>
      <c r="C452" s="16" t="n"/>
      <c r="D452" s="17" t="n"/>
      <c r="E452" s="16" t="n"/>
      <c r="F452" s="16" t="n"/>
      <c r="G452" s="36" t="n"/>
      <c r="H452" s="16" t="n"/>
      <c r="I452" s="19">
        <f>IF(OR(F452="",G452=""),"",F452*G452)</f>
        <v/>
      </c>
      <c r="J452" s="36">
        <f>IF(OR(F452="",G452=""),"",ROUND(G452*(1+F452/30),1))</f>
        <v/>
      </c>
      <c r="K452" s="20" t="n"/>
    </row>
    <row r="453" ht="18" customHeight="1">
      <c r="A453" s="37" t="n"/>
      <c r="B453" s="22">
        <f>IF(A453="","",IFERROR(INT((A453-DATE(2026,4,27))/7)+1,""))</f>
        <v/>
      </c>
      <c r="C453" s="22" t="n"/>
      <c r="D453" s="23" t="n"/>
      <c r="E453" s="22" t="n"/>
      <c r="F453" s="22" t="n"/>
      <c r="G453" s="38" t="n"/>
      <c r="H453" s="22" t="n"/>
      <c r="I453" s="25">
        <f>IF(OR(F453="",G453=""),"",F453*G453)</f>
        <v/>
      </c>
      <c r="J453" s="38">
        <f>IF(OR(F453="",G453=""),"",ROUND(G453*(1+F453/30),1))</f>
        <v/>
      </c>
      <c r="K453" s="26" t="n"/>
    </row>
    <row r="454" ht="18" customHeight="1">
      <c r="A454" s="35" t="n"/>
      <c r="B454" s="16">
        <f>IF(A454="","",IFERROR(INT((A454-DATE(2026,4,27))/7)+1,""))</f>
        <v/>
      </c>
      <c r="C454" s="16" t="n"/>
      <c r="D454" s="17" t="n"/>
      <c r="E454" s="16" t="n"/>
      <c r="F454" s="16" t="n"/>
      <c r="G454" s="36" t="n"/>
      <c r="H454" s="16" t="n"/>
      <c r="I454" s="19">
        <f>IF(OR(F454="",G454=""),"",F454*G454)</f>
        <v/>
      </c>
      <c r="J454" s="36">
        <f>IF(OR(F454="",G454=""),"",ROUND(G454*(1+F454/30),1))</f>
        <v/>
      </c>
      <c r="K454" s="20" t="n"/>
    </row>
    <row r="455" ht="18" customHeight="1">
      <c r="A455" s="37" t="n"/>
      <c r="B455" s="22">
        <f>IF(A455="","",IFERROR(INT((A455-DATE(2026,4,27))/7)+1,""))</f>
        <v/>
      </c>
      <c r="C455" s="22" t="n"/>
      <c r="D455" s="23" t="n"/>
      <c r="E455" s="22" t="n"/>
      <c r="F455" s="22" t="n"/>
      <c r="G455" s="38" t="n"/>
      <c r="H455" s="22" t="n"/>
      <c r="I455" s="25">
        <f>IF(OR(F455="",G455=""),"",F455*G455)</f>
        <v/>
      </c>
      <c r="J455" s="38">
        <f>IF(OR(F455="",G455=""),"",ROUND(G455*(1+F455/30),1))</f>
        <v/>
      </c>
      <c r="K455" s="26" t="n"/>
    </row>
    <row r="456" ht="18" customHeight="1">
      <c r="A456" s="35" t="n"/>
      <c r="B456" s="16">
        <f>IF(A456="","",IFERROR(INT((A456-DATE(2026,4,27))/7)+1,""))</f>
        <v/>
      </c>
      <c r="C456" s="16" t="n"/>
      <c r="D456" s="17" t="n"/>
      <c r="E456" s="16" t="n"/>
      <c r="F456" s="16" t="n"/>
      <c r="G456" s="36" t="n"/>
      <c r="H456" s="16" t="n"/>
      <c r="I456" s="19">
        <f>IF(OR(F456="",G456=""),"",F456*G456)</f>
        <v/>
      </c>
      <c r="J456" s="36">
        <f>IF(OR(F456="",G456=""),"",ROUND(G456*(1+F456/30),1))</f>
        <v/>
      </c>
      <c r="K456" s="20" t="n"/>
    </row>
    <row r="457" ht="18" customHeight="1">
      <c r="A457" s="37" t="n"/>
      <c r="B457" s="22">
        <f>IF(A457="","",IFERROR(INT((A457-DATE(2026,4,27))/7)+1,""))</f>
        <v/>
      </c>
      <c r="C457" s="22" t="n"/>
      <c r="D457" s="23" t="n"/>
      <c r="E457" s="22" t="n"/>
      <c r="F457" s="22" t="n"/>
      <c r="G457" s="38" t="n"/>
      <c r="H457" s="22" t="n"/>
      <c r="I457" s="25">
        <f>IF(OR(F457="",G457=""),"",F457*G457)</f>
        <v/>
      </c>
      <c r="J457" s="38">
        <f>IF(OR(F457="",G457=""),"",ROUND(G457*(1+F457/30),1))</f>
        <v/>
      </c>
      <c r="K457" s="26" t="n"/>
    </row>
    <row r="458" ht="18" customHeight="1">
      <c r="A458" s="35" t="n"/>
      <c r="B458" s="16">
        <f>IF(A458="","",IFERROR(INT((A458-DATE(2026,4,27))/7)+1,""))</f>
        <v/>
      </c>
      <c r="C458" s="16" t="n"/>
      <c r="D458" s="17" t="n"/>
      <c r="E458" s="16" t="n"/>
      <c r="F458" s="16" t="n"/>
      <c r="G458" s="36" t="n"/>
      <c r="H458" s="16" t="n"/>
      <c r="I458" s="19">
        <f>IF(OR(F458="",G458=""),"",F458*G458)</f>
        <v/>
      </c>
      <c r="J458" s="36">
        <f>IF(OR(F458="",G458=""),"",ROUND(G458*(1+F458/30),1))</f>
        <v/>
      </c>
      <c r="K458" s="20" t="n"/>
    </row>
    <row r="459" ht="18" customHeight="1">
      <c r="A459" s="37" t="n"/>
      <c r="B459" s="22">
        <f>IF(A459="","",IFERROR(INT((A459-DATE(2026,4,27))/7)+1,""))</f>
        <v/>
      </c>
      <c r="C459" s="22" t="n"/>
      <c r="D459" s="23" t="n"/>
      <c r="E459" s="22" t="n"/>
      <c r="F459" s="22" t="n"/>
      <c r="G459" s="38" t="n"/>
      <c r="H459" s="22" t="n"/>
      <c r="I459" s="25">
        <f>IF(OR(F459="",G459=""),"",F459*G459)</f>
        <v/>
      </c>
      <c r="J459" s="38">
        <f>IF(OR(F459="",G459=""),"",ROUND(G459*(1+F459/30),1))</f>
        <v/>
      </c>
      <c r="K459" s="26" t="n"/>
    </row>
    <row r="460" ht="18" customHeight="1">
      <c r="A460" s="35" t="n"/>
      <c r="B460" s="16">
        <f>IF(A460="","",IFERROR(INT((A460-DATE(2026,4,27))/7)+1,""))</f>
        <v/>
      </c>
      <c r="C460" s="16" t="n"/>
      <c r="D460" s="17" t="n"/>
      <c r="E460" s="16" t="n"/>
      <c r="F460" s="16" t="n"/>
      <c r="G460" s="36" t="n"/>
      <c r="H460" s="16" t="n"/>
      <c r="I460" s="19">
        <f>IF(OR(F460="",G460=""),"",F460*G460)</f>
        <v/>
      </c>
      <c r="J460" s="36">
        <f>IF(OR(F460="",G460=""),"",ROUND(G460*(1+F460/30),1))</f>
        <v/>
      </c>
      <c r="K460" s="20" t="n"/>
    </row>
    <row r="461" ht="18" customHeight="1">
      <c r="A461" s="37" t="n"/>
      <c r="B461" s="22">
        <f>IF(A461="","",IFERROR(INT((A461-DATE(2026,4,27))/7)+1,""))</f>
        <v/>
      </c>
      <c r="C461" s="22" t="n"/>
      <c r="D461" s="23" t="n"/>
      <c r="E461" s="22" t="n"/>
      <c r="F461" s="22" t="n"/>
      <c r="G461" s="38" t="n"/>
      <c r="H461" s="22" t="n"/>
      <c r="I461" s="25">
        <f>IF(OR(F461="",G461=""),"",F461*G461)</f>
        <v/>
      </c>
      <c r="J461" s="38">
        <f>IF(OR(F461="",G461=""),"",ROUND(G461*(1+F461/30),1))</f>
        <v/>
      </c>
      <c r="K461" s="26" t="n"/>
    </row>
    <row r="462" ht="18" customHeight="1">
      <c r="A462" s="35" t="n"/>
      <c r="B462" s="16">
        <f>IF(A462="","",IFERROR(INT((A462-DATE(2026,4,27))/7)+1,""))</f>
        <v/>
      </c>
      <c r="C462" s="16" t="n"/>
      <c r="D462" s="17" t="n"/>
      <c r="E462" s="16" t="n"/>
      <c r="F462" s="16" t="n"/>
      <c r="G462" s="36" t="n"/>
      <c r="H462" s="16" t="n"/>
      <c r="I462" s="19">
        <f>IF(OR(F462="",G462=""),"",F462*G462)</f>
        <v/>
      </c>
      <c r="J462" s="36">
        <f>IF(OR(F462="",G462=""),"",ROUND(G462*(1+F462/30),1))</f>
        <v/>
      </c>
      <c r="K462" s="20" t="n"/>
    </row>
    <row r="463" ht="18" customHeight="1">
      <c r="A463" s="37" t="n"/>
      <c r="B463" s="22">
        <f>IF(A463="","",IFERROR(INT((A463-DATE(2026,4,27))/7)+1,""))</f>
        <v/>
      </c>
      <c r="C463" s="22" t="n"/>
      <c r="D463" s="23" t="n"/>
      <c r="E463" s="22" t="n"/>
      <c r="F463" s="22" t="n"/>
      <c r="G463" s="38" t="n"/>
      <c r="H463" s="22" t="n"/>
      <c r="I463" s="25">
        <f>IF(OR(F463="",G463=""),"",F463*G463)</f>
        <v/>
      </c>
      <c r="J463" s="38">
        <f>IF(OR(F463="",G463=""),"",ROUND(G463*(1+F463/30),1))</f>
        <v/>
      </c>
      <c r="K463" s="26" t="n"/>
    </row>
    <row r="464" ht="18" customHeight="1">
      <c r="A464" s="35" t="n"/>
      <c r="B464" s="16">
        <f>IF(A464="","",IFERROR(INT((A464-DATE(2026,4,27))/7)+1,""))</f>
        <v/>
      </c>
      <c r="C464" s="16" t="n"/>
      <c r="D464" s="17" t="n"/>
      <c r="E464" s="16" t="n"/>
      <c r="F464" s="16" t="n"/>
      <c r="G464" s="36" t="n"/>
      <c r="H464" s="16" t="n"/>
      <c r="I464" s="19">
        <f>IF(OR(F464="",G464=""),"",F464*G464)</f>
        <v/>
      </c>
      <c r="J464" s="36">
        <f>IF(OR(F464="",G464=""),"",ROUND(G464*(1+F464/30),1))</f>
        <v/>
      </c>
      <c r="K464" s="20" t="n"/>
    </row>
    <row r="465" ht="18" customHeight="1">
      <c r="A465" s="37" t="n"/>
      <c r="B465" s="22">
        <f>IF(A465="","",IFERROR(INT((A465-DATE(2026,4,27))/7)+1,""))</f>
        <v/>
      </c>
      <c r="C465" s="22" t="n"/>
      <c r="D465" s="23" t="n"/>
      <c r="E465" s="22" t="n"/>
      <c r="F465" s="22" t="n"/>
      <c r="G465" s="38" t="n"/>
      <c r="H465" s="22" t="n"/>
      <c r="I465" s="25">
        <f>IF(OR(F465="",G465=""),"",F465*G465)</f>
        <v/>
      </c>
      <c r="J465" s="38">
        <f>IF(OR(F465="",G465=""),"",ROUND(G465*(1+F465/30),1))</f>
        <v/>
      </c>
      <c r="K465" s="26" t="n"/>
    </row>
    <row r="466" ht="18" customHeight="1">
      <c r="A466" s="35" t="n"/>
      <c r="B466" s="16">
        <f>IF(A466="","",IFERROR(INT((A466-DATE(2026,4,27))/7)+1,""))</f>
        <v/>
      </c>
      <c r="C466" s="16" t="n"/>
      <c r="D466" s="17" t="n"/>
      <c r="E466" s="16" t="n"/>
      <c r="F466" s="16" t="n"/>
      <c r="G466" s="36" t="n"/>
      <c r="H466" s="16" t="n"/>
      <c r="I466" s="19">
        <f>IF(OR(F466="",G466=""),"",F466*G466)</f>
        <v/>
      </c>
      <c r="J466" s="36">
        <f>IF(OR(F466="",G466=""),"",ROUND(G466*(1+F466/30),1))</f>
        <v/>
      </c>
      <c r="K466" s="20" t="n"/>
    </row>
    <row r="467" ht="18" customHeight="1">
      <c r="A467" s="37" t="n"/>
      <c r="B467" s="22">
        <f>IF(A467="","",IFERROR(INT((A467-DATE(2026,4,27))/7)+1,""))</f>
        <v/>
      </c>
      <c r="C467" s="22" t="n"/>
      <c r="D467" s="23" t="n"/>
      <c r="E467" s="22" t="n"/>
      <c r="F467" s="22" t="n"/>
      <c r="G467" s="38" t="n"/>
      <c r="H467" s="22" t="n"/>
      <c r="I467" s="25">
        <f>IF(OR(F467="",G467=""),"",F467*G467)</f>
        <v/>
      </c>
      <c r="J467" s="38">
        <f>IF(OR(F467="",G467=""),"",ROUND(G467*(1+F467/30),1))</f>
        <v/>
      </c>
      <c r="K467" s="26" t="n"/>
    </row>
    <row r="468" ht="18" customHeight="1">
      <c r="A468" s="35" t="n"/>
      <c r="B468" s="16">
        <f>IF(A468="","",IFERROR(INT((A468-DATE(2026,4,27))/7)+1,""))</f>
        <v/>
      </c>
      <c r="C468" s="16" t="n"/>
      <c r="D468" s="17" t="n"/>
      <c r="E468" s="16" t="n"/>
      <c r="F468" s="16" t="n"/>
      <c r="G468" s="36" t="n"/>
      <c r="H468" s="16" t="n"/>
      <c r="I468" s="19">
        <f>IF(OR(F468="",G468=""),"",F468*G468)</f>
        <v/>
      </c>
      <c r="J468" s="36">
        <f>IF(OR(F468="",G468=""),"",ROUND(G468*(1+F468/30),1))</f>
        <v/>
      </c>
      <c r="K468" s="20" t="n"/>
    </row>
    <row r="469" ht="18" customHeight="1">
      <c r="A469" s="37" t="n"/>
      <c r="B469" s="22">
        <f>IF(A469="","",IFERROR(INT((A469-DATE(2026,4,27))/7)+1,""))</f>
        <v/>
      </c>
      <c r="C469" s="22" t="n"/>
      <c r="D469" s="23" t="n"/>
      <c r="E469" s="22" t="n"/>
      <c r="F469" s="22" t="n"/>
      <c r="G469" s="38" t="n"/>
      <c r="H469" s="22" t="n"/>
      <c r="I469" s="25">
        <f>IF(OR(F469="",G469=""),"",F469*G469)</f>
        <v/>
      </c>
      <c r="J469" s="38">
        <f>IF(OR(F469="",G469=""),"",ROUND(G469*(1+F469/30),1))</f>
        <v/>
      </c>
      <c r="K469" s="26" t="n"/>
    </row>
    <row r="470" ht="18" customHeight="1">
      <c r="A470" s="35" t="n"/>
      <c r="B470" s="16">
        <f>IF(A470="","",IFERROR(INT((A470-DATE(2026,4,27))/7)+1,""))</f>
        <v/>
      </c>
      <c r="C470" s="16" t="n"/>
      <c r="D470" s="17" t="n"/>
      <c r="E470" s="16" t="n"/>
      <c r="F470" s="16" t="n"/>
      <c r="G470" s="36" t="n"/>
      <c r="H470" s="16" t="n"/>
      <c r="I470" s="19">
        <f>IF(OR(F470="",G470=""),"",F470*G470)</f>
        <v/>
      </c>
      <c r="J470" s="36">
        <f>IF(OR(F470="",G470=""),"",ROUND(G470*(1+F470/30),1))</f>
        <v/>
      </c>
      <c r="K470" s="20" t="n"/>
    </row>
    <row r="471" ht="18" customHeight="1">
      <c r="A471" s="37" t="n"/>
      <c r="B471" s="22">
        <f>IF(A471="","",IFERROR(INT((A471-DATE(2026,4,27))/7)+1,""))</f>
        <v/>
      </c>
      <c r="C471" s="22" t="n"/>
      <c r="D471" s="23" t="n"/>
      <c r="E471" s="22" t="n"/>
      <c r="F471" s="22" t="n"/>
      <c r="G471" s="38" t="n"/>
      <c r="H471" s="22" t="n"/>
      <c r="I471" s="25">
        <f>IF(OR(F471="",G471=""),"",F471*G471)</f>
        <v/>
      </c>
      <c r="J471" s="38">
        <f>IF(OR(F471="",G471=""),"",ROUND(G471*(1+F471/30),1))</f>
        <v/>
      </c>
      <c r="K471" s="26" t="n"/>
    </row>
    <row r="472" ht="18" customHeight="1">
      <c r="A472" s="35" t="n"/>
      <c r="B472" s="16">
        <f>IF(A472="","",IFERROR(INT((A472-DATE(2026,4,27))/7)+1,""))</f>
        <v/>
      </c>
      <c r="C472" s="16" t="n"/>
      <c r="D472" s="17" t="n"/>
      <c r="E472" s="16" t="n"/>
      <c r="F472" s="16" t="n"/>
      <c r="G472" s="36" t="n"/>
      <c r="H472" s="16" t="n"/>
      <c r="I472" s="19">
        <f>IF(OR(F472="",G472=""),"",F472*G472)</f>
        <v/>
      </c>
      <c r="J472" s="36">
        <f>IF(OR(F472="",G472=""),"",ROUND(G472*(1+F472/30),1))</f>
        <v/>
      </c>
      <c r="K472" s="20" t="n"/>
    </row>
    <row r="473" ht="18" customHeight="1">
      <c r="A473" s="37" t="n"/>
      <c r="B473" s="22">
        <f>IF(A473="","",IFERROR(INT((A473-DATE(2026,4,27))/7)+1,""))</f>
        <v/>
      </c>
      <c r="C473" s="22" t="n"/>
      <c r="D473" s="23" t="n"/>
      <c r="E473" s="22" t="n"/>
      <c r="F473" s="22" t="n"/>
      <c r="G473" s="38" t="n"/>
      <c r="H473" s="22" t="n"/>
      <c r="I473" s="25">
        <f>IF(OR(F473="",G473=""),"",F473*G473)</f>
        <v/>
      </c>
      <c r="J473" s="38">
        <f>IF(OR(F473="",G473=""),"",ROUND(G473*(1+F473/30),1))</f>
        <v/>
      </c>
      <c r="K473" s="26" t="n"/>
    </row>
    <row r="474" ht="18" customHeight="1">
      <c r="A474" s="35" t="n"/>
      <c r="B474" s="16">
        <f>IF(A474="","",IFERROR(INT((A474-DATE(2026,4,27))/7)+1,""))</f>
        <v/>
      </c>
      <c r="C474" s="16" t="n"/>
      <c r="D474" s="17" t="n"/>
      <c r="E474" s="16" t="n"/>
      <c r="F474" s="16" t="n"/>
      <c r="G474" s="36" t="n"/>
      <c r="H474" s="16" t="n"/>
      <c r="I474" s="19">
        <f>IF(OR(F474="",G474=""),"",F474*G474)</f>
        <v/>
      </c>
      <c r="J474" s="36">
        <f>IF(OR(F474="",G474=""),"",ROUND(G474*(1+F474/30),1))</f>
        <v/>
      </c>
      <c r="K474" s="20" t="n"/>
    </row>
    <row r="475" ht="18" customHeight="1">
      <c r="A475" s="37" t="n"/>
      <c r="B475" s="22">
        <f>IF(A475="","",IFERROR(INT((A475-DATE(2026,4,27))/7)+1,""))</f>
        <v/>
      </c>
      <c r="C475" s="22" t="n"/>
      <c r="D475" s="23" t="n"/>
      <c r="E475" s="22" t="n"/>
      <c r="F475" s="22" t="n"/>
      <c r="G475" s="38" t="n"/>
      <c r="H475" s="22" t="n"/>
      <c r="I475" s="25">
        <f>IF(OR(F475="",G475=""),"",F475*G475)</f>
        <v/>
      </c>
      <c r="J475" s="38">
        <f>IF(OR(F475="",G475=""),"",ROUND(G475*(1+F475/30),1))</f>
        <v/>
      </c>
      <c r="K475" s="26" t="n"/>
    </row>
    <row r="476" ht="18" customHeight="1">
      <c r="A476" s="35" t="n"/>
      <c r="B476" s="16">
        <f>IF(A476="","",IFERROR(INT((A476-DATE(2026,4,27))/7)+1,""))</f>
        <v/>
      </c>
      <c r="C476" s="16" t="n"/>
      <c r="D476" s="17" t="n"/>
      <c r="E476" s="16" t="n"/>
      <c r="F476" s="16" t="n"/>
      <c r="G476" s="36" t="n"/>
      <c r="H476" s="16" t="n"/>
      <c r="I476" s="19">
        <f>IF(OR(F476="",G476=""),"",F476*G476)</f>
        <v/>
      </c>
      <c r="J476" s="36">
        <f>IF(OR(F476="",G476=""),"",ROUND(G476*(1+F476/30),1))</f>
        <v/>
      </c>
      <c r="K476" s="20" t="n"/>
    </row>
    <row r="477" ht="18" customHeight="1">
      <c r="A477" s="37" t="n"/>
      <c r="B477" s="22">
        <f>IF(A477="","",IFERROR(INT((A477-DATE(2026,4,27))/7)+1,""))</f>
        <v/>
      </c>
      <c r="C477" s="22" t="n"/>
      <c r="D477" s="23" t="n"/>
      <c r="E477" s="22" t="n"/>
      <c r="F477" s="22" t="n"/>
      <c r="G477" s="38" t="n"/>
      <c r="H477" s="22" t="n"/>
      <c r="I477" s="25">
        <f>IF(OR(F477="",G477=""),"",F477*G477)</f>
        <v/>
      </c>
      <c r="J477" s="38">
        <f>IF(OR(F477="",G477=""),"",ROUND(G477*(1+F477/30),1))</f>
        <v/>
      </c>
      <c r="K477" s="26" t="n"/>
    </row>
    <row r="478" ht="18" customHeight="1">
      <c r="A478" s="35" t="n"/>
      <c r="B478" s="16">
        <f>IF(A478="","",IFERROR(INT((A478-DATE(2026,4,27))/7)+1,""))</f>
        <v/>
      </c>
      <c r="C478" s="16" t="n"/>
      <c r="D478" s="17" t="n"/>
      <c r="E478" s="16" t="n"/>
      <c r="F478" s="16" t="n"/>
      <c r="G478" s="36" t="n"/>
      <c r="H478" s="16" t="n"/>
      <c r="I478" s="19">
        <f>IF(OR(F478="",G478=""),"",F478*G478)</f>
        <v/>
      </c>
      <c r="J478" s="36">
        <f>IF(OR(F478="",G478=""),"",ROUND(G478*(1+F478/30),1))</f>
        <v/>
      </c>
      <c r="K478" s="20" t="n"/>
    </row>
    <row r="479" ht="18" customHeight="1">
      <c r="A479" s="37" t="n"/>
      <c r="B479" s="22">
        <f>IF(A479="","",IFERROR(INT((A479-DATE(2026,4,27))/7)+1,""))</f>
        <v/>
      </c>
      <c r="C479" s="22" t="n"/>
      <c r="D479" s="23" t="n"/>
      <c r="E479" s="22" t="n"/>
      <c r="F479" s="22" t="n"/>
      <c r="G479" s="38" t="n"/>
      <c r="H479" s="22" t="n"/>
      <c r="I479" s="25">
        <f>IF(OR(F479="",G479=""),"",F479*G479)</f>
        <v/>
      </c>
      <c r="J479" s="38">
        <f>IF(OR(F479="",G479=""),"",ROUND(G479*(1+F479/30),1))</f>
        <v/>
      </c>
      <c r="K479" s="26" t="n"/>
    </row>
    <row r="480" ht="18" customHeight="1">
      <c r="A480" s="35" t="n"/>
      <c r="B480" s="16">
        <f>IF(A480="","",IFERROR(INT((A480-DATE(2026,4,27))/7)+1,""))</f>
        <v/>
      </c>
      <c r="C480" s="16" t="n"/>
      <c r="D480" s="17" t="n"/>
      <c r="E480" s="16" t="n"/>
      <c r="F480" s="16" t="n"/>
      <c r="G480" s="36" t="n"/>
      <c r="H480" s="16" t="n"/>
      <c r="I480" s="19">
        <f>IF(OR(F480="",G480=""),"",F480*G480)</f>
        <v/>
      </c>
      <c r="J480" s="36">
        <f>IF(OR(F480="",G480=""),"",ROUND(G480*(1+F480/30),1))</f>
        <v/>
      </c>
      <c r="K480" s="20" t="n"/>
    </row>
    <row r="481" ht="18" customHeight="1">
      <c r="A481" s="37" t="n"/>
      <c r="B481" s="22">
        <f>IF(A481="","",IFERROR(INT((A481-DATE(2026,4,27))/7)+1,""))</f>
        <v/>
      </c>
      <c r="C481" s="22" t="n"/>
      <c r="D481" s="23" t="n"/>
      <c r="E481" s="22" t="n"/>
      <c r="F481" s="22" t="n"/>
      <c r="G481" s="38" t="n"/>
      <c r="H481" s="22" t="n"/>
      <c r="I481" s="25">
        <f>IF(OR(F481="",G481=""),"",F481*G481)</f>
        <v/>
      </c>
      <c r="J481" s="38">
        <f>IF(OR(F481="",G481=""),"",ROUND(G481*(1+F481/30),1))</f>
        <v/>
      </c>
      <c r="K481" s="26" t="n"/>
    </row>
    <row r="482" ht="18" customHeight="1">
      <c r="A482" s="35" t="n"/>
      <c r="B482" s="16">
        <f>IF(A482="","",IFERROR(INT((A482-DATE(2026,4,27))/7)+1,""))</f>
        <v/>
      </c>
      <c r="C482" s="16" t="n"/>
      <c r="D482" s="17" t="n"/>
      <c r="E482" s="16" t="n"/>
      <c r="F482" s="16" t="n"/>
      <c r="G482" s="36" t="n"/>
      <c r="H482" s="16" t="n"/>
      <c r="I482" s="19">
        <f>IF(OR(F482="",G482=""),"",F482*G482)</f>
        <v/>
      </c>
      <c r="J482" s="36">
        <f>IF(OR(F482="",G482=""),"",ROUND(G482*(1+F482/30),1))</f>
        <v/>
      </c>
      <c r="K482" s="20" t="n"/>
    </row>
    <row r="483" ht="18" customHeight="1">
      <c r="A483" s="37" t="n"/>
      <c r="B483" s="22">
        <f>IF(A483="","",IFERROR(INT((A483-DATE(2026,4,27))/7)+1,""))</f>
        <v/>
      </c>
      <c r="C483" s="22" t="n"/>
      <c r="D483" s="23" t="n"/>
      <c r="E483" s="22" t="n"/>
      <c r="F483" s="22" t="n"/>
      <c r="G483" s="38" t="n"/>
      <c r="H483" s="22" t="n"/>
      <c r="I483" s="25">
        <f>IF(OR(F483="",G483=""),"",F483*G483)</f>
        <v/>
      </c>
      <c r="J483" s="38">
        <f>IF(OR(F483="",G483=""),"",ROUND(G483*(1+F483/30),1))</f>
        <v/>
      </c>
      <c r="K483" s="26" t="n"/>
    </row>
    <row r="484" ht="18" customHeight="1">
      <c r="A484" s="35" t="n"/>
      <c r="B484" s="16">
        <f>IF(A484="","",IFERROR(INT((A484-DATE(2026,4,27))/7)+1,""))</f>
        <v/>
      </c>
      <c r="C484" s="16" t="n"/>
      <c r="D484" s="17" t="n"/>
      <c r="E484" s="16" t="n"/>
      <c r="F484" s="16" t="n"/>
      <c r="G484" s="36" t="n"/>
      <c r="H484" s="16" t="n"/>
      <c r="I484" s="19">
        <f>IF(OR(F484="",G484=""),"",F484*G484)</f>
        <v/>
      </c>
      <c r="J484" s="36">
        <f>IF(OR(F484="",G484=""),"",ROUND(G484*(1+F484/30),1))</f>
        <v/>
      </c>
      <c r="K484" s="20" t="n"/>
    </row>
    <row r="485" ht="18" customHeight="1">
      <c r="A485" s="37" t="n"/>
      <c r="B485" s="22">
        <f>IF(A485="","",IFERROR(INT((A485-DATE(2026,4,27))/7)+1,""))</f>
        <v/>
      </c>
      <c r="C485" s="22" t="n"/>
      <c r="D485" s="23" t="n"/>
      <c r="E485" s="22" t="n"/>
      <c r="F485" s="22" t="n"/>
      <c r="G485" s="38" t="n"/>
      <c r="H485" s="22" t="n"/>
      <c r="I485" s="25">
        <f>IF(OR(F485="",G485=""),"",F485*G485)</f>
        <v/>
      </c>
      <c r="J485" s="38">
        <f>IF(OR(F485="",G485=""),"",ROUND(G485*(1+F485/30),1))</f>
        <v/>
      </c>
      <c r="K485" s="26" t="n"/>
    </row>
    <row r="486" ht="18" customHeight="1">
      <c r="A486" s="35" t="n"/>
      <c r="B486" s="16">
        <f>IF(A486="","",IFERROR(INT((A486-DATE(2026,4,27))/7)+1,""))</f>
        <v/>
      </c>
      <c r="C486" s="16" t="n"/>
      <c r="D486" s="17" t="n"/>
      <c r="E486" s="16" t="n"/>
      <c r="F486" s="16" t="n"/>
      <c r="G486" s="36" t="n"/>
      <c r="H486" s="16" t="n"/>
      <c r="I486" s="19">
        <f>IF(OR(F486="",G486=""),"",F486*G486)</f>
        <v/>
      </c>
      <c r="J486" s="36">
        <f>IF(OR(F486="",G486=""),"",ROUND(G486*(1+F486/30),1))</f>
        <v/>
      </c>
      <c r="K486" s="20" t="n"/>
    </row>
    <row r="487" ht="18" customHeight="1">
      <c r="A487" s="37" t="n"/>
      <c r="B487" s="22">
        <f>IF(A487="","",IFERROR(INT((A487-DATE(2026,4,27))/7)+1,""))</f>
        <v/>
      </c>
      <c r="C487" s="22" t="n"/>
      <c r="D487" s="23" t="n"/>
      <c r="E487" s="22" t="n"/>
      <c r="F487" s="22" t="n"/>
      <c r="G487" s="38" t="n"/>
      <c r="H487" s="22" t="n"/>
      <c r="I487" s="25">
        <f>IF(OR(F487="",G487=""),"",F487*G487)</f>
        <v/>
      </c>
      <c r="J487" s="38">
        <f>IF(OR(F487="",G487=""),"",ROUND(G487*(1+F487/30),1))</f>
        <v/>
      </c>
      <c r="K487" s="26" t="n"/>
    </row>
    <row r="488" ht="18" customHeight="1">
      <c r="A488" s="35" t="n"/>
      <c r="B488" s="16">
        <f>IF(A488="","",IFERROR(INT((A488-DATE(2026,4,27))/7)+1,""))</f>
        <v/>
      </c>
      <c r="C488" s="16" t="n"/>
      <c r="D488" s="17" t="n"/>
      <c r="E488" s="16" t="n"/>
      <c r="F488" s="16" t="n"/>
      <c r="G488" s="36" t="n"/>
      <c r="H488" s="16" t="n"/>
      <c r="I488" s="19">
        <f>IF(OR(F488="",G488=""),"",F488*G488)</f>
        <v/>
      </c>
      <c r="J488" s="36">
        <f>IF(OR(F488="",G488=""),"",ROUND(G488*(1+F488/30),1))</f>
        <v/>
      </c>
      <c r="K488" s="20" t="n"/>
    </row>
    <row r="489" ht="18" customHeight="1">
      <c r="A489" s="37" t="n"/>
      <c r="B489" s="22">
        <f>IF(A489="","",IFERROR(INT((A489-DATE(2026,4,27))/7)+1,""))</f>
        <v/>
      </c>
      <c r="C489" s="22" t="n"/>
      <c r="D489" s="23" t="n"/>
      <c r="E489" s="22" t="n"/>
      <c r="F489" s="22" t="n"/>
      <c r="G489" s="38" t="n"/>
      <c r="H489" s="22" t="n"/>
      <c r="I489" s="25">
        <f>IF(OR(F489="",G489=""),"",F489*G489)</f>
        <v/>
      </c>
      <c r="J489" s="38">
        <f>IF(OR(F489="",G489=""),"",ROUND(G489*(1+F489/30),1))</f>
        <v/>
      </c>
      <c r="K489" s="26" t="n"/>
    </row>
    <row r="490" ht="18" customHeight="1">
      <c r="A490" s="35" t="n"/>
      <c r="B490" s="16">
        <f>IF(A490="","",IFERROR(INT((A490-DATE(2026,4,27))/7)+1,""))</f>
        <v/>
      </c>
      <c r="C490" s="16" t="n"/>
      <c r="D490" s="17" t="n"/>
      <c r="E490" s="16" t="n"/>
      <c r="F490" s="16" t="n"/>
      <c r="G490" s="36" t="n"/>
      <c r="H490" s="16" t="n"/>
      <c r="I490" s="19">
        <f>IF(OR(F490="",G490=""),"",F490*G490)</f>
        <v/>
      </c>
      <c r="J490" s="36">
        <f>IF(OR(F490="",G490=""),"",ROUND(G490*(1+F490/30),1))</f>
        <v/>
      </c>
      <c r="K490" s="20" t="n"/>
    </row>
    <row r="491" ht="18" customHeight="1">
      <c r="A491" s="37" t="n"/>
      <c r="B491" s="22">
        <f>IF(A491="","",IFERROR(INT((A491-DATE(2026,4,27))/7)+1,""))</f>
        <v/>
      </c>
      <c r="C491" s="22" t="n"/>
      <c r="D491" s="23" t="n"/>
      <c r="E491" s="22" t="n"/>
      <c r="F491" s="22" t="n"/>
      <c r="G491" s="38" t="n"/>
      <c r="H491" s="22" t="n"/>
      <c r="I491" s="25">
        <f>IF(OR(F491="",G491=""),"",F491*G491)</f>
        <v/>
      </c>
      <c r="J491" s="38">
        <f>IF(OR(F491="",G491=""),"",ROUND(G491*(1+F491/30),1))</f>
        <v/>
      </c>
      <c r="K491" s="26" t="n"/>
    </row>
    <row r="492" ht="18" customHeight="1">
      <c r="A492" s="35" t="n"/>
      <c r="B492" s="16">
        <f>IF(A492="","",IFERROR(INT((A492-DATE(2026,4,27))/7)+1,""))</f>
        <v/>
      </c>
      <c r="C492" s="16" t="n"/>
      <c r="D492" s="17" t="n"/>
      <c r="E492" s="16" t="n"/>
      <c r="F492" s="16" t="n"/>
      <c r="G492" s="36" t="n"/>
      <c r="H492" s="16" t="n"/>
      <c r="I492" s="19">
        <f>IF(OR(F492="",G492=""),"",F492*G492)</f>
        <v/>
      </c>
      <c r="J492" s="36">
        <f>IF(OR(F492="",G492=""),"",ROUND(G492*(1+F492/30),1))</f>
        <v/>
      </c>
      <c r="K492" s="20" t="n"/>
    </row>
    <row r="493" ht="18" customHeight="1">
      <c r="A493" s="37" t="n"/>
      <c r="B493" s="22">
        <f>IF(A493="","",IFERROR(INT((A493-DATE(2026,4,27))/7)+1,""))</f>
        <v/>
      </c>
      <c r="C493" s="22" t="n"/>
      <c r="D493" s="23" t="n"/>
      <c r="E493" s="22" t="n"/>
      <c r="F493" s="22" t="n"/>
      <c r="G493" s="38" t="n"/>
      <c r="H493" s="22" t="n"/>
      <c r="I493" s="25">
        <f>IF(OR(F493="",G493=""),"",F493*G493)</f>
        <v/>
      </c>
      <c r="J493" s="38">
        <f>IF(OR(F493="",G493=""),"",ROUND(G493*(1+F493/30),1))</f>
        <v/>
      </c>
      <c r="K493" s="26" t="n"/>
    </row>
    <row r="494" ht="18" customHeight="1">
      <c r="A494" s="35" t="n"/>
      <c r="B494" s="16">
        <f>IF(A494="","",IFERROR(INT((A494-DATE(2026,4,27))/7)+1,""))</f>
        <v/>
      </c>
      <c r="C494" s="16" t="n"/>
      <c r="D494" s="17" t="n"/>
      <c r="E494" s="16" t="n"/>
      <c r="F494" s="16" t="n"/>
      <c r="G494" s="36" t="n"/>
      <c r="H494" s="16" t="n"/>
      <c r="I494" s="19">
        <f>IF(OR(F494="",G494=""),"",F494*G494)</f>
        <v/>
      </c>
      <c r="J494" s="36">
        <f>IF(OR(F494="",G494=""),"",ROUND(G494*(1+F494/30),1))</f>
        <v/>
      </c>
      <c r="K494" s="20" t="n"/>
    </row>
    <row r="495" ht="18" customHeight="1">
      <c r="A495" s="37" t="n"/>
      <c r="B495" s="22">
        <f>IF(A495="","",IFERROR(INT((A495-DATE(2026,4,27))/7)+1,""))</f>
        <v/>
      </c>
      <c r="C495" s="22" t="n"/>
      <c r="D495" s="23" t="n"/>
      <c r="E495" s="22" t="n"/>
      <c r="F495" s="22" t="n"/>
      <c r="G495" s="38" t="n"/>
      <c r="H495" s="22" t="n"/>
      <c r="I495" s="25">
        <f>IF(OR(F495="",G495=""),"",F495*G495)</f>
        <v/>
      </c>
      <c r="J495" s="38">
        <f>IF(OR(F495="",G495=""),"",ROUND(G495*(1+F495/30),1))</f>
        <v/>
      </c>
      <c r="K495" s="26" t="n"/>
    </row>
    <row r="496" ht="18" customHeight="1">
      <c r="A496" s="35" t="n"/>
      <c r="B496" s="16">
        <f>IF(A496="","",IFERROR(INT((A496-DATE(2026,4,27))/7)+1,""))</f>
        <v/>
      </c>
      <c r="C496" s="16" t="n"/>
      <c r="D496" s="17" t="n"/>
      <c r="E496" s="16" t="n"/>
      <c r="F496" s="16" t="n"/>
      <c r="G496" s="36" t="n"/>
      <c r="H496" s="16" t="n"/>
      <c r="I496" s="19">
        <f>IF(OR(F496="",G496=""),"",F496*G496)</f>
        <v/>
      </c>
      <c r="J496" s="36">
        <f>IF(OR(F496="",G496=""),"",ROUND(G496*(1+F496/30),1))</f>
        <v/>
      </c>
      <c r="K496" s="20" t="n"/>
    </row>
    <row r="497" ht="18" customHeight="1">
      <c r="A497" s="37" t="n"/>
      <c r="B497" s="22">
        <f>IF(A497="","",IFERROR(INT((A497-DATE(2026,4,27))/7)+1,""))</f>
        <v/>
      </c>
      <c r="C497" s="22" t="n"/>
      <c r="D497" s="23" t="n"/>
      <c r="E497" s="22" t="n"/>
      <c r="F497" s="22" t="n"/>
      <c r="G497" s="38" t="n"/>
      <c r="H497" s="22" t="n"/>
      <c r="I497" s="25">
        <f>IF(OR(F497="",G497=""),"",F497*G497)</f>
        <v/>
      </c>
      <c r="J497" s="38">
        <f>IF(OR(F497="",G497=""),"",ROUND(G497*(1+F497/30),1))</f>
        <v/>
      </c>
      <c r="K497" s="26" t="n"/>
    </row>
    <row r="498" ht="18" customHeight="1">
      <c r="A498" s="35" t="n"/>
      <c r="B498" s="16">
        <f>IF(A498="","",IFERROR(INT((A498-DATE(2026,4,27))/7)+1,""))</f>
        <v/>
      </c>
      <c r="C498" s="16" t="n"/>
      <c r="D498" s="17" t="n"/>
      <c r="E498" s="16" t="n"/>
      <c r="F498" s="16" t="n"/>
      <c r="G498" s="36" t="n"/>
      <c r="H498" s="16" t="n"/>
      <c r="I498" s="19">
        <f>IF(OR(F498="",G498=""),"",F498*G498)</f>
        <v/>
      </c>
      <c r="J498" s="36">
        <f>IF(OR(F498="",G498=""),"",ROUND(G498*(1+F498/30),1))</f>
        <v/>
      </c>
      <c r="K498" s="20" t="n"/>
    </row>
    <row r="499" ht="18" customHeight="1">
      <c r="A499" s="37" t="n"/>
      <c r="B499" s="22">
        <f>IF(A499="","",IFERROR(INT((A499-DATE(2026,4,27))/7)+1,""))</f>
        <v/>
      </c>
      <c r="C499" s="22" t="n"/>
      <c r="D499" s="23" t="n"/>
      <c r="E499" s="22" t="n"/>
      <c r="F499" s="22" t="n"/>
      <c r="G499" s="38" t="n"/>
      <c r="H499" s="22" t="n"/>
      <c r="I499" s="25">
        <f>IF(OR(F499="",G499=""),"",F499*G499)</f>
        <v/>
      </c>
      <c r="J499" s="38">
        <f>IF(OR(F499="",G499=""),"",ROUND(G499*(1+F499/30),1))</f>
        <v/>
      </c>
      <c r="K499" s="26" t="n"/>
    </row>
    <row r="500" ht="18" customHeight="1">
      <c r="A500" s="35" t="n"/>
      <c r="B500" s="16">
        <f>IF(A500="","",IFERROR(INT((A500-DATE(2026,4,27))/7)+1,""))</f>
        <v/>
      </c>
      <c r="C500" s="16" t="n"/>
      <c r="D500" s="17" t="n"/>
      <c r="E500" s="16" t="n"/>
      <c r="F500" s="16" t="n"/>
      <c r="G500" s="36" t="n"/>
      <c r="H500" s="16" t="n"/>
      <c r="I500" s="19">
        <f>IF(OR(F500="",G500=""),"",F500*G500)</f>
        <v/>
      </c>
      <c r="J500" s="36">
        <f>IF(OR(F500="",G500=""),"",ROUND(G500*(1+F500/30),1))</f>
        <v/>
      </c>
      <c r="K500" s="20" t="n"/>
    </row>
    <row r="501" ht="18" customHeight="1">
      <c r="A501" s="37" t="n"/>
      <c r="B501" s="22">
        <f>IF(A501="","",IFERROR(INT((A501-DATE(2026,4,27))/7)+1,""))</f>
        <v/>
      </c>
      <c r="C501" s="22" t="n"/>
      <c r="D501" s="23" t="n"/>
      <c r="E501" s="22" t="n"/>
      <c r="F501" s="22" t="n"/>
      <c r="G501" s="38" t="n"/>
      <c r="H501" s="22" t="n"/>
      <c r="I501" s="25">
        <f>IF(OR(F501="",G501=""),"",F501*G501)</f>
        <v/>
      </c>
      <c r="J501" s="38">
        <f>IF(OR(F501="",G501=""),"",ROUND(G501*(1+F501/30),1))</f>
        <v/>
      </c>
      <c r="K501" s="26" t="n"/>
    </row>
    <row r="502" ht="18" customHeight="1">
      <c r="A502" s="35" t="n"/>
      <c r="B502" s="16">
        <f>IF(A502="","",IFERROR(INT((A502-DATE(2026,4,27))/7)+1,""))</f>
        <v/>
      </c>
      <c r="C502" s="16" t="n"/>
      <c r="D502" s="17" t="n"/>
      <c r="E502" s="16" t="n"/>
      <c r="F502" s="16" t="n"/>
      <c r="G502" s="36" t="n"/>
      <c r="H502" s="16" t="n"/>
      <c r="I502" s="19">
        <f>IF(OR(F502="",G502=""),"",F502*G502)</f>
        <v/>
      </c>
      <c r="J502" s="36">
        <f>IF(OR(F502="",G502=""),"",ROUND(G502*(1+F502/30),1))</f>
        <v/>
      </c>
      <c r="K502" s="20" t="n"/>
    </row>
    <row r="503" ht="18" customHeight="1">
      <c r="A503" s="37" t="n"/>
      <c r="B503" s="22">
        <f>IF(A503="","",IFERROR(INT((A503-DATE(2026,4,27))/7)+1,""))</f>
        <v/>
      </c>
      <c r="C503" s="22" t="n"/>
      <c r="D503" s="23" t="n"/>
      <c r="E503" s="22" t="n"/>
      <c r="F503" s="22" t="n"/>
      <c r="G503" s="38" t="n"/>
      <c r="H503" s="22" t="n"/>
      <c r="I503" s="25">
        <f>IF(OR(F503="",G503=""),"",F503*G503)</f>
        <v/>
      </c>
      <c r="J503" s="38">
        <f>IF(OR(F503="",G503=""),"",ROUND(G503*(1+F503/30),1))</f>
        <v/>
      </c>
      <c r="K503" s="26" t="n"/>
    </row>
    <row r="504" ht="18" customHeight="1">
      <c r="A504" s="35" t="n"/>
      <c r="B504" s="16">
        <f>IF(A504="","",IFERROR(INT((A504-DATE(2026,4,27))/7)+1,""))</f>
        <v/>
      </c>
      <c r="C504" s="16" t="n"/>
      <c r="D504" s="17" t="n"/>
      <c r="E504" s="16" t="n"/>
      <c r="F504" s="16" t="n"/>
      <c r="G504" s="36" t="n"/>
      <c r="H504" s="16" t="n"/>
      <c r="I504" s="19">
        <f>IF(OR(F504="",G504=""),"",F504*G504)</f>
        <v/>
      </c>
      <c r="J504" s="36">
        <f>IF(OR(F504="",G504=""),"",ROUND(G504*(1+F504/30),1))</f>
        <v/>
      </c>
      <c r="K504" s="20" t="n"/>
    </row>
    <row r="505" ht="18" customHeight="1">
      <c r="A505" s="37" t="n"/>
      <c r="B505" s="22">
        <f>IF(A505="","",IFERROR(INT((A505-DATE(2026,4,27))/7)+1,""))</f>
        <v/>
      </c>
      <c r="C505" s="22" t="n"/>
      <c r="D505" s="23" t="n"/>
      <c r="E505" s="22" t="n"/>
      <c r="F505" s="22" t="n"/>
      <c r="G505" s="38" t="n"/>
      <c r="H505" s="22" t="n"/>
      <c r="I505" s="25">
        <f>IF(OR(F505="",G505=""),"",F505*G505)</f>
        <v/>
      </c>
      <c r="J505" s="38">
        <f>IF(OR(F505="",G505=""),"",ROUND(G505*(1+F505/30),1))</f>
        <v/>
      </c>
      <c r="K505" s="26" t="n"/>
    </row>
    <row r="506" ht="18" customHeight="1">
      <c r="A506" s="35" t="n"/>
      <c r="B506" s="16">
        <f>IF(A506="","",IFERROR(INT((A506-DATE(2026,4,27))/7)+1,""))</f>
        <v/>
      </c>
      <c r="C506" s="16" t="n"/>
      <c r="D506" s="17" t="n"/>
      <c r="E506" s="16" t="n"/>
      <c r="F506" s="16" t="n"/>
      <c r="G506" s="36" t="n"/>
      <c r="H506" s="16" t="n"/>
      <c r="I506" s="19">
        <f>IF(OR(F506="",G506=""),"",F506*G506)</f>
        <v/>
      </c>
      <c r="J506" s="36">
        <f>IF(OR(F506="",G506=""),"",ROUND(G506*(1+F506/30),1))</f>
        <v/>
      </c>
      <c r="K506" s="20" t="n"/>
    </row>
    <row r="507" ht="18" customHeight="1">
      <c r="A507" s="37" t="n"/>
      <c r="B507" s="22">
        <f>IF(A507="","",IFERROR(INT((A507-DATE(2026,4,27))/7)+1,""))</f>
        <v/>
      </c>
      <c r="C507" s="22" t="n"/>
      <c r="D507" s="23" t="n"/>
      <c r="E507" s="22" t="n"/>
      <c r="F507" s="22" t="n"/>
      <c r="G507" s="38" t="n"/>
      <c r="H507" s="22" t="n"/>
      <c r="I507" s="25">
        <f>IF(OR(F507="",G507=""),"",F507*G507)</f>
        <v/>
      </c>
      <c r="J507" s="38">
        <f>IF(OR(F507="",G507=""),"",ROUND(G507*(1+F507/30),1))</f>
        <v/>
      </c>
      <c r="K507" s="26" t="n"/>
    </row>
    <row r="508" ht="18" customHeight="1">
      <c r="A508" s="35" t="n"/>
      <c r="B508" s="16">
        <f>IF(A508="","",IFERROR(INT((A508-DATE(2026,4,27))/7)+1,""))</f>
        <v/>
      </c>
      <c r="C508" s="16" t="n"/>
      <c r="D508" s="17" t="n"/>
      <c r="E508" s="16" t="n"/>
      <c r="F508" s="16" t="n"/>
      <c r="G508" s="36" t="n"/>
      <c r="H508" s="16" t="n"/>
      <c r="I508" s="19">
        <f>IF(OR(F508="",G508=""),"",F508*G508)</f>
        <v/>
      </c>
      <c r="J508" s="36">
        <f>IF(OR(F508="",G508=""),"",ROUND(G508*(1+F508/30),1))</f>
        <v/>
      </c>
      <c r="K508" s="20" t="n"/>
    </row>
    <row r="509" ht="18" customHeight="1">
      <c r="A509" s="37" t="n"/>
      <c r="B509" s="22">
        <f>IF(A509="","",IFERROR(INT((A509-DATE(2026,4,27))/7)+1,""))</f>
        <v/>
      </c>
      <c r="C509" s="22" t="n"/>
      <c r="D509" s="23" t="n"/>
      <c r="E509" s="22" t="n"/>
      <c r="F509" s="22" t="n"/>
      <c r="G509" s="38" t="n"/>
      <c r="H509" s="22" t="n"/>
      <c r="I509" s="25">
        <f>IF(OR(F509="",G509=""),"",F509*G509)</f>
        <v/>
      </c>
      <c r="J509" s="38">
        <f>IF(OR(F509="",G509=""),"",ROUND(G509*(1+F509/30),1))</f>
        <v/>
      </c>
      <c r="K509" s="26" t="n"/>
    </row>
    <row r="510" ht="18" customHeight="1">
      <c r="A510" s="35" t="n"/>
      <c r="B510" s="16">
        <f>IF(A510="","",IFERROR(INT((A510-DATE(2026,4,27))/7)+1,""))</f>
        <v/>
      </c>
      <c r="C510" s="16" t="n"/>
      <c r="D510" s="17" t="n"/>
      <c r="E510" s="16" t="n"/>
      <c r="F510" s="16" t="n"/>
      <c r="G510" s="36" t="n"/>
      <c r="H510" s="16" t="n"/>
      <c r="I510" s="19">
        <f>IF(OR(F510="",G510=""),"",F510*G510)</f>
        <v/>
      </c>
      <c r="J510" s="36">
        <f>IF(OR(F510="",G510=""),"",ROUND(G510*(1+F510/30),1))</f>
        <v/>
      </c>
      <c r="K510" s="20" t="n"/>
    </row>
    <row r="511" ht="18" customHeight="1">
      <c r="A511" s="37" t="n"/>
      <c r="B511" s="22">
        <f>IF(A511="","",IFERROR(INT((A511-DATE(2026,4,27))/7)+1,""))</f>
        <v/>
      </c>
      <c r="C511" s="22" t="n"/>
      <c r="D511" s="23" t="n"/>
      <c r="E511" s="22" t="n"/>
      <c r="F511" s="22" t="n"/>
      <c r="G511" s="38" t="n"/>
      <c r="H511" s="22" t="n"/>
      <c r="I511" s="25">
        <f>IF(OR(F511="",G511=""),"",F511*G511)</f>
        <v/>
      </c>
      <c r="J511" s="38">
        <f>IF(OR(F511="",G511=""),"",ROUND(G511*(1+F511/30),1))</f>
        <v/>
      </c>
      <c r="K511" s="26" t="n"/>
    </row>
    <row r="512" ht="18" customHeight="1">
      <c r="A512" s="35" t="n"/>
      <c r="B512" s="16">
        <f>IF(A512="","",IFERROR(INT((A512-DATE(2026,4,27))/7)+1,""))</f>
        <v/>
      </c>
      <c r="C512" s="16" t="n"/>
      <c r="D512" s="17" t="n"/>
      <c r="E512" s="16" t="n"/>
      <c r="F512" s="16" t="n"/>
      <c r="G512" s="36" t="n"/>
      <c r="H512" s="16" t="n"/>
      <c r="I512" s="19">
        <f>IF(OR(F512="",G512=""),"",F512*G512)</f>
        <v/>
      </c>
      <c r="J512" s="36">
        <f>IF(OR(F512="",G512=""),"",ROUND(G512*(1+F512/30),1))</f>
        <v/>
      </c>
      <c r="K512" s="20" t="n"/>
    </row>
    <row r="513" ht="18" customHeight="1">
      <c r="A513" s="37" t="n"/>
      <c r="B513" s="22">
        <f>IF(A513="","",IFERROR(INT((A513-DATE(2026,4,27))/7)+1,""))</f>
        <v/>
      </c>
      <c r="C513" s="22" t="n"/>
      <c r="D513" s="23" t="n"/>
      <c r="E513" s="22" t="n"/>
      <c r="F513" s="22" t="n"/>
      <c r="G513" s="38" t="n"/>
      <c r="H513" s="22" t="n"/>
      <c r="I513" s="25">
        <f>IF(OR(F513="",G513=""),"",F513*G513)</f>
        <v/>
      </c>
      <c r="J513" s="38">
        <f>IF(OR(F513="",G513=""),"",ROUND(G513*(1+F513/30),1))</f>
        <v/>
      </c>
      <c r="K513" s="26" t="n"/>
    </row>
    <row r="514" ht="18" customHeight="1">
      <c r="A514" s="35" t="n"/>
      <c r="B514" s="16">
        <f>IF(A514="","",IFERROR(INT((A514-DATE(2026,4,27))/7)+1,""))</f>
        <v/>
      </c>
      <c r="C514" s="16" t="n"/>
      <c r="D514" s="17" t="n"/>
      <c r="E514" s="16" t="n"/>
      <c r="F514" s="16" t="n"/>
      <c r="G514" s="36" t="n"/>
      <c r="H514" s="16" t="n"/>
      <c r="I514" s="19">
        <f>IF(OR(F514="",G514=""),"",F514*G514)</f>
        <v/>
      </c>
      <c r="J514" s="36">
        <f>IF(OR(F514="",G514=""),"",ROUND(G514*(1+F514/30),1))</f>
        <v/>
      </c>
      <c r="K514" s="20" t="n"/>
    </row>
    <row r="515" ht="18" customHeight="1">
      <c r="A515" s="37" t="n"/>
      <c r="B515" s="22">
        <f>IF(A515="","",IFERROR(INT((A515-DATE(2026,4,27))/7)+1,""))</f>
        <v/>
      </c>
      <c r="C515" s="22" t="n"/>
      <c r="D515" s="23" t="n"/>
      <c r="E515" s="22" t="n"/>
      <c r="F515" s="22" t="n"/>
      <c r="G515" s="38" t="n"/>
      <c r="H515" s="22" t="n"/>
      <c r="I515" s="25">
        <f>IF(OR(F515="",G515=""),"",F515*G515)</f>
        <v/>
      </c>
      <c r="J515" s="38">
        <f>IF(OR(F515="",G515=""),"",ROUND(G515*(1+F515/30),1))</f>
        <v/>
      </c>
      <c r="K515" s="26" t="n"/>
    </row>
    <row r="516" ht="18" customHeight="1">
      <c r="A516" s="35" t="n"/>
      <c r="B516" s="16">
        <f>IF(A516="","",IFERROR(INT((A516-DATE(2026,4,27))/7)+1,""))</f>
        <v/>
      </c>
      <c r="C516" s="16" t="n"/>
      <c r="D516" s="17" t="n"/>
      <c r="E516" s="16" t="n"/>
      <c r="F516" s="16" t="n"/>
      <c r="G516" s="36" t="n"/>
      <c r="H516" s="16" t="n"/>
      <c r="I516" s="19">
        <f>IF(OR(F516="",G516=""),"",F516*G516)</f>
        <v/>
      </c>
      <c r="J516" s="36">
        <f>IF(OR(F516="",G516=""),"",ROUND(G516*(1+F516/30),1))</f>
        <v/>
      </c>
      <c r="K516" s="20" t="n"/>
    </row>
    <row r="517" ht="18" customHeight="1">
      <c r="A517" s="37" t="n"/>
      <c r="B517" s="22">
        <f>IF(A517="","",IFERROR(INT((A517-DATE(2026,4,27))/7)+1,""))</f>
        <v/>
      </c>
      <c r="C517" s="22" t="n"/>
      <c r="D517" s="23" t="n"/>
      <c r="E517" s="22" t="n"/>
      <c r="F517" s="22" t="n"/>
      <c r="G517" s="38" t="n"/>
      <c r="H517" s="22" t="n"/>
      <c r="I517" s="25">
        <f>IF(OR(F517="",G517=""),"",F517*G517)</f>
        <v/>
      </c>
      <c r="J517" s="38">
        <f>IF(OR(F517="",G517=""),"",ROUND(G517*(1+F517/30),1))</f>
        <v/>
      </c>
      <c r="K517" s="26" t="n"/>
    </row>
    <row r="518" ht="18" customHeight="1">
      <c r="A518" s="35" t="n"/>
      <c r="B518" s="16">
        <f>IF(A518="","",IFERROR(INT((A518-DATE(2026,4,27))/7)+1,""))</f>
        <v/>
      </c>
      <c r="C518" s="16" t="n"/>
      <c r="D518" s="17" t="n"/>
      <c r="E518" s="16" t="n"/>
      <c r="F518" s="16" t="n"/>
      <c r="G518" s="36" t="n"/>
      <c r="H518" s="16" t="n"/>
      <c r="I518" s="19">
        <f>IF(OR(F518="",G518=""),"",F518*G518)</f>
        <v/>
      </c>
      <c r="J518" s="36">
        <f>IF(OR(F518="",G518=""),"",ROUND(G518*(1+F518/30),1))</f>
        <v/>
      </c>
      <c r="K518" s="20" t="n"/>
    </row>
    <row r="519" ht="18" customHeight="1">
      <c r="A519" s="37" t="n"/>
      <c r="B519" s="22">
        <f>IF(A519="","",IFERROR(INT((A519-DATE(2026,4,27))/7)+1,""))</f>
        <v/>
      </c>
      <c r="C519" s="22" t="n"/>
      <c r="D519" s="23" t="n"/>
      <c r="E519" s="22" t="n"/>
      <c r="F519" s="22" t="n"/>
      <c r="G519" s="38" t="n"/>
      <c r="H519" s="22" t="n"/>
      <c r="I519" s="25">
        <f>IF(OR(F519="",G519=""),"",F519*G519)</f>
        <v/>
      </c>
      <c r="J519" s="38">
        <f>IF(OR(F519="",G519=""),"",ROUND(G519*(1+F519/30),1))</f>
        <v/>
      </c>
      <c r="K519" s="26" t="n"/>
    </row>
    <row r="520" ht="18" customHeight="1">
      <c r="A520" s="35" t="n"/>
      <c r="B520" s="16">
        <f>IF(A520="","",IFERROR(INT((A520-DATE(2026,4,27))/7)+1,""))</f>
        <v/>
      </c>
      <c r="C520" s="16" t="n"/>
      <c r="D520" s="17" t="n"/>
      <c r="E520" s="16" t="n"/>
      <c r="F520" s="16" t="n"/>
      <c r="G520" s="36" t="n"/>
      <c r="H520" s="16" t="n"/>
      <c r="I520" s="19">
        <f>IF(OR(F520="",G520=""),"",F520*G520)</f>
        <v/>
      </c>
      <c r="J520" s="36">
        <f>IF(OR(F520="",G520=""),"",ROUND(G520*(1+F520/30),1))</f>
        <v/>
      </c>
      <c r="K520" s="20" t="n"/>
    </row>
    <row r="521" ht="18" customHeight="1">
      <c r="A521" s="37" t="n"/>
      <c r="B521" s="22">
        <f>IF(A521="","",IFERROR(INT((A521-DATE(2026,4,27))/7)+1,""))</f>
        <v/>
      </c>
      <c r="C521" s="22" t="n"/>
      <c r="D521" s="23" t="n"/>
      <c r="E521" s="22" t="n"/>
      <c r="F521" s="22" t="n"/>
      <c r="G521" s="38" t="n"/>
      <c r="H521" s="22" t="n"/>
      <c r="I521" s="25">
        <f>IF(OR(F521="",G521=""),"",F521*G521)</f>
        <v/>
      </c>
      <c r="J521" s="38">
        <f>IF(OR(F521="",G521=""),"",ROUND(G521*(1+F521/30),1))</f>
        <v/>
      </c>
      <c r="K521" s="26" t="n"/>
    </row>
    <row r="522" ht="18" customHeight="1">
      <c r="A522" s="35" t="n"/>
      <c r="B522" s="16">
        <f>IF(A522="","",IFERROR(INT((A522-DATE(2026,4,27))/7)+1,""))</f>
        <v/>
      </c>
      <c r="C522" s="16" t="n"/>
      <c r="D522" s="17" t="n"/>
      <c r="E522" s="16" t="n"/>
      <c r="F522" s="16" t="n"/>
      <c r="G522" s="36" t="n"/>
      <c r="H522" s="16" t="n"/>
      <c r="I522" s="19">
        <f>IF(OR(F522="",G522=""),"",F522*G522)</f>
        <v/>
      </c>
      <c r="J522" s="36">
        <f>IF(OR(F522="",G522=""),"",ROUND(G522*(1+F522/30),1))</f>
        <v/>
      </c>
      <c r="K522" s="20" t="n"/>
    </row>
    <row r="523" ht="18" customHeight="1">
      <c r="A523" s="37" t="n"/>
      <c r="B523" s="22">
        <f>IF(A523="","",IFERROR(INT((A523-DATE(2026,4,27))/7)+1,""))</f>
        <v/>
      </c>
      <c r="C523" s="22" t="n"/>
      <c r="D523" s="23" t="n"/>
      <c r="E523" s="22" t="n"/>
      <c r="F523" s="22" t="n"/>
      <c r="G523" s="38" t="n"/>
      <c r="H523" s="22" t="n"/>
      <c r="I523" s="25">
        <f>IF(OR(F523="",G523=""),"",F523*G523)</f>
        <v/>
      </c>
      <c r="J523" s="38">
        <f>IF(OR(F523="",G523=""),"",ROUND(G523*(1+F523/30),1))</f>
        <v/>
      </c>
      <c r="K523" s="26" t="n"/>
    </row>
    <row r="524" ht="18" customHeight="1">
      <c r="A524" s="35" t="n"/>
      <c r="B524" s="16">
        <f>IF(A524="","",IFERROR(INT((A524-DATE(2026,4,27))/7)+1,""))</f>
        <v/>
      </c>
      <c r="C524" s="16" t="n"/>
      <c r="D524" s="17" t="n"/>
      <c r="E524" s="16" t="n"/>
      <c r="F524" s="16" t="n"/>
      <c r="G524" s="36" t="n"/>
      <c r="H524" s="16" t="n"/>
      <c r="I524" s="19">
        <f>IF(OR(F524="",G524=""),"",F524*G524)</f>
        <v/>
      </c>
      <c r="J524" s="36">
        <f>IF(OR(F524="",G524=""),"",ROUND(G524*(1+F524/30),1))</f>
        <v/>
      </c>
      <c r="K524" s="20" t="n"/>
    </row>
    <row r="525" ht="18" customHeight="1">
      <c r="A525" s="37" t="n"/>
      <c r="B525" s="22">
        <f>IF(A525="","",IFERROR(INT((A525-DATE(2026,4,27))/7)+1,""))</f>
        <v/>
      </c>
      <c r="C525" s="22" t="n"/>
      <c r="D525" s="23" t="n"/>
      <c r="E525" s="22" t="n"/>
      <c r="F525" s="22" t="n"/>
      <c r="G525" s="38" t="n"/>
      <c r="H525" s="22" t="n"/>
      <c r="I525" s="25">
        <f>IF(OR(F525="",G525=""),"",F525*G525)</f>
        <v/>
      </c>
      <c r="J525" s="38">
        <f>IF(OR(F525="",G525=""),"",ROUND(G525*(1+F525/30),1))</f>
        <v/>
      </c>
      <c r="K525" s="26" t="n"/>
    </row>
    <row r="526" ht="18" customHeight="1">
      <c r="A526" s="35" t="n"/>
      <c r="B526" s="16">
        <f>IF(A526="","",IFERROR(INT((A526-DATE(2026,4,27))/7)+1,""))</f>
        <v/>
      </c>
      <c r="C526" s="16" t="n"/>
      <c r="D526" s="17" t="n"/>
      <c r="E526" s="16" t="n"/>
      <c r="F526" s="16" t="n"/>
      <c r="G526" s="36" t="n"/>
      <c r="H526" s="16" t="n"/>
      <c r="I526" s="19">
        <f>IF(OR(F526="",G526=""),"",F526*G526)</f>
        <v/>
      </c>
      <c r="J526" s="36">
        <f>IF(OR(F526="",G526=""),"",ROUND(G526*(1+F526/30),1))</f>
        <v/>
      </c>
      <c r="K526" s="20" t="n"/>
    </row>
    <row r="527" ht="18" customHeight="1">
      <c r="A527" s="37" t="n"/>
      <c r="B527" s="22">
        <f>IF(A527="","",IFERROR(INT((A527-DATE(2026,4,27))/7)+1,""))</f>
        <v/>
      </c>
      <c r="C527" s="22" t="n"/>
      <c r="D527" s="23" t="n"/>
      <c r="E527" s="22" t="n"/>
      <c r="F527" s="22" t="n"/>
      <c r="G527" s="38" t="n"/>
      <c r="H527" s="22" t="n"/>
      <c r="I527" s="25">
        <f>IF(OR(F527="",G527=""),"",F527*G527)</f>
        <v/>
      </c>
      <c r="J527" s="38">
        <f>IF(OR(F527="",G527=""),"",ROUND(G527*(1+F527/30),1))</f>
        <v/>
      </c>
      <c r="K527" s="26" t="n"/>
    </row>
    <row r="528" ht="18" customHeight="1">
      <c r="A528" s="35" t="n"/>
      <c r="B528" s="16">
        <f>IF(A528="","",IFERROR(INT((A528-DATE(2026,4,27))/7)+1,""))</f>
        <v/>
      </c>
      <c r="C528" s="16" t="n"/>
      <c r="D528" s="17" t="n"/>
      <c r="E528" s="16" t="n"/>
      <c r="F528" s="16" t="n"/>
      <c r="G528" s="36" t="n"/>
      <c r="H528" s="16" t="n"/>
      <c r="I528" s="19">
        <f>IF(OR(F528="",G528=""),"",F528*G528)</f>
        <v/>
      </c>
      <c r="J528" s="36">
        <f>IF(OR(F528="",G528=""),"",ROUND(G528*(1+F528/30),1))</f>
        <v/>
      </c>
      <c r="K528" s="20" t="n"/>
    </row>
    <row r="529" ht="18" customHeight="1">
      <c r="A529" s="37" t="n"/>
      <c r="B529" s="22">
        <f>IF(A529="","",IFERROR(INT((A529-DATE(2026,4,27))/7)+1,""))</f>
        <v/>
      </c>
      <c r="C529" s="22" t="n"/>
      <c r="D529" s="23" t="n"/>
      <c r="E529" s="22" t="n"/>
      <c r="F529" s="22" t="n"/>
      <c r="G529" s="38" t="n"/>
      <c r="H529" s="22" t="n"/>
      <c r="I529" s="25">
        <f>IF(OR(F529="",G529=""),"",F529*G529)</f>
        <v/>
      </c>
      <c r="J529" s="38">
        <f>IF(OR(F529="",G529=""),"",ROUND(G529*(1+F529/30),1))</f>
        <v/>
      </c>
      <c r="K529" s="26" t="n"/>
    </row>
    <row r="530" ht="18" customHeight="1">
      <c r="A530" s="35" t="n"/>
      <c r="B530" s="16">
        <f>IF(A530="","",IFERROR(INT((A530-DATE(2026,4,27))/7)+1,""))</f>
        <v/>
      </c>
      <c r="C530" s="16" t="n"/>
      <c r="D530" s="17" t="n"/>
      <c r="E530" s="16" t="n"/>
      <c r="F530" s="16" t="n"/>
      <c r="G530" s="36" t="n"/>
      <c r="H530" s="16" t="n"/>
      <c r="I530" s="19">
        <f>IF(OR(F530="",G530=""),"",F530*G530)</f>
        <v/>
      </c>
      <c r="J530" s="36">
        <f>IF(OR(F530="",G530=""),"",ROUND(G530*(1+F530/30),1))</f>
        <v/>
      </c>
      <c r="K530" s="20" t="n"/>
    </row>
    <row r="531" ht="18" customHeight="1">
      <c r="A531" s="37" t="n"/>
      <c r="B531" s="22">
        <f>IF(A531="","",IFERROR(INT((A531-DATE(2026,4,27))/7)+1,""))</f>
        <v/>
      </c>
      <c r="C531" s="22" t="n"/>
      <c r="D531" s="23" t="n"/>
      <c r="E531" s="22" t="n"/>
      <c r="F531" s="22" t="n"/>
      <c r="G531" s="38" t="n"/>
      <c r="H531" s="22" t="n"/>
      <c r="I531" s="25">
        <f>IF(OR(F531="",G531=""),"",F531*G531)</f>
        <v/>
      </c>
      <c r="J531" s="38">
        <f>IF(OR(F531="",G531=""),"",ROUND(G531*(1+F531/30),1))</f>
        <v/>
      </c>
      <c r="K531" s="26" t="n"/>
    </row>
    <row r="532" ht="18" customHeight="1">
      <c r="A532" s="35" t="n"/>
      <c r="B532" s="16">
        <f>IF(A532="","",IFERROR(INT((A532-DATE(2026,4,27))/7)+1,""))</f>
        <v/>
      </c>
      <c r="C532" s="16" t="n"/>
      <c r="D532" s="17" t="n"/>
      <c r="E532" s="16" t="n"/>
      <c r="F532" s="16" t="n"/>
      <c r="G532" s="36" t="n"/>
      <c r="H532" s="16" t="n"/>
      <c r="I532" s="19">
        <f>IF(OR(F532="",G532=""),"",F532*G532)</f>
        <v/>
      </c>
      <c r="J532" s="36">
        <f>IF(OR(F532="",G532=""),"",ROUND(G532*(1+F532/30),1))</f>
        <v/>
      </c>
      <c r="K532" s="20" t="n"/>
    </row>
    <row r="533" ht="18" customHeight="1">
      <c r="A533" s="37" t="n"/>
      <c r="B533" s="22">
        <f>IF(A533="","",IFERROR(INT((A533-DATE(2026,4,27))/7)+1,""))</f>
        <v/>
      </c>
      <c r="C533" s="22" t="n"/>
      <c r="D533" s="23" t="n"/>
      <c r="E533" s="22" t="n"/>
      <c r="F533" s="22" t="n"/>
      <c r="G533" s="38" t="n"/>
      <c r="H533" s="22" t="n"/>
      <c r="I533" s="25">
        <f>IF(OR(F533="",G533=""),"",F533*G533)</f>
        <v/>
      </c>
      <c r="J533" s="38">
        <f>IF(OR(F533="",G533=""),"",ROUND(G533*(1+F533/30),1))</f>
        <v/>
      </c>
      <c r="K533" s="26" t="n"/>
    </row>
    <row r="534" ht="18" customHeight="1">
      <c r="A534" s="35" t="n"/>
      <c r="B534" s="16">
        <f>IF(A534="","",IFERROR(INT((A534-DATE(2026,4,27))/7)+1,""))</f>
        <v/>
      </c>
      <c r="C534" s="16" t="n"/>
      <c r="D534" s="17" t="n"/>
      <c r="E534" s="16" t="n"/>
      <c r="F534" s="16" t="n"/>
      <c r="G534" s="36" t="n"/>
      <c r="H534" s="16" t="n"/>
      <c r="I534" s="19">
        <f>IF(OR(F534="",G534=""),"",F534*G534)</f>
        <v/>
      </c>
      <c r="J534" s="36">
        <f>IF(OR(F534="",G534=""),"",ROUND(G534*(1+F534/30),1))</f>
        <v/>
      </c>
      <c r="K534" s="20" t="n"/>
    </row>
    <row r="535" ht="18" customHeight="1">
      <c r="A535" s="37" t="n"/>
      <c r="B535" s="22">
        <f>IF(A535="","",IFERROR(INT((A535-DATE(2026,4,27))/7)+1,""))</f>
        <v/>
      </c>
      <c r="C535" s="22" t="n"/>
      <c r="D535" s="23" t="n"/>
      <c r="E535" s="22" t="n"/>
      <c r="F535" s="22" t="n"/>
      <c r="G535" s="38" t="n"/>
      <c r="H535" s="22" t="n"/>
      <c r="I535" s="25">
        <f>IF(OR(F535="",G535=""),"",F535*G535)</f>
        <v/>
      </c>
      <c r="J535" s="38">
        <f>IF(OR(F535="",G535=""),"",ROUND(G535*(1+F535/30),1))</f>
        <v/>
      </c>
      <c r="K535" s="26" t="n"/>
    </row>
    <row r="536" ht="18" customHeight="1">
      <c r="A536" s="35" t="n"/>
      <c r="B536" s="16">
        <f>IF(A536="","",IFERROR(INT((A536-DATE(2026,4,27))/7)+1,""))</f>
        <v/>
      </c>
      <c r="C536" s="16" t="n"/>
      <c r="D536" s="17" t="n"/>
      <c r="E536" s="16" t="n"/>
      <c r="F536" s="16" t="n"/>
      <c r="G536" s="36" t="n"/>
      <c r="H536" s="16" t="n"/>
      <c r="I536" s="19">
        <f>IF(OR(F536="",G536=""),"",F536*G536)</f>
        <v/>
      </c>
      <c r="J536" s="36">
        <f>IF(OR(F536="",G536=""),"",ROUND(G536*(1+F536/30),1))</f>
        <v/>
      </c>
      <c r="K536" s="20" t="n"/>
    </row>
    <row r="537" ht="18" customHeight="1">
      <c r="A537" s="37" t="n"/>
      <c r="B537" s="22">
        <f>IF(A537="","",IFERROR(INT((A537-DATE(2026,4,27))/7)+1,""))</f>
        <v/>
      </c>
      <c r="C537" s="22" t="n"/>
      <c r="D537" s="23" t="n"/>
      <c r="E537" s="22" t="n"/>
      <c r="F537" s="22" t="n"/>
      <c r="G537" s="38" t="n"/>
      <c r="H537" s="22" t="n"/>
      <c r="I537" s="25">
        <f>IF(OR(F537="",G537=""),"",F537*G537)</f>
        <v/>
      </c>
      <c r="J537" s="38">
        <f>IF(OR(F537="",G537=""),"",ROUND(G537*(1+F537/30),1))</f>
        <v/>
      </c>
      <c r="K537" s="26" t="n"/>
    </row>
    <row r="538" ht="18" customHeight="1">
      <c r="A538" s="35" t="n"/>
      <c r="B538" s="16">
        <f>IF(A538="","",IFERROR(INT((A538-DATE(2026,4,27))/7)+1,""))</f>
        <v/>
      </c>
      <c r="C538" s="16" t="n"/>
      <c r="D538" s="17" t="n"/>
      <c r="E538" s="16" t="n"/>
      <c r="F538" s="16" t="n"/>
      <c r="G538" s="36" t="n"/>
      <c r="H538" s="16" t="n"/>
      <c r="I538" s="19">
        <f>IF(OR(F538="",G538=""),"",F538*G538)</f>
        <v/>
      </c>
      <c r="J538" s="36">
        <f>IF(OR(F538="",G538=""),"",ROUND(G538*(1+F538/30),1))</f>
        <v/>
      </c>
      <c r="K538" s="20" t="n"/>
    </row>
    <row r="539" ht="18" customHeight="1">
      <c r="A539" s="37" t="n"/>
      <c r="B539" s="22">
        <f>IF(A539="","",IFERROR(INT((A539-DATE(2026,4,27))/7)+1,""))</f>
        <v/>
      </c>
      <c r="C539" s="22" t="n"/>
      <c r="D539" s="23" t="n"/>
      <c r="E539" s="22" t="n"/>
      <c r="F539" s="22" t="n"/>
      <c r="G539" s="38" t="n"/>
      <c r="H539" s="22" t="n"/>
      <c r="I539" s="25">
        <f>IF(OR(F539="",G539=""),"",F539*G539)</f>
        <v/>
      </c>
      <c r="J539" s="38">
        <f>IF(OR(F539="",G539=""),"",ROUND(G539*(1+F539/30),1))</f>
        <v/>
      </c>
      <c r="K539" s="26" t="n"/>
    </row>
    <row r="540" ht="18" customHeight="1">
      <c r="A540" s="35" t="n"/>
      <c r="B540" s="16">
        <f>IF(A540="","",IFERROR(INT((A540-DATE(2026,4,27))/7)+1,""))</f>
        <v/>
      </c>
      <c r="C540" s="16" t="n"/>
      <c r="D540" s="17" t="n"/>
      <c r="E540" s="16" t="n"/>
      <c r="F540" s="16" t="n"/>
      <c r="G540" s="36" t="n"/>
      <c r="H540" s="16" t="n"/>
      <c r="I540" s="19">
        <f>IF(OR(F540="",G540=""),"",F540*G540)</f>
        <v/>
      </c>
      <c r="J540" s="36">
        <f>IF(OR(F540="",G540=""),"",ROUND(G540*(1+F540/30),1))</f>
        <v/>
      </c>
      <c r="K540" s="20" t="n"/>
    </row>
    <row r="541" ht="18" customHeight="1">
      <c r="A541" s="37" t="n"/>
      <c r="B541" s="22">
        <f>IF(A541="","",IFERROR(INT((A541-DATE(2026,4,27))/7)+1,""))</f>
        <v/>
      </c>
      <c r="C541" s="22" t="n"/>
      <c r="D541" s="23" t="n"/>
      <c r="E541" s="22" t="n"/>
      <c r="F541" s="22" t="n"/>
      <c r="G541" s="38" t="n"/>
      <c r="H541" s="22" t="n"/>
      <c r="I541" s="25">
        <f>IF(OR(F541="",G541=""),"",F541*G541)</f>
        <v/>
      </c>
      <c r="J541" s="38">
        <f>IF(OR(F541="",G541=""),"",ROUND(G541*(1+F541/30),1))</f>
        <v/>
      </c>
      <c r="K541" s="26" t="n"/>
    </row>
    <row r="542" ht="18" customHeight="1">
      <c r="A542" s="35" t="n"/>
      <c r="B542" s="16">
        <f>IF(A542="","",IFERROR(INT((A542-DATE(2026,4,27))/7)+1,""))</f>
        <v/>
      </c>
      <c r="C542" s="16" t="n"/>
      <c r="D542" s="17" t="n"/>
      <c r="E542" s="16" t="n"/>
      <c r="F542" s="16" t="n"/>
      <c r="G542" s="36" t="n"/>
      <c r="H542" s="16" t="n"/>
      <c r="I542" s="19">
        <f>IF(OR(F542="",G542=""),"",F542*G542)</f>
        <v/>
      </c>
      <c r="J542" s="36">
        <f>IF(OR(F542="",G542=""),"",ROUND(G542*(1+F542/30),1))</f>
        <v/>
      </c>
      <c r="K542" s="20" t="n"/>
    </row>
    <row r="543" ht="18" customHeight="1">
      <c r="A543" s="37" t="n"/>
      <c r="B543" s="22">
        <f>IF(A543="","",IFERROR(INT((A543-DATE(2026,4,27))/7)+1,""))</f>
        <v/>
      </c>
      <c r="C543" s="22" t="n"/>
      <c r="D543" s="23" t="n"/>
      <c r="E543" s="22" t="n"/>
      <c r="F543" s="22" t="n"/>
      <c r="G543" s="38" t="n"/>
      <c r="H543" s="22" t="n"/>
      <c r="I543" s="25">
        <f>IF(OR(F543="",G543=""),"",F543*G543)</f>
        <v/>
      </c>
      <c r="J543" s="38">
        <f>IF(OR(F543="",G543=""),"",ROUND(G543*(1+F543/30),1))</f>
        <v/>
      </c>
      <c r="K543" s="26" t="n"/>
    </row>
    <row r="544" ht="18" customHeight="1">
      <c r="A544" s="35" t="n"/>
      <c r="B544" s="16">
        <f>IF(A544="","",IFERROR(INT((A544-DATE(2026,4,27))/7)+1,""))</f>
        <v/>
      </c>
      <c r="C544" s="16" t="n"/>
      <c r="D544" s="17" t="n"/>
      <c r="E544" s="16" t="n"/>
      <c r="F544" s="16" t="n"/>
      <c r="G544" s="36" t="n"/>
      <c r="H544" s="16" t="n"/>
      <c r="I544" s="19">
        <f>IF(OR(F544="",G544=""),"",F544*G544)</f>
        <v/>
      </c>
      <c r="J544" s="36">
        <f>IF(OR(F544="",G544=""),"",ROUND(G544*(1+F544/30),1))</f>
        <v/>
      </c>
      <c r="K544" s="20" t="n"/>
    </row>
    <row r="545" ht="18" customHeight="1">
      <c r="A545" s="37" t="n"/>
      <c r="B545" s="22">
        <f>IF(A545="","",IFERROR(INT((A545-DATE(2026,4,27))/7)+1,""))</f>
        <v/>
      </c>
      <c r="C545" s="22" t="n"/>
      <c r="D545" s="23" t="n"/>
      <c r="E545" s="22" t="n"/>
      <c r="F545" s="22" t="n"/>
      <c r="G545" s="38" t="n"/>
      <c r="H545" s="22" t="n"/>
      <c r="I545" s="25">
        <f>IF(OR(F545="",G545=""),"",F545*G545)</f>
        <v/>
      </c>
      <c r="J545" s="38">
        <f>IF(OR(F545="",G545=""),"",ROUND(G545*(1+F545/30),1))</f>
        <v/>
      </c>
      <c r="K545" s="26" t="n"/>
    </row>
    <row r="546" ht="18" customHeight="1">
      <c r="A546" s="35" t="n"/>
      <c r="B546" s="16">
        <f>IF(A546="","",IFERROR(INT((A546-DATE(2026,4,27))/7)+1,""))</f>
        <v/>
      </c>
      <c r="C546" s="16" t="n"/>
      <c r="D546" s="17" t="n"/>
      <c r="E546" s="16" t="n"/>
      <c r="F546" s="16" t="n"/>
      <c r="G546" s="36" t="n"/>
      <c r="H546" s="16" t="n"/>
      <c r="I546" s="19">
        <f>IF(OR(F546="",G546=""),"",F546*G546)</f>
        <v/>
      </c>
      <c r="J546" s="36">
        <f>IF(OR(F546="",G546=""),"",ROUND(G546*(1+F546/30),1))</f>
        <v/>
      </c>
      <c r="K546" s="20" t="n"/>
    </row>
    <row r="547" ht="18" customHeight="1">
      <c r="A547" s="37" t="n"/>
      <c r="B547" s="22">
        <f>IF(A547="","",IFERROR(INT((A547-DATE(2026,4,27))/7)+1,""))</f>
        <v/>
      </c>
      <c r="C547" s="22" t="n"/>
      <c r="D547" s="23" t="n"/>
      <c r="E547" s="22" t="n"/>
      <c r="F547" s="22" t="n"/>
      <c r="G547" s="38" t="n"/>
      <c r="H547" s="22" t="n"/>
      <c r="I547" s="25">
        <f>IF(OR(F547="",G547=""),"",F547*G547)</f>
        <v/>
      </c>
      <c r="J547" s="38">
        <f>IF(OR(F547="",G547=""),"",ROUND(G547*(1+F547/30),1))</f>
        <v/>
      </c>
      <c r="K547" s="26" t="n"/>
    </row>
    <row r="548" ht="18" customHeight="1">
      <c r="A548" s="35" t="n"/>
      <c r="B548" s="16">
        <f>IF(A548="","",IFERROR(INT((A548-DATE(2026,4,27))/7)+1,""))</f>
        <v/>
      </c>
      <c r="C548" s="16" t="n"/>
      <c r="D548" s="17" t="n"/>
      <c r="E548" s="16" t="n"/>
      <c r="F548" s="16" t="n"/>
      <c r="G548" s="36" t="n"/>
      <c r="H548" s="16" t="n"/>
      <c r="I548" s="19">
        <f>IF(OR(F548="",G548=""),"",F548*G548)</f>
        <v/>
      </c>
      <c r="J548" s="36">
        <f>IF(OR(F548="",G548=""),"",ROUND(G548*(1+F548/30),1))</f>
        <v/>
      </c>
      <c r="K548" s="20" t="n"/>
    </row>
    <row r="549" ht="18" customHeight="1">
      <c r="A549" s="37" t="n"/>
      <c r="B549" s="22">
        <f>IF(A549="","",IFERROR(INT((A549-DATE(2026,4,27))/7)+1,""))</f>
        <v/>
      </c>
      <c r="C549" s="22" t="n"/>
      <c r="D549" s="23" t="n"/>
      <c r="E549" s="22" t="n"/>
      <c r="F549" s="22" t="n"/>
      <c r="G549" s="38" t="n"/>
      <c r="H549" s="22" t="n"/>
      <c r="I549" s="25">
        <f>IF(OR(F549="",G549=""),"",F549*G549)</f>
        <v/>
      </c>
      <c r="J549" s="38">
        <f>IF(OR(F549="",G549=""),"",ROUND(G549*(1+F549/30),1))</f>
        <v/>
      </c>
      <c r="K549" s="26" t="n"/>
    </row>
    <row r="550" ht="18" customHeight="1">
      <c r="A550" s="35" t="n"/>
      <c r="B550" s="16">
        <f>IF(A550="","",IFERROR(INT((A550-DATE(2026,4,27))/7)+1,""))</f>
        <v/>
      </c>
      <c r="C550" s="16" t="n"/>
      <c r="D550" s="17" t="n"/>
      <c r="E550" s="16" t="n"/>
      <c r="F550" s="16" t="n"/>
      <c r="G550" s="36" t="n"/>
      <c r="H550" s="16" t="n"/>
      <c r="I550" s="19">
        <f>IF(OR(F550="",G550=""),"",F550*G550)</f>
        <v/>
      </c>
      <c r="J550" s="36">
        <f>IF(OR(F550="",G550=""),"",ROUND(G550*(1+F550/30),1))</f>
        <v/>
      </c>
      <c r="K550" s="20" t="n"/>
    </row>
    <row r="551" ht="18" customHeight="1">
      <c r="A551" s="37" t="n"/>
      <c r="B551" s="22">
        <f>IF(A551="","",IFERROR(INT((A551-DATE(2026,4,27))/7)+1,""))</f>
        <v/>
      </c>
      <c r="C551" s="22" t="n"/>
      <c r="D551" s="23" t="n"/>
      <c r="E551" s="22" t="n"/>
      <c r="F551" s="22" t="n"/>
      <c r="G551" s="38" t="n"/>
      <c r="H551" s="22" t="n"/>
      <c r="I551" s="25">
        <f>IF(OR(F551="",G551=""),"",F551*G551)</f>
        <v/>
      </c>
      <c r="J551" s="38">
        <f>IF(OR(F551="",G551=""),"",ROUND(G551*(1+F551/30),1))</f>
        <v/>
      </c>
      <c r="K551" s="26" t="n"/>
    </row>
    <row r="552" ht="18" customHeight="1">
      <c r="A552" s="35" t="n"/>
      <c r="B552" s="16">
        <f>IF(A552="","",IFERROR(INT((A552-DATE(2026,4,27))/7)+1,""))</f>
        <v/>
      </c>
      <c r="C552" s="16" t="n"/>
      <c r="D552" s="17" t="n"/>
      <c r="E552" s="16" t="n"/>
      <c r="F552" s="16" t="n"/>
      <c r="G552" s="36" t="n"/>
      <c r="H552" s="16" t="n"/>
      <c r="I552" s="19">
        <f>IF(OR(F552="",G552=""),"",F552*G552)</f>
        <v/>
      </c>
      <c r="J552" s="36">
        <f>IF(OR(F552="",G552=""),"",ROUND(G552*(1+F552/30),1))</f>
        <v/>
      </c>
      <c r="K552" s="20" t="n"/>
    </row>
    <row r="553" ht="18" customHeight="1">
      <c r="A553" s="37" t="n"/>
      <c r="B553" s="22">
        <f>IF(A553="","",IFERROR(INT((A553-DATE(2026,4,27))/7)+1,""))</f>
        <v/>
      </c>
      <c r="C553" s="22" t="n"/>
      <c r="D553" s="23" t="n"/>
      <c r="E553" s="22" t="n"/>
      <c r="F553" s="22" t="n"/>
      <c r="G553" s="38" t="n"/>
      <c r="H553" s="22" t="n"/>
      <c r="I553" s="25">
        <f>IF(OR(F553="",G553=""),"",F553*G553)</f>
        <v/>
      </c>
      <c r="J553" s="38">
        <f>IF(OR(F553="",G553=""),"",ROUND(G553*(1+F553/30),1))</f>
        <v/>
      </c>
      <c r="K553" s="26" t="n"/>
    </row>
    <row r="554" ht="18" customHeight="1">
      <c r="A554" s="35" t="n"/>
      <c r="B554" s="16">
        <f>IF(A554="","",IFERROR(INT((A554-DATE(2026,4,27))/7)+1,""))</f>
        <v/>
      </c>
      <c r="C554" s="16" t="n"/>
      <c r="D554" s="17" t="n"/>
      <c r="E554" s="16" t="n"/>
      <c r="F554" s="16" t="n"/>
      <c r="G554" s="36" t="n"/>
      <c r="H554" s="16" t="n"/>
      <c r="I554" s="19">
        <f>IF(OR(F554="",G554=""),"",F554*G554)</f>
        <v/>
      </c>
      <c r="J554" s="36">
        <f>IF(OR(F554="",G554=""),"",ROUND(G554*(1+F554/30),1))</f>
        <v/>
      </c>
      <c r="K554" s="20" t="n"/>
    </row>
    <row r="555" ht="18" customHeight="1">
      <c r="A555" s="37" t="n"/>
      <c r="B555" s="22">
        <f>IF(A555="","",IFERROR(INT((A555-DATE(2026,4,27))/7)+1,""))</f>
        <v/>
      </c>
      <c r="C555" s="22" t="n"/>
      <c r="D555" s="23" t="n"/>
      <c r="E555" s="22" t="n"/>
      <c r="F555" s="22" t="n"/>
      <c r="G555" s="38" t="n"/>
      <c r="H555" s="22" t="n"/>
      <c r="I555" s="25">
        <f>IF(OR(F555="",G555=""),"",F555*G555)</f>
        <v/>
      </c>
      <c r="J555" s="38">
        <f>IF(OR(F555="",G555=""),"",ROUND(G555*(1+F555/30),1))</f>
        <v/>
      </c>
      <c r="K555" s="26" t="n"/>
    </row>
    <row r="556" ht="18" customHeight="1">
      <c r="A556" s="35" t="n"/>
      <c r="B556" s="16">
        <f>IF(A556="","",IFERROR(INT((A556-DATE(2026,4,27))/7)+1,""))</f>
        <v/>
      </c>
      <c r="C556" s="16" t="n"/>
      <c r="D556" s="17" t="n"/>
      <c r="E556" s="16" t="n"/>
      <c r="F556" s="16" t="n"/>
      <c r="G556" s="36" t="n"/>
      <c r="H556" s="16" t="n"/>
      <c r="I556" s="19">
        <f>IF(OR(F556="",G556=""),"",F556*G556)</f>
        <v/>
      </c>
      <c r="J556" s="36">
        <f>IF(OR(F556="",G556=""),"",ROUND(G556*(1+F556/30),1))</f>
        <v/>
      </c>
      <c r="K556" s="20" t="n"/>
    </row>
    <row r="557" ht="18" customHeight="1">
      <c r="A557" s="37" t="n"/>
      <c r="B557" s="22">
        <f>IF(A557="","",IFERROR(INT((A557-DATE(2026,4,27))/7)+1,""))</f>
        <v/>
      </c>
      <c r="C557" s="22" t="n"/>
      <c r="D557" s="23" t="n"/>
      <c r="E557" s="22" t="n"/>
      <c r="F557" s="22" t="n"/>
      <c r="G557" s="38" t="n"/>
      <c r="H557" s="22" t="n"/>
      <c r="I557" s="25">
        <f>IF(OR(F557="",G557=""),"",F557*G557)</f>
        <v/>
      </c>
      <c r="J557" s="38">
        <f>IF(OR(F557="",G557=""),"",ROUND(G557*(1+F557/30),1))</f>
        <v/>
      </c>
      <c r="K557" s="26" t="n"/>
    </row>
    <row r="558" ht="18" customHeight="1">
      <c r="A558" s="35" t="n"/>
      <c r="B558" s="16">
        <f>IF(A558="","",IFERROR(INT((A558-DATE(2026,4,27))/7)+1,""))</f>
        <v/>
      </c>
      <c r="C558" s="16" t="n"/>
      <c r="D558" s="17" t="n"/>
      <c r="E558" s="16" t="n"/>
      <c r="F558" s="16" t="n"/>
      <c r="G558" s="36" t="n"/>
      <c r="H558" s="16" t="n"/>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c r="B24" s="16">
        <f>IF(A24="","",IFERROR(INT((A24-DATE(2026,4,27))/7)+1,""))</f>
        <v/>
      </c>
      <c r="C24" s="27" t="n"/>
      <c r="D24" s="36" t="n"/>
      <c r="E24" s="16">
        <f>IF(OR(C24="",D24=""),"",TEXT(D24/C24/1440,"m:ss"))</f>
        <v/>
      </c>
      <c r="F24" s="16" t="n"/>
      <c r="G24" s="16" t="n"/>
      <c r="H24" s="16" t="n"/>
      <c r="I24" s="16" t="n"/>
      <c r="J24" s="20" t="n"/>
    </row>
    <row r="25" ht="18" customHeight="1">
      <c r="A25" s="37" t="n"/>
      <c r="B25" s="22">
        <f>IF(A25="","",IFERROR(INT((A25-DATE(2026,4,27))/7)+1,""))</f>
        <v/>
      </c>
      <c r="C25" s="28" t="n"/>
      <c r="D25" s="38" t="n"/>
      <c r="E25" s="22">
        <f>IF(OR(C25="",D25=""),"",TEXT(D25/C25/1440,"m:ss"))</f>
        <v/>
      </c>
      <c r="F25" s="22" t="n"/>
      <c r="G25" s="22" t="n"/>
      <c r="H25" s="22" t="n"/>
      <c r="I25" s="22" t="n"/>
      <c r="J25" s="26" t="n"/>
    </row>
    <row r="26" ht="18" customHeight="1">
      <c r="A26" s="35" t="n"/>
      <c r="B26" s="16">
        <f>IF(A26="","",IFERROR(INT((A26-DATE(2026,4,27))/7)+1,""))</f>
        <v/>
      </c>
      <c r="C26" s="27" t="n"/>
      <c r="D26" s="36" t="n"/>
      <c r="E26" s="16">
        <f>IF(OR(C26="",D26=""),"",TEXT(D26/C26/1440,"m:ss"))</f>
        <v/>
      </c>
      <c r="F26" s="16" t="n"/>
      <c r="G26" s="16" t="n"/>
      <c r="H26" s="16" t="n"/>
      <c r="I26" s="16" t="n"/>
      <c r="J26" s="20" t="n"/>
    </row>
    <row r="27" ht="18" customHeight="1">
      <c r="A27" s="37" t="n"/>
      <c r="B27" s="22">
        <f>IF(A27="","",IFERROR(INT((A27-DATE(2026,4,27))/7)+1,""))</f>
        <v/>
      </c>
      <c r="C27" s="28" t="n"/>
      <c r="D27" s="38" t="n"/>
      <c r="E27" s="22">
        <f>IF(OR(C27="",D27=""),"",TEXT(D27/C27/1440,"m:ss"))</f>
        <v/>
      </c>
      <c r="F27" s="22" t="n"/>
      <c r="G27" s="22" t="n"/>
      <c r="H27" s="22" t="n"/>
      <c r="I27" s="22" t="n"/>
      <c r="J27" s="26" t="n"/>
    </row>
    <row r="28" ht="18" customHeight="1">
      <c r="A28" s="35" t="n"/>
      <c r="B28" s="16">
        <f>IF(A28="","",IFERROR(INT((A28-DATE(2026,4,27))/7)+1,""))</f>
        <v/>
      </c>
      <c r="C28" s="27" t="n"/>
      <c r="D28" s="36" t="n"/>
      <c r="E28" s="16">
        <f>IF(OR(C28="",D28=""),"",TEXT(D28/C28/1440,"m:ss"))</f>
        <v/>
      </c>
      <c r="F28" s="16" t="n"/>
      <c r="G28" s="16" t="n"/>
      <c r="H28" s="16" t="n"/>
      <c r="I28" s="16" t="n"/>
      <c r="J28" s="20" t="n"/>
    </row>
    <row r="29" ht="18" customHeight="1">
      <c r="A29" s="37" t="n"/>
      <c r="B29" s="22">
        <f>IF(A29="","",IFERROR(INT((A29-DATE(2026,4,27))/7)+1,""))</f>
        <v/>
      </c>
      <c r="C29" s="28" t="n"/>
      <c r="D29" s="38" t="n"/>
      <c r="E29" s="22">
        <f>IF(OR(C29="",D29=""),"",TEXT(D29/C29/1440,"m:ss"))</f>
        <v/>
      </c>
      <c r="F29" s="22" t="n"/>
      <c r="G29" s="22" t="n"/>
      <c r="H29" s="22" t="n"/>
      <c r="I29" s="22" t="n"/>
      <c r="J29" s="26" t="n"/>
    </row>
    <row r="30" ht="18" customHeight="1">
      <c r="A30" s="35" t="n"/>
      <c r="B30" s="16">
        <f>IF(A30="","",IFERROR(INT((A30-DATE(2026,4,27))/7)+1,""))</f>
        <v/>
      </c>
      <c r="C30" s="27" t="n"/>
      <c r="D30" s="36" t="n"/>
      <c r="E30" s="16">
        <f>IF(OR(C30="",D30=""),"",TEXT(D30/C30/1440,"m:ss"))</f>
        <v/>
      </c>
      <c r="F30" s="16" t="n"/>
      <c r="G30" s="16" t="n"/>
      <c r="H30" s="16" t="n"/>
      <c r="I30" s="16" t="n"/>
      <c r="J30" s="20" t="n"/>
    </row>
    <row r="31" ht="18" customHeight="1">
      <c r="A31" s="37" t="n"/>
      <c r="B31" s="22">
        <f>IF(A31="","",IFERROR(INT((A31-DATE(2026,4,27))/7)+1,""))</f>
        <v/>
      </c>
      <c r="C31" s="28" t="n"/>
      <c r="D31" s="38" t="n"/>
      <c r="E31" s="22">
        <f>IF(OR(C31="",D31=""),"",TEXT(D31/C31/1440,"m:ss"))</f>
        <v/>
      </c>
      <c r="F31" s="22" t="n"/>
      <c r="G31" s="22" t="n"/>
      <c r="H31" s="22" t="n"/>
      <c r="I31" s="22" t="n"/>
      <c r="J31" s="26" t="n"/>
    </row>
    <row r="32" ht="18" customHeight="1">
      <c r="A32" s="35" t="n"/>
      <c r="B32" s="16">
        <f>IF(A32="","",IFERROR(INT((A32-DATE(2026,4,27))/7)+1,""))</f>
        <v/>
      </c>
      <c r="C32" s="27" t="n"/>
      <c r="D32" s="36" t="n"/>
      <c r="E32" s="16">
        <f>IF(OR(C32="",D32=""),"",TEXT(D32/C32/1440,"m:ss"))</f>
        <v/>
      </c>
      <c r="F32" s="16" t="n"/>
      <c r="G32" s="16" t="n"/>
      <c r="H32" s="16" t="n"/>
      <c r="I32" s="16" t="n"/>
      <c r="J32" s="20" t="n"/>
    </row>
    <row r="33" ht="18" customHeight="1">
      <c r="A33" s="37" t="n"/>
      <c r="B33" s="22">
        <f>IF(A33="","",IFERROR(INT((A33-DATE(2026,4,27))/7)+1,""))</f>
        <v/>
      </c>
      <c r="C33" s="28" t="n"/>
      <c r="D33" s="38" t="n"/>
      <c r="E33" s="22">
        <f>IF(OR(C33="",D33=""),"",TEXT(D33/C33/1440,"m:ss"))</f>
        <v/>
      </c>
      <c r="F33" s="22" t="n"/>
      <c r="G33" s="22" t="n"/>
      <c r="H33" s="22" t="n"/>
      <c r="I33" s="22" t="n"/>
      <c r="J33" s="26" t="n"/>
    </row>
    <row r="34" ht="18" customHeight="1">
      <c r="A34" s="35" t="n"/>
      <c r="B34" s="16">
        <f>IF(A34="","",IFERROR(INT((A34-DATE(2026,4,27))/7)+1,""))</f>
        <v/>
      </c>
      <c r="C34" s="27" t="n"/>
      <c r="D34" s="36" t="n"/>
      <c r="E34" s="16">
        <f>IF(OR(C34="",D34=""),"",TEXT(D34/C34/1440,"m:ss"))</f>
        <v/>
      </c>
      <c r="F34" s="16" t="n"/>
      <c r="G34" s="16" t="n"/>
      <c r="H34" s="16" t="n"/>
      <c r="I34" s="16" t="n"/>
      <c r="J34" s="20" t="n"/>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c r="B48" s="16">
        <f>IF(A48="","",IFERROR(INT((A48-DATE(2026,4,27))/7)+1,""))</f>
        <v/>
      </c>
      <c r="C48" s="36" t="n"/>
      <c r="D48" s="36" t="n"/>
      <c r="E48" s="36" t="n"/>
      <c r="F48" s="36" t="n"/>
      <c r="G48" s="36" t="n"/>
      <c r="H48" s="36" t="n"/>
      <c r="I48" s="20" t="n"/>
    </row>
    <row r="49" ht="18" customHeight="1">
      <c r="A49" s="37" t="n"/>
      <c r="B49" s="22">
        <f>IF(A49="","",IFERROR(INT((A49-DATE(2026,4,27))/7)+1,""))</f>
        <v/>
      </c>
      <c r="C49" s="38" t="n"/>
      <c r="D49" s="38" t="n"/>
      <c r="E49" s="38" t="n"/>
      <c r="F49" s="38" t="n"/>
      <c r="G49" s="38" t="n"/>
      <c r="H49" s="38" t="n"/>
      <c r="I49" s="26" t="n"/>
    </row>
    <row r="50" ht="18" customHeight="1">
      <c r="A50" s="35" t="n"/>
      <c r="B50" s="16">
        <f>IF(A50="","",IFERROR(INT((A50-DATE(2026,4,27))/7)+1,""))</f>
        <v/>
      </c>
      <c r="C50" s="36" t="n"/>
      <c r="D50" s="36" t="n"/>
      <c r="E50" s="36" t="n"/>
      <c r="F50" s="36" t="n"/>
      <c r="G50" s="36" t="n"/>
      <c r="H50" s="36" t="n"/>
      <c r="I50" s="20" t="n"/>
    </row>
    <row r="51" ht="18" customHeight="1">
      <c r="A51" s="37" t="n"/>
      <c r="B51" s="22">
        <f>IF(A51="","",IFERROR(INT((A51-DATE(2026,4,27))/7)+1,""))</f>
        <v/>
      </c>
      <c r="C51" s="38" t="n"/>
      <c r="D51" s="38" t="n"/>
      <c r="E51" s="38" t="n"/>
      <c r="F51" s="38" t="n"/>
      <c r="G51" s="38" t="n"/>
      <c r="H51" s="38" t="n"/>
      <c r="I51" s="26" t="n"/>
    </row>
    <row r="52" ht="18" customHeight="1">
      <c r="A52" s="35" t="n"/>
      <c r="B52" s="16">
        <f>IF(A52="","",IFERROR(INT((A52-DATE(2026,4,27))/7)+1,""))</f>
        <v/>
      </c>
      <c r="C52" s="36" t="n"/>
      <c r="D52" s="36" t="n"/>
      <c r="E52" s="36" t="n"/>
      <c r="F52" s="36" t="n"/>
      <c r="G52" s="36" t="n"/>
      <c r="H52" s="36" t="n"/>
      <c r="I52" s="20" t="n"/>
    </row>
    <row r="53" ht="18" customHeight="1">
      <c r="A53" s="37" t="n"/>
      <c r="B53" s="22">
        <f>IF(A53="","",IFERROR(INT((A53-DATE(2026,4,27))/7)+1,""))</f>
        <v/>
      </c>
      <c r="C53" s="38" t="n"/>
      <c r="D53" s="38" t="n"/>
      <c r="E53" s="38" t="n"/>
      <c r="F53" s="38" t="n"/>
      <c r="G53" s="38" t="n"/>
      <c r="H53" s="38" t="n"/>
      <c r="I53" s="26" t="n"/>
    </row>
    <row r="54" ht="18" customHeight="1">
      <c r="A54" s="35" t="n"/>
      <c r="B54" s="16">
        <f>IF(A54="","",IFERROR(INT((A54-DATE(2026,4,27))/7)+1,""))</f>
        <v/>
      </c>
      <c r="C54" s="36" t="n"/>
      <c r="D54" s="36" t="n"/>
      <c r="E54" s="36" t="n"/>
      <c r="F54" s="36" t="n"/>
      <c r="G54" s="36" t="n"/>
      <c r="H54" s="36" t="n"/>
      <c r="I54" s="20" t="n"/>
    </row>
    <row r="55" ht="18" customHeight="1">
      <c r="A55" s="37" t="n"/>
      <c r="B55" s="22">
        <f>IF(A55="","",IFERROR(INT((A55-DATE(2026,4,27))/7)+1,""))</f>
        <v/>
      </c>
      <c r="C55" s="38" t="n"/>
      <c r="D55" s="38" t="n"/>
      <c r="E55" s="38" t="n"/>
      <c r="F55" s="38" t="n"/>
      <c r="G55" s="38" t="n"/>
      <c r="H55" s="38" t="n"/>
      <c r="I55" s="26" t="n"/>
    </row>
    <row r="56" ht="18" customHeight="1">
      <c r="A56" s="35" t="n"/>
      <c r="B56" s="16">
        <f>IF(A56="","",IFERROR(INT((A56-DATE(2026,4,27))/7)+1,""))</f>
        <v/>
      </c>
      <c r="C56" s="36" t="n"/>
      <c r="D56" s="36" t="n"/>
      <c r="E56" s="36" t="n"/>
      <c r="F56" s="36" t="n"/>
      <c r="G56" s="36" t="n"/>
      <c r="H56" s="36" t="n"/>
      <c r="I56" s="20" t="n"/>
    </row>
    <row r="57" ht="18" customHeight="1">
      <c r="A57" s="37" t="n"/>
      <c r="B57" s="22">
        <f>IF(A57="","",IFERROR(INT((A57-DATE(2026,4,27))/7)+1,""))</f>
        <v/>
      </c>
      <c r="C57" s="38" t="n"/>
      <c r="D57" s="38" t="n"/>
      <c r="E57" s="38" t="n"/>
      <c r="F57" s="38" t="n"/>
      <c r="G57" s="38" t="n"/>
      <c r="H57" s="38" t="n"/>
      <c r="I57" s="26" t="n"/>
    </row>
    <row r="58" ht="18" customHeight="1">
      <c r="A58" s="35" t="n"/>
      <c r="B58" s="16">
        <f>IF(A58="","",IFERROR(INT((A58-DATE(2026,4,27))/7)+1,""))</f>
        <v/>
      </c>
      <c r="C58" s="36" t="n"/>
      <c r="D58" s="36" t="n"/>
      <c r="E58" s="36" t="n"/>
      <c r="F58" s="36" t="n"/>
      <c r="G58" s="36" t="n"/>
      <c r="H58" s="36" t="n"/>
      <c r="I58" s="20" t="n"/>
    </row>
    <row r="59" ht="18" customHeight="1">
      <c r="A59" s="37" t="n"/>
      <c r="B59" s="22">
        <f>IF(A59="","",IFERROR(INT((A59-DATE(2026,4,27))/7)+1,""))</f>
        <v/>
      </c>
      <c r="C59" s="38" t="n"/>
      <c r="D59" s="38" t="n"/>
      <c r="E59" s="38" t="n"/>
      <c r="F59" s="38" t="n"/>
      <c r="G59" s="38" t="n"/>
      <c r="H59" s="38" t="n"/>
      <c r="I59" s="26" t="n"/>
    </row>
    <row r="60" ht="18" customHeight="1">
      <c r="A60" s="35" t="n"/>
      <c r="B60" s="16">
        <f>IF(A60="","",IFERROR(INT((A60-DATE(2026,4,27))/7)+1,""))</f>
        <v/>
      </c>
      <c r="C60" s="36" t="n"/>
      <c r="D60" s="36" t="n"/>
      <c r="E60" s="36" t="n"/>
      <c r="F60" s="36" t="n"/>
      <c r="G60" s="36" t="n"/>
      <c r="H60" s="36" t="n"/>
      <c r="I60" s="20" t="n"/>
    </row>
    <row r="61" ht="18" customHeight="1">
      <c r="A61" s="37" t="n"/>
      <c r="B61" s="22">
        <f>IF(A61="","",IFERROR(INT((A61-DATE(2026,4,27))/7)+1,""))</f>
        <v/>
      </c>
      <c r="C61" s="38" t="n"/>
      <c r="D61" s="38" t="n"/>
      <c r="E61" s="38" t="n"/>
      <c r="F61" s="38" t="n"/>
      <c r="G61" s="38" t="n"/>
      <c r="H61" s="38" t="n"/>
      <c r="I61" s="26" t="n"/>
    </row>
    <row r="62" ht="18" customHeight="1">
      <c r="A62" s="35" t="n"/>
      <c r="B62" s="16">
        <f>IF(A62="","",IFERROR(INT((A62-DATE(2026,4,27))/7)+1,""))</f>
        <v/>
      </c>
      <c r="C62" s="36" t="n"/>
      <c r="D62" s="36" t="n"/>
      <c r="E62" s="36" t="n"/>
      <c r="F62" s="36" t="n"/>
      <c r="G62" s="36" t="n"/>
      <c r="H62" s="36" t="n"/>
      <c r="I62" s="20" t="n"/>
    </row>
    <row r="63" ht="18" customHeight="1">
      <c r="A63" s="37" t="n"/>
      <c r="B63" s="22">
        <f>IF(A63="","",IFERROR(INT((A63-DATE(2026,4,27))/7)+1,""))</f>
        <v/>
      </c>
      <c r="C63" s="38" t="n"/>
      <c r="D63" s="38" t="n"/>
      <c r="E63" s="38" t="n"/>
      <c r="F63" s="38" t="n"/>
      <c r="G63" s="38" t="n"/>
      <c r="H63" s="38" t="n"/>
      <c r="I63" s="26" t="n"/>
    </row>
    <row r="64" ht="18" customHeight="1">
      <c r="A64" s="35" t="n"/>
      <c r="B64" s="16">
        <f>IF(A64="","",IFERROR(INT((A64-DATE(2026,4,27))/7)+1,""))</f>
        <v/>
      </c>
      <c r="C64" s="36" t="n"/>
      <c r="D64" s="36" t="n"/>
      <c r="E64" s="36" t="n"/>
      <c r="F64" s="36" t="n"/>
      <c r="G64" s="36" t="n"/>
      <c r="H64" s="36" t="n"/>
      <c r="I64" s="20" t="n"/>
    </row>
    <row r="65" ht="18" customHeight="1">
      <c r="A65" s="37" t="n"/>
      <c r="B65" s="22">
        <f>IF(A65="","",IFERROR(INT((A65-DATE(2026,4,27))/7)+1,""))</f>
        <v/>
      </c>
      <c r="C65" s="38" t="n"/>
      <c r="D65" s="38" t="n"/>
      <c r="E65" s="38" t="n"/>
      <c r="F65" s="38" t="n"/>
      <c r="G65" s="38" t="n"/>
      <c r="H65" s="38" t="n"/>
      <c r="I65" s="26" t="n"/>
    </row>
    <row r="66" ht="18" customHeight="1">
      <c r="A66" s="35" t="n"/>
      <c r="B66" s="16">
        <f>IF(A66="","",IFERROR(INT((A66-DATE(2026,4,27))/7)+1,""))</f>
        <v/>
      </c>
      <c r="C66" s="36" t="n"/>
      <c r="D66" s="36" t="n"/>
      <c r="E66" s="36" t="n"/>
      <c r="F66" s="36" t="n"/>
      <c r="G66" s="36" t="n"/>
      <c r="H66" s="36" t="n"/>
      <c r="I66" s="20" t="n"/>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2026-07-02T11:01:25Z</dcterms:created>
  <dcterms:modified xmlns:dcterms="http://purl.org/dc/terms/" xmlns:xsi="http://www.w3.org/2001/XMLSchema-instance" xsi:type="dcterms:W3CDTF">2026-09-21T20:48:15Z</dcterms:modified>
</cp:coreProperties>
</file>