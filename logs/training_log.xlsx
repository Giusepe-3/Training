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7" t="n">
        <v>46310</v>
      </c>
      <c r="B31" s="22">
        <f>IF(A31="","",IFERROR(INT((A31-DATE(2026,4,27))/7)+1,""))</f>
        <v/>
      </c>
      <c r="C31" s="28" t="n">
        <v>4.02</v>
      </c>
      <c r="D31" s="38" t="n">
        <v>28.85</v>
      </c>
      <c r="E31" s="22">
        <f>IF(OR(C31="",D31=""),"",TEXT(D31/C31/1440,"m:ss"))</f>
        <v/>
      </c>
      <c r="F31" s="22" t="n">
        <v>142</v>
      </c>
      <c r="G31" s="22" t="n">
        <v>157</v>
      </c>
      <c r="H31" s="22" t="n"/>
      <c r="I31" s="22" t="inlineStr">
        <is>
          <t>Easy</t>
        </is>
      </c>
      <c r="J31" s="26" t="inlineStr">
        <is>
          <t>5K Wk 2 Thu - EASY 4 k, AM 07:49 before Gym #2. Moving 28:51 (7:11), elapsed 29:36 (35 s stop km 3). Laps 7:05@124 / 7:00@147 / 7:34@146 (+9 m) / 7:05@151. HR cap obeyed. Cadence 160/163/162/162 - under 166 floor all run. RPE n/r. SHIN CLEAN #48.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c r="I32" s="16" t="inlineStr">
        <is>
          <t>Threshold</t>
        </is>
      </c>
      <c r="J32" s="20" t="inlineStr">
        <is>
          <t>5K Wk 2 Sat - THRESHOLD 2x~1.9 k, Sonderborg (travel). PM 13:51. Moving 42:30 (6:14), elapsed 45:23. WU ~2 k 6:30-7:00 @145-155; 3 strides ~4:00-4:30 (hot); rep 1 ~1.9 k @ ~5:26-5:31 HR 177-182; ~2:15 jog; rep 2 ~1.9 k @ ~5:33 HR 176-184, faded last ~750 m; CD skipped. HR cap 175 broken both reps: +10 bpm vs 10/6 at same pace. Cadence reps 165/167. RPE n/r, shin n/r. Strava 20620965276.</t>
        </is>
      </c>
      <c r="K32" t="n">
        <v>0</v>
      </c>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#49. BW 77.35 (+0.75 vs 10/15) single point after 6-day hole + travel weekend, no kcal change. 10/16-10/20: only Sat 10/17 run logged; Sun long, Mon gym, Tue 3 K TT not on Strava. Gates green -&gt; 3 K TT today PM or Thu.</t>
        </is>
      </c>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2026-10-21T05:05:11Z</dcterms:modified>
</cp:coreProperties>
</file>