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/>
      <c r="B264" s="16">
        <f>IF(A264="","",IFERROR(INT((A264-DATE(2026,4,27))/7)+1,""))</f>
        <v/>
      </c>
      <c r="C264" s="16" t="n"/>
      <c r="D264" s="17" t="n"/>
      <c r="E264" s="16" t="n"/>
      <c r="F264" s="16" t="n"/>
      <c r="G264" s="36" t="n"/>
      <c r="H264" s="16" t="n"/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/>
      <c r="B265" s="22">
        <f>IF(A265="","",IFERROR(INT((A265-DATE(2026,4,27))/7)+1,""))</f>
        <v/>
      </c>
      <c r="C265" s="22" t="n"/>
      <c r="D265" s="23" t="n"/>
      <c r="E265" s="22" t="n"/>
      <c r="F265" s="22" t="n"/>
      <c r="G265" s="38" t="n"/>
      <c r="H265" s="22" t="n"/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/>
      <c r="B266" s="16">
        <f>IF(A266="","",IFERROR(INT((A266-DATE(2026,4,27))/7)+1,""))</f>
        <v/>
      </c>
      <c r="C266" s="16" t="n"/>
      <c r="D266" s="17" t="n"/>
      <c r="E266" s="16" t="n"/>
      <c r="F266" s="16" t="n"/>
      <c r="G266" s="36" t="n"/>
      <c r="H266" s="16" t="n"/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/>
      <c r="B267" s="22">
        <f>IF(A267="","",IFERROR(INT((A267-DATE(2026,4,27))/7)+1,""))</f>
        <v/>
      </c>
      <c r="C267" s="22" t="n"/>
      <c r="D267" s="23" t="n"/>
      <c r="E267" s="22" t="n"/>
      <c r="F267" s="22" t="n"/>
      <c r="G267" s="38" t="n"/>
      <c r="H267" s="22" t="n"/>
      <c r="I267" s="25">
        <f>IF(OR(F267="",G267=""),"",F267*G267)</f>
        <v/>
      </c>
      <c r="J267" s="38">
        <f>IF(OR(F267="",G267=""),"",ROUND(G267*(1+F267/30),1))</f>
        <v/>
      </c>
      <c r="K267" s="26" t="n"/>
    </row>
    <row r="268" ht="18" customHeight="1">
      <c r="A268" s="35" t="n"/>
      <c r="B268" s="16">
        <f>IF(A268="","",IFERROR(INT((A268-DATE(2026,4,27))/7)+1,""))</f>
        <v/>
      </c>
      <c r="C268" s="16" t="n"/>
      <c r="D268" s="17" t="n"/>
      <c r="E268" s="16" t="n"/>
      <c r="F268" s="16" t="n"/>
      <c r="G268" s="36" t="n"/>
      <c r="H268" s="16" t="n"/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/>
      <c r="B269" s="22">
        <f>IF(A269="","",IFERROR(INT((A269-DATE(2026,4,27))/7)+1,""))</f>
        <v/>
      </c>
      <c r="C269" s="22" t="n"/>
      <c r="D269" s="23" t="n"/>
      <c r="E269" s="22" t="n"/>
      <c r="F269" s="22" t="n"/>
      <c r="G269" s="38" t="n"/>
      <c r="H269" s="22" t="n"/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/>
      <c r="B270" s="16">
        <f>IF(A270="","",IFERROR(INT((A270-DATE(2026,4,27))/7)+1,""))</f>
        <v/>
      </c>
      <c r="C270" s="16" t="n"/>
      <c r="D270" s="17" t="n"/>
      <c r="E270" s="16" t="n"/>
      <c r="F270" s="16" t="n"/>
      <c r="G270" s="36" t="n"/>
      <c r="H270" s="16" t="n"/>
      <c r="I270" s="19">
        <f>IF(OR(F270="",G270=""),"",F270*G270)</f>
        <v/>
      </c>
      <c r="J270" s="36">
        <f>IF(OR(F270="",G270=""),"",ROUND(G270*(1+F270/30),1))</f>
        <v/>
      </c>
      <c r="K270" s="20" t="n"/>
    </row>
    <row r="271" ht="18" customHeight="1">
      <c r="A271" s="37" t="n"/>
      <c r="B271" s="22">
        <f>IF(A271="","",IFERROR(INT((A271-DATE(2026,4,27))/7)+1,""))</f>
        <v/>
      </c>
      <c r="C271" s="22" t="n"/>
      <c r="D271" s="23" t="n"/>
      <c r="E271" s="22" t="n"/>
      <c r="F271" s="22" t="n"/>
      <c r="G271" s="38" t="n"/>
      <c r="H271" s="22" t="n"/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/>
      <c r="B272" s="16">
        <f>IF(A272="","",IFERROR(INT((A272-DATE(2026,4,27))/7)+1,""))</f>
        <v/>
      </c>
      <c r="C272" s="16" t="n"/>
      <c r="D272" s="17" t="n"/>
      <c r="E272" s="16" t="n"/>
      <c r="F272" s="16" t="n"/>
      <c r="G272" s="36" t="n"/>
      <c r="H272" s="16" t="n"/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/>
      <c r="B273" s="22">
        <f>IF(A273="","",IFERROR(INT((A273-DATE(2026,4,27))/7)+1,""))</f>
        <v/>
      </c>
      <c r="C273" s="22" t="n"/>
      <c r="D273" s="23" t="n"/>
      <c r="E273" s="22" t="n"/>
      <c r="F273" s="22" t="n"/>
      <c r="G273" s="38" t="n"/>
      <c r="H273" s="22" t="n"/>
      <c r="I273" s="25">
        <f>IF(OR(F273="",G273=""),"",F273*G273)</f>
        <v/>
      </c>
      <c r="J273" s="38">
        <f>IF(OR(F273="",G273=""),"",ROUND(G273*(1+F273/30),1))</f>
        <v/>
      </c>
      <c r="K273" s="26" t="n"/>
    </row>
    <row r="274" ht="18" customHeight="1">
      <c r="A274" s="35" t="n"/>
      <c r="B274" s="16">
        <f>IF(A274="","",IFERROR(INT((A274-DATE(2026,4,27))/7)+1,""))</f>
        <v/>
      </c>
      <c r="C274" s="16" t="n"/>
      <c r="D274" s="17" t="n"/>
      <c r="E274" s="16" t="n"/>
      <c r="F274" s="16" t="n"/>
      <c r="G274" s="36" t="n"/>
      <c r="H274" s="16" t="n"/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/>
      <c r="B275" s="22">
        <f>IF(A275="","",IFERROR(INT((A275-DATE(2026,4,27))/7)+1,""))</f>
        <v/>
      </c>
      <c r="C275" s="22" t="n"/>
      <c r="D275" s="23" t="n"/>
      <c r="E275" s="22" t="n"/>
      <c r="F275" s="22" t="n"/>
      <c r="G275" s="38" t="n"/>
      <c r="H275" s="22" t="n"/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/>
      <c r="B276" s="16">
        <f>IF(A276="","",IFERROR(INT((A276-DATE(2026,4,27))/7)+1,""))</f>
        <v/>
      </c>
      <c r="C276" s="16" t="n"/>
      <c r="D276" s="17" t="n"/>
      <c r="E276" s="16" t="n"/>
      <c r="F276" s="16" t="n"/>
      <c r="G276" s="36" t="n"/>
      <c r="H276" s="16" t="n"/>
      <c r="I276" s="19">
        <f>IF(OR(F276="",G276=""),"",F276*G276)</f>
        <v/>
      </c>
      <c r="J276" s="36">
        <f>IF(OR(F276="",G276=""),"",ROUND(G276*(1+F276/30),1))</f>
        <v/>
      </c>
      <c r="K276" s="20" t="n"/>
    </row>
    <row r="277" ht="18" customHeight="1">
      <c r="A277" s="37" t="n"/>
      <c r="B277" s="22">
        <f>IF(A277="","",IFERROR(INT((A277-DATE(2026,4,27))/7)+1,""))</f>
        <v/>
      </c>
      <c r="C277" s="22" t="n"/>
      <c r="D277" s="23" t="n"/>
      <c r="E277" s="22" t="n"/>
      <c r="F277" s="22" t="n"/>
      <c r="G277" s="38" t="n"/>
      <c r="H277" s="22" t="n"/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/>
      <c r="B278" s="16">
        <f>IF(A278="","",IFERROR(INT((A278-DATE(2026,4,27))/7)+1,""))</f>
        <v/>
      </c>
      <c r="C278" s="16" t="n"/>
      <c r="D278" s="17" t="n"/>
      <c r="E278" s="16" t="n"/>
      <c r="F278" s="16" t="n"/>
      <c r="G278" s="36" t="n"/>
      <c r="H278" s="16" t="n"/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/>
      <c r="B279" s="22">
        <f>IF(A279="","",IFERROR(INT((A279-DATE(2026,4,27))/7)+1,""))</f>
        <v/>
      </c>
      <c r="C279" s="22" t="n"/>
      <c r="D279" s="23" t="n"/>
      <c r="E279" s="22" t="n"/>
      <c r="F279" s="22" t="n"/>
      <c r="G279" s="38" t="n"/>
      <c r="H279" s="22" t="n"/>
      <c r="I279" s="25">
        <f>IF(OR(F279="",G279=""),"",F279*G279)</f>
        <v/>
      </c>
      <c r="J279" s="38">
        <f>IF(OR(F279="",G279=""),"",ROUND(G279*(1+F279/30),1))</f>
        <v/>
      </c>
      <c r="K279" s="26" t="n"/>
    </row>
    <row r="280" ht="18" customHeight="1">
      <c r="A280" s="35" t="n"/>
      <c r="B280" s="16">
        <f>IF(A280="","",IFERROR(INT((A280-DATE(2026,4,27))/7)+1,""))</f>
        <v/>
      </c>
      <c r="C280" s="16" t="n"/>
      <c r="D280" s="17" t="n"/>
      <c r="E280" s="16" t="n"/>
      <c r="F280" s="16" t="n"/>
      <c r="G280" s="36" t="n"/>
      <c r="H280" s="16" t="n"/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/>
      <c r="B281" s="22">
        <f>IF(A281="","",IFERROR(INT((A281-DATE(2026,4,27))/7)+1,""))</f>
        <v/>
      </c>
      <c r="C281" s="22" t="n"/>
      <c r="D281" s="23" t="n"/>
      <c r="E281" s="22" t="n"/>
      <c r="F281" s="22" t="n"/>
      <c r="G281" s="38" t="n"/>
      <c r="H281" s="22" t="n"/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/>
      <c r="B282" s="16">
        <f>IF(A282="","",IFERROR(INT((A282-DATE(2026,4,27))/7)+1,""))</f>
        <v/>
      </c>
      <c r="C282" s="16" t="n"/>
      <c r="D282" s="17" t="n"/>
      <c r="E282" s="16" t="n"/>
      <c r="F282" s="16" t="n"/>
      <c r="G282" s="36" t="n"/>
      <c r="H282" s="16" t="n"/>
      <c r="I282" s="19">
        <f>IF(OR(F282="",G282=""),"",F282*G282)</f>
        <v/>
      </c>
      <c r="J282" s="36">
        <f>IF(OR(F282="",G282=""),"",ROUND(G282*(1+F282/30),1))</f>
        <v/>
      </c>
      <c r="K282" s="20" t="n"/>
    </row>
    <row r="283" ht="18" customHeight="1">
      <c r="A283" s="37" t="n"/>
      <c r="B283" s="22">
        <f>IF(A283="","",IFERROR(INT((A283-DATE(2026,4,27))/7)+1,""))</f>
        <v/>
      </c>
      <c r="C283" s="22" t="n"/>
      <c r="D283" s="23" t="n"/>
      <c r="E283" s="22" t="n"/>
      <c r="F283" s="22" t="n"/>
      <c r="G283" s="38" t="n"/>
      <c r="H283" s="22" t="n"/>
      <c r="I283" s="25">
        <f>IF(OR(F283="",G283=""),"",F283*G283)</f>
        <v/>
      </c>
      <c r="J283" s="38">
        <f>IF(OR(F283="",G283=""),"",ROUND(G283*(1+F283/30),1))</f>
        <v/>
      </c>
      <c r="K283" s="26" t="n"/>
    </row>
    <row r="284" ht="18" customHeight="1">
      <c r="A284" s="35" t="n"/>
      <c r="B284" s="16">
        <f>IF(A284="","",IFERROR(INT((A284-DATE(2026,4,27))/7)+1,""))</f>
        <v/>
      </c>
      <c r="C284" s="16" t="n"/>
      <c r="D284" s="17" t="n"/>
      <c r="E284" s="16" t="n"/>
      <c r="F284" s="16" t="n"/>
      <c r="G284" s="36" t="n"/>
      <c r="H284" s="16" t="n"/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/>
      <c r="B285" s="22">
        <f>IF(A285="","",IFERROR(INT((A285-DATE(2026,4,27))/7)+1,""))</f>
        <v/>
      </c>
      <c r="C285" s="22" t="n"/>
      <c r="D285" s="23" t="n"/>
      <c r="E285" s="22" t="n"/>
      <c r="F285" s="22" t="n"/>
      <c r="G285" s="38" t="n"/>
      <c r="H285" s="22" t="n"/>
      <c r="I285" s="25">
        <f>IF(OR(F285="",G285=""),"",F285*G285)</f>
        <v/>
      </c>
      <c r="J285" s="38">
        <f>IF(OR(F285="",G285=""),"",ROUND(G285*(1+F285/30),1))</f>
        <v/>
      </c>
      <c r="K285" s="26" t="n"/>
    </row>
    <row r="286" ht="18" customHeight="1">
      <c r="A286" s="35" t="n"/>
      <c r="B286" s="16">
        <f>IF(A286="","",IFERROR(INT((A286-DATE(2026,4,27))/7)+1,""))</f>
        <v/>
      </c>
      <c r="C286" s="16" t="n"/>
      <c r="D286" s="17" t="n"/>
      <c r="E286" s="16" t="n"/>
      <c r="F286" s="16" t="n"/>
      <c r="G286" s="36" t="n"/>
      <c r="H286" s="16" t="n"/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/>
      <c r="B287" s="22">
        <f>IF(A287="","",IFERROR(INT((A287-DATE(2026,4,27))/7)+1,""))</f>
        <v/>
      </c>
      <c r="C287" s="22" t="n"/>
      <c r="D287" s="23" t="n"/>
      <c r="E287" s="22" t="n"/>
      <c r="F287" s="22" t="n"/>
      <c r="G287" s="38" t="n"/>
      <c r="H287" s="22" t="n"/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/>
      <c r="B288" s="16">
        <f>IF(A288="","",IFERROR(INT((A288-DATE(2026,4,27))/7)+1,""))</f>
        <v/>
      </c>
      <c r="C288" s="16" t="n"/>
      <c r="D288" s="17" t="n"/>
      <c r="E288" s="16" t="n"/>
      <c r="F288" s="16" t="n"/>
      <c r="G288" s="36" t="n"/>
      <c r="H288" s="16" t="n"/>
      <c r="I288" s="19">
        <f>IF(OR(F288="",G288=""),"",F288*G288)</f>
        <v/>
      </c>
      <c r="J288" s="36">
        <f>IF(OR(F288="",G288=""),"",ROUND(G288*(1+F288/30),1))</f>
        <v/>
      </c>
      <c r="K288" s="20" t="n"/>
    </row>
    <row r="289" ht="18" customHeight="1">
      <c r="A289" s="37" t="n"/>
      <c r="B289" s="22">
        <f>IF(A289="","",IFERROR(INT((A289-DATE(2026,4,27))/7)+1,""))</f>
        <v/>
      </c>
      <c r="C289" s="22" t="n"/>
      <c r="D289" s="23" t="n"/>
      <c r="E289" s="22" t="n"/>
      <c r="F289" s="22" t="n"/>
      <c r="G289" s="38" t="n"/>
      <c r="H289" s="22" t="n"/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/>
      <c r="B290" s="16">
        <f>IF(A290="","",IFERROR(INT((A290-DATE(2026,4,27))/7)+1,""))</f>
        <v/>
      </c>
      <c r="C290" s="16" t="n"/>
      <c r="D290" s="17" t="n"/>
      <c r="E290" s="16" t="n"/>
      <c r="F290" s="16" t="n"/>
      <c r="G290" s="36" t="n"/>
      <c r="H290" s="16" t="n"/>
      <c r="I290" s="19">
        <f>IF(OR(F290="",G290=""),"",F290*G290)</f>
        <v/>
      </c>
      <c r="J290" s="36">
        <f>IF(OR(F290="",G290=""),"",ROUND(G290*(1+F290/30),1))</f>
        <v/>
      </c>
      <c r="K290" s="20" t="n"/>
    </row>
    <row r="291" ht="18" customHeight="1">
      <c r="A291" s="37" t="n"/>
      <c r="B291" s="22">
        <f>IF(A291="","",IFERROR(INT((A291-DATE(2026,4,27))/7)+1,""))</f>
        <v/>
      </c>
      <c r="C291" s="22" t="n"/>
      <c r="D291" s="23" t="n"/>
      <c r="E291" s="22" t="n"/>
      <c r="F291" s="22" t="n"/>
      <c r="G291" s="38" t="n"/>
      <c r="H291" s="22" t="n"/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/>
      <c r="B292" s="16">
        <f>IF(A292="","",IFERROR(INT((A292-DATE(2026,4,27))/7)+1,""))</f>
        <v/>
      </c>
      <c r="C292" s="16" t="n"/>
      <c r="D292" s="17" t="n"/>
      <c r="E292" s="16" t="n"/>
      <c r="F292" s="16" t="n"/>
      <c r="G292" s="36" t="n"/>
      <c r="H292" s="16" t="n"/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/>
      <c r="B293" s="22">
        <f>IF(A293="","",IFERROR(INT((A293-DATE(2026,4,27))/7)+1,""))</f>
        <v/>
      </c>
      <c r="C293" s="22" t="n"/>
      <c r="D293" s="23" t="n"/>
      <c r="E293" s="22" t="n"/>
      <c r="F293" s="22" t="n"/>
      <c r="G293" s="38" t="n"/>
      <c r="H293" s="22" t="n"/>
      <c r="I293" s="25">
        <f>IF(OR(F293="",G293=""),"",F293*G293)</f>
        <v/>
      </c>
      <c r="J293" s="38">
        <f>IF(OR(F293="",G293=""),"",ROUND(G293*(1+F293/30),1))</f>
        <v/>
      </c>
      <c r="K293" s="26" t="n"/>
    </row>
    <row r="294" ht="18" customHeight="1">
      <c r="A294" s="35" t="n"/>
      <c r="B294" s="16">
        <f>IF(A294="","",IFERROR(INT((A294-DATE(2026,4,27))/7)+1,""))</f>
        <v/>
      </c>
      <c r="C294" s="16" t="n"/>
      <c r="D294" s="17" t="n"/>
      <c r="E294" s="16" t="n"/>
      <c r="F294" s="16" t="n"/>
      <c r="G294" s="36" t="n"/>
      <c r="H294" s="16" t="n"/>
      <c r="I294" s="19">
        <f>IF(OR(F294="",G294=""),"",F294*G294)</f>
        <v/>
      </c>
      <c r="J294" s="36">
        <f>IF(OR(F294="",G294=""),"",ROUND(G294*(1+F294/30),1))</f>
        <v/>
      </c>
      <c r="K294" s="20" t="n"/>
    </row>
    <row r="295" ht="18" customHeight="1">
      <c r="A295" s="37" t="n"/>
      <c r="B295" s="22">
        <f>IF(A295="","",IFERROR(INT((A295-DATE(2026,4,27))/7)+1,""))</f>
        <v/>
      </c>
      <c r="C295" s="22" t="n"/>
      <c r="D295" s="23" t="n"/>
      <c r="E295" s="22" t="n"/>
      <c r="F295" s="22" t="n"/>
      <c r="G295" s="38" t="n"/>
      <c r="H295" s="22" t="n"/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/>
      <c r="B296" s="16">
        <f>IF(A296="","",IFERROR(INT((A296-DATE(2026,4,27))/7)+1,""))</f>
        <v/>
      </c>
      <c r="C296" s="16" t="n"/>
      <c r="D296" s="17" t="n"/>
      <c r="E296" s="16" t="n"/>
      <c r="F296" s="16" t="n"/>
      <c r="G296" s="36" t="n"/>
      <c r="H296" s="16" t="n"/>
      <c r="I296" s="19">
        <f>IF(OR(F296="",G296=""),"",F296*G296)</f>
        <v/>
      </c>
      <c r="J296" s="36">
        <f>IF(OR(F296="",G296=""),"",ROUND(G296*(1+F296/30),1))</f>
        <v/>
      </c>
      <c r="K296" s="20" t="n"/>
    </row>
    <row r="297" ht="18" customHeight="1">
      <c r="A297" s="37" t="n"/>
      <c r="B297" s="22">
        <f>IF(A297="","",IFERROR(INT((A297-DATE(2026,4,27))/7)+1,""))</f>
        <v/>
      </c>
      <c r="C297" s="22" t="n"/>
      <c r="D297" s="23" t="n"/>
      <c r="E297" s="22" t="n"/>
      <c r="F297" s="22" t="n"/>
      <c r="G297" s="38" t="n"/>
      <c r="H297" s="22" t="n"/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/>
      <c r="B298" s="16">
        <f>IF(A298="","",IFERROR(INT((A298-DATE(2026,4,27))/7)+1,""))</f>
        <v/>
      </c>
      <c r="C298" s="16" t="n"/>
      <c r="D298" s="17" t="n"/>
      <c r="E298" s="16" t="n"/>
      <c r="F298" s="16" t="n"/>
      <c r="G298" s="36" t="n"/>
      <c r="H298" s="16" t="n"/>
      <c r="I298" s="19">
        <f>IF(OR(F298="",G298=""),"",F298*G298)</f>
        <v/>
      </c>
      <c r="J298" s="36">
        <f>IF(OR(F298="",G298=""),"",ROUND(G298*(1+F298/30),1))</f>
        <v/>
      </c>
      <c r="K298" s="20" t="n"/>
    </row>
    <row r="299" ht="18" customHeight="1">
      <c r="A299" s="37" t="n"/>
      <c r="B299" s="22">
        <f>IF(A299="","",IFERROR(INT((A299-DATE(2026,4,27))/7)+1,""))</f>
        <v/>
      </c>
      <c r="C299" s="22" t="n"/>
      <c r="D299" s="23" t="n"/>
      <c r="E299" s="22" t="n"/>
      <c r="F299" s="22" t="n"/>
      <c r="G299" s="38" t="n"/>
      <c r="H299" s="22" t="n"/>
      <c r="I299" s="25">
        <f>IF(OR(F299="",G299=""),"",F299*G299)</f>
        <v/>
      </c>
      <c r="J299" s="38">
        <f>IF(OR(F299="",G299=""),"",ROUND(G299*(1+F299/30),1))</f>
        <v/>
      </c>
      <c r="K299" s="26" t="n"/>
    </row>
    <row r="300" ht="18" customHeight="1">
      <c r="A300" s="35" t="n"/>
      <c r="B300" s="16">
        <f>IF(A300="","",IFERROR(INT((A300-DATE(2026,4,27))/7)+1,""))</f>
        <v/>
      </c>
      <c r="C300" s="16" t="n"/>
      <c r="D300" s="17" t="n"/>
      <c r="E300" s="16" t="n"/>
      <c r="F300" s="16" t="n"/>
      <c r="G300" s="36" t="n"/>
      <c r="H300" s="16" t="n"/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/>
      <c r="B301" s="22">
        <f>IF(A301="","",IFERROR(INT((A301-DATE(2026,4,27))/7)+1,""))</f>
        <v/>
      </c>
      <c r="C301" s="22" t="n"/>
      <c r="D301" s="23" t="n"/>
      <c r="E301" s="22" t="n"/>
      <c r="F301" s="22" t="n"/>
      <c r="G301" s="38" t="n"/>
      <c r="H301" s="22" t="n"/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/>
      <c r="B302" s="16">
        <f>IF(A302="","",IFERROR(INT((A302-DATE(2026,4,27))/7)+1,""))</f>
        <v/>
      </c>
      <c r="C302" s="16" t="n"/>
      <c r="D302" s="17" t="n"/>
      <c r="E302" s="16" t="n"/>
      <c r="F302" s="16" t="n"/>
      <c r="G302" s="36" t="n"/>
      <c r="H302" s="16" t="n"/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/>
      <c r="B303" s="22">
        <f>IF(A303="","",IFERROR(INT((A303-DATE(2026,4,27))/7)+1,""))</f>
        <v/>
      </c>
      <c r="C303" s="22" t="n"/>
      <c r="D303" s="23" t="n"/>
      <c r="E303" s="22" t="n"/>
      <c r="F303" s="22" t="n"/>
      <c r="G303" s="38" t="n"/>
      <c r="H303" s="22" t="n"/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/>
      <c r="B304" s="16">
        <f>IF(A304="","",IFERROR(INT((A304-DATE(2026,4,27))/7)+1,""))</f>
        <v/>
      </c>
      <c r="C304" s="16" t="n"/>
      <c r="D304" s="17" t="n"/>
      <c r="E304" s="16" t="n"/>
      <c r="F304" s="16" t="n"/>
      <c r="G304" s="36" t="n"/>
      <c r="H304" s="16" t="n"/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/>
      <c r="B305" s="22">
        <f>IF(A305="","",IFERROR(INT((A305-DATE(2026,4,27))/7)+1,""))</f>
        <v/>
      </c>
      <c r="C305" s="22" t="n"/>
      <c r="D305" s="23" t="n"/>
      <c r="E305" s="22" t="n"/>
      <c r="F305" s="22" t="n"/>
      <c r="G305" s="38" t="n"/>
      <c r="H305" s="22" t="n"/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/>
      <c r="B306" s="16">
        <f>IF(A306="","",IFERROR(INT((A306-DATE(2026,4,27))/7)+1,""))</f>
        <v/>
      </c>
      <c r="C306" s="16" t="n"/>
      <c r="D306" s="17" t="n"/>
      <c r="E306" s="16" t="n"/>
      <c r="F306" s="16" t="n"/>
      <c r="G306" s="36" t="n"/>
      <c r="H306" s="16" t="n"/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/>
      <c r="B307" s="22">
        <f>IF(A307="","",IFERROR(INT((A307-DATE(2026,4,27))/7)+1,""))</f>
        <v/>
      </c>
      <c r="C307" s="22" t="n"/>
      <c r="D307" s="23" t="n"/>
      <c r="E307" s="22" t="n"/>
      <c r="F307" s="22" t="n"/>
      <c r="G307" s="38" t="n"/>
      <c r="H307" s="22" t="n"/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/>
      <c r="B308" s="16">
        <f>IF(A308="","",IFERROR(INT((A308-DATE(2026,4,27))/7)+1,""))</f>
        <v/>
      </c>
      <c r="C308" s="16" t="n"/>
      <c r="D308" s="17" t="n"/>
      <c r="E308" s="16" t="n"/>
      <c r="F308" s="16" t="n"/>
      <c r="G308" s="36" t="n"/>
      <c r="H308" s="16" t="n"/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/>
      <c r="B309" s="22">
        <f>IF(A309="","",IFERROR(INT((A309-DATE(2026,4,27))/7)+1,""))</f>
        <v/>
      </c>
      <c r="C309" s="22" t="n"/>
      <c r="D309" s="23" t="n"/>
      <c r="E309" s="22" t="n"/>
      <c r="F309" s="22" t="n"/>
      <c r="G309" s="38" t="n"/>
      <c r="H309" s="22" t="n"/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/>
      <c r="B310" s="16">
        <f>IF(A310="","",IFERROR(INT((A310-DATE(2026,4,27))/7)+1,""))</f>
        <v/>
      </c>
      <c r="C310" s="16" t="n"/>
      <c r="D310" s="17" t="n"/>
      <c r="E310" s="16" t="n"/>
      <c r="F310" s="16" t="n"/>
      <c r="G310" s="36" t="n"/>
      <c r="H310" s="16" t="n"/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/>
      <c r="B311" s="22">
        <f>IF(A311="","",IFERROR(INT((A311-DATE(2026,4,27))/7)+1,""))</f>
        <v/>
      </c>
      <c r="C311" s="22" t="n"/>
      <c r="D311" s="23" t="n"/>
      <c r="E311" s="22" t="n"/>
      <c r="F311" s="22" t="n"/>
      <c r="G311" s="38" t="n"/>
      <c r="H311" s="22" t="n"/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/>
      <c r="B312" s="16">
        <f>IF(A312="","",IFERROR(INT((A312-DATE(2026,4,27))/7)+1,""))</f>
        <v/>
      </c>
      <c r="C312" s="16" t="n"/>
      <c r="D312" s="17" t="n"/>
      <c r="E312" s="16" t="n"/>
      <c r="F312" s="16" t="n"/>
      <c r="G312" s="36" t="n"/>
      <c r="H312" s="16" t="n"/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/>
      <c r="B313" s="22">
        <f>IF(A313="","",IFERROR(INT((A313-DATE(2026,4,27))/7)+1,""))</f>
        <v/>
      </c>
      <c r="C313" s="22" t="n"/>
      <c r="D313" s="23" t="n"/>
      <c r="E313" s="22" t="n"/>
      <c r="F313" s="22" t="n"/>
      <c r="G313" s="38" t="n"/>
      <c r="H313" s="22" t="n"/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/>
      <c r="B314" s="16">
        <f>IF(A314="","",IFERROR(INT((A314-DATE(2026,4,27))/7)+1,""))</f>
        <v/>
      </c>
      <c r="C314" s="16" t="n"/>
      <c r="D314" s="17" t="n"/>
      <c r="E314" s="16" t="n"/>
      <c r="F314" s="16" t="n"/>
      <c r="G314" s="36" t="n"/>
      <c r="H314" s="16" t="n"/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/>
      <c r="B315" s="22">
        <f>IF(A315="","",IFERROR(INT((A315-DATE(2026,4,27))/7)+1,""))</f>
        <v/>
      </c>
      <c r="C315" s="22" t="n"/>
      <c r="D315" s="23" t="n"/>
      <c r="E315" s="22" t="n"/>
      <c r="F315" s="22" t="n"/>
      <c r="G315" s="38" t="n"/>
      <c r="H315" s="22" t="n"/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/>
      <c r="B316" s="16">
        <f>IF(A316="","",IFERROR(INT((A316-DATE(2026,4,27))/7)+1,""))</f>
        <v/>
      </c>
      <c r="C316" s="16" t="n"/>
      <c r="D316" s="17" t="n"/>
      <c r="E316" s="16" t="n"/>
      <c r="F316" s="16" t="n"/>
      <c r="G316" s="36" t="n"/>
      <c r="H316" s="16" t="n"/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/>
      <c r="B317" s="22">
        <f>IF(A317="","",IFERROR(INT((A317-DATE(2026,4,27))/7)+1,""))</f>
        <v/>
      </c>
      <c r="C317" s="22" t="n"/>
      <c r="D317" s="23" t="n"/>
      <c r="E317" s="22" t="n"/>
      <c r="F317" s="22" t="n"/>
      <c r="G317" s="38" t="n"/>
      <c r="H317" s="22" t="n"/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/>
      <c r="B318" s="16">
        <f>IF(A318="","",IFERROR(INT((A318-DATE(2026,4,27))/7)+1,""))</f>
        <v/>
      </c>
      <c r="C318" s="16" t="n"/>
      <c r="D318" s="17" t="n"/>
      <c r="E318" s="16" t="n"/>
      <c r="F318" s="16" t="n"/>
      <c r="G318" s="36" t="n"/>
      <c r="H318" s="16" t="n"/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/>
      <c r="B319" s="22">
        <f>IF(A319="","",IFERROR(INT((A319-DATE(2026,4,27))/7)+1,""))</f>
        <v/>
      </c>
      <c r="C319" s="22" t="n"/>
      <c r="D319" s="23" t="n"/>
      <c r="E319" s="22" t="n"/>
      <c r="F319" s="22" t="n"/>
      <c r="G319" s="38" t="n"/>
      <c r="H319" s="22" t="n"/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36" t="n"/>
      <c r="H320" s="16" t="n"/>
      <c r="I320" s="19">
        <f>IF(OR(F320="",G320=""),"",F320*G320)</f>
        <v/>
      </c>
      <c r="J320" s="36">
        <f>IF(OR(F320="",G320=""),"",ROUND(G320*(1+F320/30),1))</f>
        <v/>
      </c>
      <c r="K320" s="20" t="n"/>
    </row>
    <row r="321" ht="18" customHeight="1">
      <c r="A321" s="37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38" t="n"/>
      <c r="H321" s="22" t="n"/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36" t="n"/>
      <c r="H322" s="16" t="n"/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38" t="n"/>
      <c r="H323" s="22" t="n"/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36" t="n"/>
      <c r="H324" s="16" t="n"/>
      <c r="I324" s="19">
        <f>IF(OR(F324="",G324=""),"",F324*G324)</f>
        <v/>
      </c>
      <c r="J324" s="36">
        <f>IF(OR(F324="",G324=""),"",ROUND(G324*(1+F324/30),1))</f>
        <v/>
      </c>
      <c r="K324" s="20" t="n"/>
    </row>
    <row r="325" ht="18" customHeight="1">
      <c r="A325" s="37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38" t="n"/>
      <c r="H325" s="22" t="n"/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36" t="n"/>
      <c r="H326" s="16" t="n"/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38" t="n"/>
      <c r="H327" s="22" t="n"/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36" t="n"/>
      <c r="H328" s="16" t="n"/>
      <c r="I328" s="19">
        <f>IF(OR(F328="",G328=""),"",F328*G328)</f>
        <v/>
      </c>
      <c r="J328" s="36">
        <f>IF(OR(F328="",G328=""),"",ROUND(G328*(1+F328/30),1))</f>
        <v/>
      </c>
      <c r="K328" s="20" t="n"/>
    </row>
    <row r="329" ht="18" customHeight="1">
      <c r="A329" s="37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38" t="n"/>
      <c r="H329" s="22" t="n"/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36" t="n"/>
      <c r="H330" s="16" t="n"/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38" t="n"/>
      <c r="H331" s="22" t="n"/>
      <c r="I331" s="25">
        <f>IF(OR(F331="",G331=""),"",F331*G331)</f>
        <v/>
      </c>
      <c r="J331" s="38">
        <f>IF(OR(F331="",G331=""),"",ROUND(G331*(1+F331/30),1))</f>
        <v/>
      </c>
      <c r="K331" s="26" t="n"/>
    </row>
    <row r="332" ht="18" customHeight="1">
      <c r="A332" s="3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36" t="n"/>
      <c r="H332" s="16" t="n"/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38" t="n"/>
      <c r="H333" s="22" t="n"/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36" t="n"/>
      <c r="H334" s="16" t="n"/>
      <c r="I334" s="19">
        <f>IF(OR(F334="",G334=""),"",F334*G334)</f>
        <v/>
      </c>
      <c r="J334" s="36">
        <f>IF(OR(F334="",G334=""),"",ROUND(G334*(1+F334/30),1))</f>
        <v/>
      </c>
      <c r="K334" s="20" t="n"/>
    </row>
    <row r="335" ht="18" customHeight="1">
      <c r="A335" s="37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38" t="n"/>
      <c r="H335" s="22" t="n"/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36" t="n"/>
      <c r="H336" s="16" t="n"/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38" t="n"/>
      <c r="H337" s="22" t="n"/>
      <c r="I337" s="25">
        <f>IF(OR(F337="",G337=""),"",F337*G337)</f>
        <v/>
      </c>
      <c r="J337" s="38">
        <f>IF(OR(F337="",G337=""),"",ROUND(G337*(1+F337/30),1))</f>
        <v/>
      </c>
      <c r="K337" s="26" t="n"/>
    </row>
    <row r="338" ht="18" customHeight="1">
      <c r="A338" s="3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36" t="n"/>
      <c r="H338" s="16" t="n"/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38" t="n"/>
      <c r="H339" s="22" t="n"/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36" t="n"/>
      <c r="H340" s="16" t="n"/>
      <c r="I340" s="19">
        <f>IF(OR(F340="",G340=""),"",F340*G340)</f>
        <v/>
      </c>
      <c r="J340" s="36">
        <f>IF(OR(F340="",G340=""),"",ROUND(G340*(1+F340/30),1))</f>
        <v/>
      </c>
      <c r="K340" s="20" t="n"/>
    </row>
    <row r="341" ht="18" customHeight="1">
      <c r="A341" s="37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38" t="n"/>
      <c r="H341" s="22" t="n"/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36" t="n"/>
      <c r="H342" s="16" t="n"/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38" t="n"/>
      <c r="H343" s="22" t="n"/>
      <c r="I343" s="25">
        <f>IF(OR(F343="",G343=""),"",F343*G343)</f>
        <v/>
      </c>
      <c r="J343" s="38">
        <f>IF(OR(F343="",G343=""),"",ROUND(G343*(1+F343/30),1))</f>
        <v/>
      </c>
      <c r="K343" s="26" t="n"/>
    </row>
    <row r="344" ht="18" customHeight="1">
      <c r="A344" s="3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36" t="n"/>
      <c r="H344" s="16" t="n"/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38" t="n"/>
      <c r="H345" s="22" t="n"/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36" t="n"/>
      <c r="H346" s="16" t="n"/>
      <c r="I346" s="19">
        <f>IF(OR(F346="",G346=""),"",F346*G346)</f>
        <v/>
      </c>
      <c r="J346" s="36">
        <f>IF(OR(F346="",G346=""),"",ROUND(G346*(1+F346/30),1))</f>
        <v/>
      </c>
      <c r="K346" s="20" t="n"/>
    </row>
    <row r="347" ht="18" customHeight="1">
      <c r="A347" s="37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38" t="n"/>
      <c r="H347" s="22" t="n"/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36" t="n"/>
      <c r="H348" s="16" t="n"/>
      <c r="I348" s="19">
        <f>IF(OR(F348="",G348=""),"",F348*G348)</f>
        <v/>
      </c>
      <c r="J348" s="36">
        <f>IF(OR(F348="",G348=""),"",ROUND(G348*(1+F348/30),1))</f>
        <v/>
      </c>
      <c r="K348" s="20" t="n"/>
    </row>
    <row r="349" ht="18" customHeight="1">
      <c r="A349" s="37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38" t="n"/>
      <c r="H349" s="22" t="n"/>
      <c r="I349" s="25">
        <f>IF(OR(F349="",G349=""),"",F349*G349)</f>
        <v/>
      </c>
      <c r="J349" s="38">
        <f>IF(OR(F349="",G349=""),"",ROUND(G349*(1+F349/30),1))</f>
        <v/>
      </c>
      <c r="K349" s="26" t="n"/>
    </row>
    <row r="350" ht="18" customHeight="1">
      <c r="A350" s="3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36" t="n"/>
      <c r="H350" s="16" t="n"/>
      <c r="I350" s="19">
        <f>IF(OR(F350="",G350=""),"",F350*G350)</f>
        <v/>
      </c>
      <c r="J350" s="36">
        <f>IF(OR(F350="",G350=""),"",ROUND(G350*(1+F350/30),1))</f>
        <v/>
      </c>
      <c r="K350" s="20" t="n"/>
    </row>
    <row r="351" ht="18" customHeight="1">
      <c r="A351" s="37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38" t="n"/>
      <c r="H351" s="22" t="n"/>
      <c r="I351" s="25">
        <f>IF(OR(F351="",G351=""),"",F351*G351)</f>
        <v/>
      </c>
      <c r="J351" s="38">
        <f>IF(OR(F351="",G351=""),"",ROUND(G351*(1+F351/30),1))</f>
        <v/>
      </c>
      <c r="K351" s="26" t="n"/>
    </row>
    <row r="352" ht="18" customHeight="1">
      <c r="A352" s="3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36" t="n"/>
      <c r="H352" s="16" t="n"/>
      <c r="I352" s="19">
        <f>IF(OR(F352="",G352=""),"",F352*G352)</f>
        <v/>
      </c>
      <c r="J352" s="36">
        <f>IF(OR(F352="",G352=""),"",ROUND(G352*(1+F352/30),1))</f>
        <v/>
      </c>
      <c r="K352" s="20" t="n"/>
    </row>
    <row r="353" ht="18" customHeight="1">
      <c r="A353" s="37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38" t="n"/>
      <c r="H353" s="22" t="n"/>
      <c r="I353" s="25">
        <f>IF(OR(F353="",G353=""),"",F353*G353)</f>
        <v/>
      </c>
      <c r="J353" s="38">
        <f>IF(OR(F353="",G353=""),"",ROUND(G353*(1+F353/30),1))</f>
        <v/>
      </c>
      <c r="K353" s="26" t="n"/>
    </row>
    <row r="354" ht="18" customHeight="1">
      <c r="A354" s="3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36" t="n"/>
      <c r="H354" s="16" t="n"/>
      <c r="I354" s="19">
        <f>IF(OR(F354="",G354=""),"",F354*G354)</f>
        <v/>
      </c>
      <c r="J354" s="36">
        <f>IF(OR(F354="",G354=""),"",ROUND(G354*(1+F354/30),1))</f>
        <v/>
      </c>
      <c r="K354" s="20" t="n"/>
    </row>
    <row r="355" ht="18" customHeight="1">
      <c r="A355" s="37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38" t="n"/>
      <c r="H355" s="22" t="n"/>
      <c r="I355" s="25">
        <f>IF(OR(F355="",G355=""),"",F355*G355)</f>
        <v/>
      </c>
      <c r="J355" s="38">
        <f>IF(OR(F355="",G355=""),"",ROUND(G355*(1+F355/30),1))</f>
        <v/>
      </c>
      <c r="K355" s="26" t="n"/>
    </row>
    <row r="356" ht="18" customHeight="1">
      <c r="A356" s="3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36" t="n"/>
      <c r="H356" s="16" t="n"/>
      <c r="I356" s="19">
        <f>IF(OR(F356="",G356=""),"",F356*G356)</f>
        <v/>
      </c>
      <c r="J356" s="36">
        <f>IF(OR(F356="",G356=""),"",ROUND(G356*(1+F356/30),1))</f>
        <v/>
      </c>
      <c r="K356" s="20" t="n"/>
    </row>
    <row r="357" ht="18" customHeight="1">
      <c r="A357" s="37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38" t="n"/>
      <c r="H357" s="22" t="n"/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36" t="n"/>
      <c r="H358" s="16" t="n"/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38" t="n"/>
      <c r="H359" s="22" t="n"/>
      <c r="I359" s="25">
        <f>IF(OR(F359="",G359=""),"",F359*G359)</f>
        <v/>
      </c>
      <c r="J359" s="38">
        <f>IF(OR(F359="",G359=""),"",ROUND(G359*(1+F359/30),1))</f>
        <v/>
      </c>
      <c r="K359" s="26" t="n"/>
    </row>
    <row r="360" ht="18" customHeight="1">
      <c r="A360" s="3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36" t="n"/>
      <c r="H360" s="16" t="n"/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38" t="n"/>
      <c r="H361" s="22" t="n"/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36" t="n"/>
      <c r="H362" s="16" t="n"/>
      <c r="I362" s="19">
        <f>IF(OR(F362="",G362=""),"",F362*G362)</f>
        <v/>
      </c>
      <c r="J362" s="36">
        <f>IF(OR(F362="",G362=""),"",ROUND(G362*(1+F362/30),1))</f>
        <v/>
      </c>
      <c r="K362" s="20" t="n"/>
    </row>
    <row r="363" ht="18" customHeight="1">
      <c r="A363" s="37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38" t="n"/>
      <c r="H363" s="22" t="n"/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36" t="n"/>
      <c r="H364" s="16" t="n"/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38" t="n"/>
      <c r="H365" s="22" t="n"/>
      <c r="I365" s="25">
        <f>IF(OR(F365="",G365=""),"",F365*G365)</f>
        <v/>
      </c>
      <c r="J365" s="38">
        <f>IF(OR(F365="",G365=""),"",ROUND(G365*(1+F365/30),1))</f>
        <v/>
      </c>
      <c r="K365" s="26" t="n"/>
    </row>
    <row r="366" ht="18" customHeight="1">
      <c r="A366" s="3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36" t="n"/>
      <c r="H366" s="16" t="n"/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38" t="n"/>
      <c r="H367" s="22" t="n"/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36" t="n"/>
      <c r="H368" s="16" t="n"/>
      <c r="I368" s="19">
        <f>IF(OR(F368="",G368=""),"",F368*G368)</f>
        <v/>
      </c>
      <c r="J368" s="36">
        <f>IF(OR(F368="",G368=""),"",ROUND(G368*(1+F368/30),1))</f>
        <v/>
      </c>
      <c r="K368" s="20" t="n"/>
    </row>
    <row r="369" ht="18" customHeight="1">
      <c r="A369" s="37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38" t="n"/>
      <c r="H369" s="22" t="n"/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36" t="n"/>
      <c r="H370" s="16" t="n"/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38" t="n"/>
      <c r="H371" s="22" t="n"/>
      <c r="I371" s="25">
        <f>IF(OR(F371="",G371=""),"",F371*G371)</f>
        <v/>
      </c>
      <c r="J371" s="38">
        <f>IF(OR(F371="",G371=""),"",ROUND(G371*(1+F371/30),1))</f>
        <v/>
      </c>
      <c r="K371" s="26" t="n"/>
    </row>
    <row r="372" ht="18" customHeight="1">
      <c r="A372" s="3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36" t="n"/>
      <c r="H372" s="16" t="n"/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38" t="n"/>
      <c r="H373" s="22" t="n"/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36" t="n"/>
      <c r="H374" s="16" t="n"/>
      <c r="I374" s="19">
        <f>IF(OR(F374="",G374=""),"",F374*G374)</f>
        <v/>
      </c>
      <c r="J374" s="36">
        <f>IF(OR(F374="",G374=""),"",ROUND(G374*(1+F374/30),1))</f>
        <v/>
      </c>
      <c r="K374" s="20" t="n"/>
    </row>
    <row r="375" ht="18" customHeight="1">
      <c r="A375" s="37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38" t="n"/>
      <c r="H375" s="22" t="n"/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46189</v>
      </c>
      <c r="B5" s="22">
        <f>IF(A5="","",IFERROR(INT((A5-DATE(2026,4,27))/7)+1,""))</f>
        <v/>
      </c>
      <c r="C5" s="28" t="n">
        <v>7</v>
      </c>
      <c r="D5" s="38" t="n">
        <v>46.8</v>
      </c>
      <c r="E5" s="22">
        <f>IF(OR(C5="",D5=""),"",TEXT(D5/C5/1440,"m:ss"))</f>
        <v/>
      </c>
      <c r="F5" s="22" t="n">
        <v>148</v>
      </c>
      <c r="G5" s="22" t="n">
        <v>167</v>
      </c>
      <c r="H5" s="22" t="n">
        <v>6</v>
      </c>
      <c r="I5" s="22" t="inlineStr">
        <is>
          <t>Easy</t>
        </is>
      </c>
      <c r="J5" s="26" t="inlineStr">
        <is>
          <t>6:41/km; cadence 164 (+2-3, one short of 165); avg HR 148 in 145-155 band, 91% Z2; shin clean, everything fine</t>
        </is>
      </c>
    </row>
    <row r="6" ht="18" customHeight="1">
      <c r="A6" s="35" t="n">
        <v>46191</v>
      </c>
      <c r="B6" s="16">
        <f>IF(A6="","",IFERROR(INT((A6-DATE(2026,4,27))/7)+1,""))</f>
        <v/>
      </c>
      <c r="C6" s="27" t="n">
        <v>10</v>
      </c>
      <c r="D6" s="36" t="n">
        <v>73.73</v>
      </c>
      <c r="E6" s="16">
        <f>IF(OR(C6="",D6=""),"",TEXT(D6/C6/1440,"m:ss"))</f>
        <v/>
      </c>
      <c r="F6" s="16" t="n">
        <v>150</v>
      </c>
      <c r="G6" s="16" t="n">
        <v>165</v>
      </c>
      <c r="H6" s="16" t="n">
        <v>4</v>
      </c>
      <c r="I6" s="16" t="inlineStr">
        <is>
          <t>Easy</t>
        </is>
      </c>
      <c r="J6" s="20" t="inlineStr">
        <is>
          <t>10k medium Z2. 96% Z2 (best distribution), cadence 164, RPE4 easy. Shin blip k7 cleared, no pinpoint. Powerade sip.</t>
        </is>
      </c>
    </row>
    <row r="7" ht="18" customHeight="1">
      <c r="A7" s="37" t="n"/>
      <c r="B7" s="22">
        <f>IF(A7="","",IFERROR(INT((A7-DATE(2026,4,27))/7)+1,""))</f>
        <v/>
      </c>
      <c r="C7" s="28" t="n"/>
      <c r="D7" s="38" t="n"/>
      <c r="E7" s="22">
        <f>IF(OR(C7="",D7=""),"",TEXT(D7/C7/1440,"m:ss"))</f>
        <v/>
      </c>
      <c r="F7" s="22" t="n"/>
      <c r="G7" s="22" t="n"/>
      <c r="H7" s="22" t="n"/>
      <c r="I7" s="22" t="n"/>
      <c r="J7" s="26" t="n"/>
    </row>
    <row r="8" ht="18" customHeight="1">
      <c r="A8" s="35" t="n"/>
      <c r="B8" s="16">
        <f>IF(A8="","",IFERROR(INT((A8-DATE(2026,4,27))/7)+1,""))</f>
        <v/>
      </c>
      <c r="C8" s="27" t="n"/>
      <c r="D8" s="36" t="n"/>
      <c r="E8" s="16">
        <f>IF(OR(C8="",D8=""),"",TEXT(D8/C8/1440,"m:ss"))</f>
        <v/>
      </c>
      <c r="F8" s="16" t="n"/>
      <c r="G8" s="16" t="n"/>
      <c r="H8" s="16" t="n"/>
      <c r="I8" s="16" t="n"/>
      <c r="J8" s="20" t="n"/>
    </row>
    <row r="9" ht="18" customHeight="1">
      <c r="A9" s="37" t="n"/>
      <c r="B9" s="22">
        <f>IF(A9="","",IFERROR(INT((A9-DATE(2026,4,27))/7)+1,""))</f>
        <v/>
      </c>
      <c r="C9" s="28" t="n"/>
      <c r="D9" s="38" t="n"/>
      <c r="E9" s="22">
        <f>IF(OR(C9="",D9=""),"",TEXT(D9/C9/1440,"m:ss"))</f>
        <v/>
      </c>
      <c r="F9" s="22" t="n"/>
      <c r="G9" s="22" t="n"/>
      <c r="H9" s="22" t="n"/>
      <c r="I9" s="22" t="n"/>
      <c r="J9" s="26" t="n"/>
    </row>
    <row r="10" ht="18" customHeight="1">
      <c r="A10" s="35" t="n"/>
      <c r="B10" s="16">
        <f>IF(A10="","",IFERROR(INT((A10-DATE(2026,4,27))/7)+1,""))</f>
        <v/>
      </c>
      <c r="C10" s="27" t="n"/>
      <c r="D10" s="36" t="n"/>
      <c r="E10" s="16">
        <f>IF(OR(C10="",D10=""),"",TEXT(D10/C10/1440,"m:ss"))</f>
        <v/>
      </c>
      <c r="F10" s="16" t="n"/>
      <c r="G10" s="16" t="n"/>
      <c r="H10" s="16" t="n"/>
      <c r="I10" s="16" t="n"/>
      <c r="J10" s="20" t="n"/>
    </row>
    <row r="11" ht="18" customHeight="1">
      <c r="A11" s="37" t="n"/>
      <c r="B11" s="22">
        <f>IF(A11="","",IFERROR(INT((A11-DATE(2026,4,27))/7)+1,""))</f>
        <v/>
      </c>
      <c r="C11" s="28" t="n"/>
      <c r="D11" s="38" t="n"/>
      <c r="E11" s="22">
        <f>IF(OR(C11="",D11=""),"",TEXT(D11/C11/1440,"m:ss"))</f>
        <v/>
      </c>
      <c r="F11" s="22" t="n"/>
      <c r="G11" s="22" t="n"/>
      <c r="H11" s="22" t="n"/>
      <c r="I11" s="22" t="n"/>
      <c r="J11" s="26" t="n"/>
    </row>
    <row r="12" ht="18" customHeight="1">
      <c r="A12" s="35" t="n"/>
      <c r="B12" s="16">
        <f>IF(A12="","",IFERROR(INT((A12-DATE(2026,4,27))/7)+1,""))</f>
        <v/>
      </c>
      <c r="C12" s="27" t="n"/>
      <c r="D12" s="36" t="n"/>
      <c r="E12" s="16">
        <f>IF(OR(C12="",D12=""),"",TEXT(D12/C12/1440,"m:ss"))</f>
        <v/>
      </c>
      <c r="F12" s="16" t="n"/>
      <c r="G12" s="16" t="n"/>
      <c r="H12" s="16" t="n"/>
      <c r="I12" s="16" t="n"/>
      <c r="J12" s="20" t="n"/>
    </row>
    <row r="13" ht="18" customHeight="1">
      <c r="A13" s="37" t="n"/>
      <c r="B13" s="22">
        <f>IF(A13="","",IFERROR(INT((A13-DATE(2026,4,27))/7)+1,""))</f>
        <v/>
      </c>
      <c r="C13" s="28" t="n"/>
      <c r="D13" s="38" t="n"/>
      <c r="E13" s="22">
        <f>IF(OR(C13="",D13=""),"",TEXT(D13/C13/1440,"m:ss"))</f>
        <v/>
      </c>
      <c r="F13" s="22" t="n"/>
      <c r="G13" s="22" t="n"/>
      <c r="H13" s="22" t="n"/>
      <c r="I13" s="22" t="n"/>
      <c r="J13" s="26" t="n"/>
    </row>
    <row r="14" ht="18" customHeight="1">
      <c r="A14" s="35" t="n"/>
      <c r="B14" s="16">
        <f>IF(A14="","",IFERROR(INT((A14-DATE(2026,4,27))/7)+1,""))</f>
        <v/>
      </c>
      <c r="C14" s="27" t="n"/>
      <c r="D14" s="36" t="n"/>
      <c r="E14" s="16">
        <f>IF(OR(C14="",D14=""),"",TEXT(D14/C14/1440,"m:ss"))</f>
        <v/>
      </c>
      <c r="F14" s="16" t="n"/>
      <c r="G14" s="16" t="n"/>
      <c r="H14" s="16" t="n"/>
      <c r="I14" s="16" t="n"/>
      <c r="J14" s="20" t="n"/>
    </row>
    <row r="15" ht="18" customHeight="1">
      <c r="A15" s="37" t="n"/>
      <c r="B15" s="22">
        <f>IF(A15="","",IFERROR(INT((A15-DATE(2026,4,27))/7)+1,""))</f>
        <v/>
      </c>
      <c r="C15" s="28" t="n"/>
      <c r="D15" s="38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35" t="n"/>
      <c r="B16" s="16">
        <f>IF(A16="","",IFERROR(INT((A16-DATE(2026,4,27))/7)+1,""))</f>
        <v/>
      </c>
      <c r="C16" s="27" t="n"/>
      <c r="D16" s="36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37" t="n"/>
      <c r="B17" s="22">
        <f>IF(A17="","",IFERROR(INT((A17-DATE(2026,4,27))/7)+1,""))</f>
        <v/>
      </c>
      <c r="C17" s="28" t="n"/>
      <c r="D17" s="38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35" t="n"/>
      <c r="B18" s="16">
        <f>IF(A18="","",IFERROR(INT((A18-DATE(2026,4,27))/7)+1,""))</f>
        <v/>
      </c>
      <c r="C18" s="27" t="n"/>
      <c r="D18" s="36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37" t="n"/>
      <c r="B19" s="22">
        <f>IF(A19="","",IFERROR(INT((A19-DATE(2026,4,27))/7)+1,""))</f>
        <v/>
      </c>
      <c r="C19" s="28" t="n"/>
      <c r="D19" s="38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35" t="n"/>
      <c r="B20" s="16">
        <f>IF(A20="","",IFERROR(INT((A20-DATE(2026,4,27))/7)+1,""))</f>
        <v/>
      </c>
      <c r="C20" s="27" t="n"/>
      <c r="D20" s="36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46191</v>
      </c>
      <c r="B19" s="22">
        <f>IF(A19="","",IFERROR(INT((A19-DATE(2026,4,27))/7)+1,""))</f>
        <v/>
      </c>
      <c r="C19" s="38" t="n">
        <v>75.8</v>
      </c>
      <c r="D19" s="38" t="n">
        <v>9.5</v>
      </c>
      <c r="E19" s="38" t="n"/>
      <c r="F19" s="38" t="n"/>
      <c r="G19" s="38" t="n"/>
      <c r="H19" s="38" t="n"/>
      <c r="I19" s="26" t="inlineStr">
        <is>
          <t>W2 Thu AM. RHR 45 Δ0. Cut paused, not flagged.</t>
        </is>
      </c>
    </row>
    <row r="20" ht="18" customHeight="1">
      <c r="A20" s="35" t="n"/>
      <c r="B20" s="16">
        <f>IF(A20="","",IFERROR(INT((A20-DATE(2026,4,27))/7)+1,""))</f>
        <v/>
      </c>
      <c r="C20" s="36" t="n"/>
      <c r="D20" s="36" t="n"/>
      <c r="E20" s="36" t="n"/>
      <c r="F20" s="36" t="n"/>
      <c r="G20" s="36" t="n"/>
      <c r="H20" s="36" t="n"/>
      <c r="I20" s="20" t="n"/>
    </row>
    <row r="21" ht="18" customHeight="1">
      <c r="A21" s="37" t="n"/>
      <c r="B21" s="22">
        <f>IF(A21="","",IFERROR(INT((A21-DATE(2026,4,27))/7)+1,""))</f>
        <v/>
      </c>
      <c r="C21" s="38" t="n"/>
      <c r="D21" s="38" t="n"/>
      <c r="E21" s="38" t="n"/>
      <c r="F21" s="38" t="n"/>
      <c r="G21" s="38" t="n"/>
      <c r="H21" s="38" t="n"/>
      <c r="I21" s="26" t="n"/>
    </row>
    <row r="22" ht="18" customHeight="1">
      <c r="A22" s="35" t="n"/>
      <c r="B22" s="16">
        <f>IF(A22="","",IFERROR(INT((A22-DATE(2026,4,27))/7)+1,""))</f>
        <v/>
      </c>
      <c r="C22" s="36" t="n"/>
      <c r="D22" s="36" t="n"/>
      <c r="E22" s="36" t="n"/>
      <c r="F22" s="36" t="n"/>
      <c r="G22" s="36" t="n"/>
      <c r="H22" s="36" t="n"/>
      <c r="I22" s="20" t="n"/>
    </row>
    <row r="23" ht="18" customHeight="1">
      <c r="A23" s="37" t="n"/>
      <c r="B23" s="22">
        <f>IF(A23="","",IFERROR(INT((A23-DATE(2026,4,27))/7)+1,""))</f>
        <v/>
      </c>
      <c r="C23" s="38" t="n"/>
      <c r="D23" s="38" t="n"/>
      <c r="E23" s="38" t="n"/>
      <c r="F23" s="38" t="n"/>
      <c r="G23" s="38" t="n"/>
      <c r="H23" s="38" t="n"/>
      <c r="I23" s="26" t="n"/>
    </row>
    <row r="24" ht="18" customHeight="1">
      <c r="A24" s="35" t="n"/>
      <c r="B24" s="16">
        <f>IF(A24="","",IFERROR(INT((A24-DATE(2026,4,27))/7)+1,""))</f>
        <v/>
      </c>
      <c r="C24" s="36" t="n"/>
      <c r="D24" s="36" t="n"/>
      <c r="E24" s="36" t="n"/>
      <c r="F24" s="36" t="n"/>
      <c r="G24" s="36" t="n"/>
      <c r="H24" s="36" t="n"/>
      <c r="I24" s="20" t="n"/>
    </row>
    <row r="25" ht="18" customHeight="1">
      <c r="A25" s="37" t="n"/>
      <c r="B25" s="22">
        <f>IF(A25="","",IFERROR(INT((A25-DATE(2026,4,27))/7)+1,""))</f>
        <v/>
      </c>
      <c r="C25" s="38" t="n"/>
      <c r="D25" s="38" t="n"/>
      <c r="E25" s="38" t="n"/>
      <c r="F25" s="38" t="n"/>
      <c r="G25" s="38" t="n"/>
      <c r="H25" s="38" t="n"/>
      <c r="I25" s="26" t="n"/>
    </row>
    <row r="26" ht="18" customHeight="1">
      <c r="A26" s="35" t="n"/>
      <c r="B26" s="16">
        <f>IF(A26="","",IFERROR(INT((A26-DATE(2026,4,27))/7)+1,""))</f>
        <v/>
      </c>
      <c r="C26" s="36" t="n"/>
      <c r="D26" s="36" t="n"/>
      <c r="E26" s="36" t="n"/>
      <c r="F26" s="36" t="n"/>
      <c r="G26" s="36" t="n"/>
      <c r="H26" s="36" t="n"/>
      <c r="I26" s="20" t="n"/>
    </row>
    <row r="27" ht="18" customHeight="1">
      <c r="A27" s="37" t="n"/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n"/>
    </row>
    <row r="28" ht="18" customHeight="1">
      <c r="A28" s="35" t="n"/>
      <c r="B28" s="16">
        <f>IF(A28="","",IFERROR(INT((A28-DATE(2026,4,27))/7)+1,""))</f>
        <v/>
      </c>
      <c r="C28" s="36" t="n"/>
      <c r="D28" s="36" t="n"/>
      <c r="E28" s="36" t="n"/>
      <c r="F28" s="36" t="n"/>
      <c r="G28" s="36" t="n"/>
      <c r="H28" s="36" t="n"/>
      <c r="I28" s="20" t="n"/>
    </row>
    <row r="29" ht="18" customHeight="1">
      <c r="A29" s="37" t="n"/>
      <c r="B29" s="22">
        <f>IF(A29="","",IFERROR(INT((A29-DATE(2026,4,27))/7)+1,""))</f>
        <v/>
      </c>
      <c r="C29" s="38" t="n"/>
      <c r="D29" s="38" t="n"/>
      <c r="E29" s="38" t="n"/>
      <c r="F29" s="38" t="n"/>
      <c r="G29" s="38" t="n"/>
      <c r="H29" s="38" t="n"/>
      <c r="I29" s="26" t="n"/>
    </row>
    <row r="30" ht="18" customHeight="1">
      <c r="A30" s="35" t="n"/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n"/>
    </row>
    <row r="31" ht="18" customHeight="1">
      <c r="A31" s="37" t="n"/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n"/>
    </row>
    <row r="32" ht="18" customHeight="1">
      <c r="A32" s="35" t="n"/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n"/>
    </row>
    <row r="33" ht="18" customHeight="1">
      <c r="A33" s="37" t="n"/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n"/>
    </row>
    <row r="34" ht="18" customHeight="1">
      <c r="A34" s="35" t="n"/>
      <c r="B34" s="16">
        <f>IF(A34="","",IFERROR(INT((A34-DATE(2026,4,27))/7)+1,""))</f>
        <v/>
      </c>
      <c r="C34" s="36" t="n"/>
      <c r="D34" s="36" t="n"/>
      <c r="E34" s="36" t="n"/>
      <c r="F34" s="36" t="n"/>
      <c r="G34" s="36" t="n"/>
      <c r="H34" s="36" t="n"/>
      <c r="I34" s="20" t="n"/>
    </row>
    <row r="35" ht="18" customHeight="1">
      <c r="A35" s="37" t="n"/>
      <c r="B35" s="22">
        <f>IF(A35="","",IFERROR(INT((A35-DATE(2026,4,27))/7)+1,""))</f>
        <v/>
      </c>
      <c r="C35" s="38" t="n"/>
      <c r="D35" s="38" t="n"/>
      <c r="E35" s="38" t="n"/>
      <c r="F35" s="38" t="n"/>
      <c r="G35" s="38" t="n"/>
      <c r="H35" s="38" t="n"/>
      <c r="I35" s="26" t="n"/>
    </row>
    <row r="36" ht="18" customHeight="1">
      <c r="A36" s="35" t="n"/>
      <c r="B36" s="16">
        <f>IF(A36="","",IFERROR(INT((A36-DATE(2026,4,27))/7)+1,""))</f>
        <v/>
      </c>
      <c r="C36" s="36" t="n"/>
      <c r="D36" s="36" t="n"/>
      <c r="E36" s="36" t="n"/>
      <c r="F36" s="36" t="n"/>
      <c r="G36" s="36" t="n"/>
      <c r="H36" s="36" t="n"/>
      <c r="I36" s="20" t="n"/>
    </row>
    <row r="37" ht="18" customHeight="1">
      <c r="A37" s="37" t="n"/>
      <c r="B37" s="22">
        <f>IF(A37="","",IFERROR(INT((A37-DATE(2026,4,27))/7)+1,""))</f>
        <v/>
      </c>
      <c r="C37" s="38" t="n"/>
      <c r="D37" s="38" t="n"/>
      <c r="E37" s="38" t="n"/>
      <c r="F37" s="38" t="n"/>
      <c r="G37" s="38" t="n"/>
      <c r="H37" s="38" t="n"/>
      <c r="I37" s="26" t="n"/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2026-06-18T12:57:04Z</dcterms:created>
  <dcterms:modified xmlns:dcterms="http://purl.org/dc/terms/" xmlns:xsi="http://www.w3.org/2001/XMLSchema-instance" xsi:type="dcterms:W3CDTF">2026-06-18T23:13:29Z</dcterms:modified>
</cp:coreProperties>
</file>