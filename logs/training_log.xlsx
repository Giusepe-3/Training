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7" t="n">
        <v>46310</v>
      </c>
      <c r="B31" s="22">
        <f>IF(A31="","",IFERROR(INT((A31-DATE(2026,4,27))/7)+1,""))</f>
        <v/>
      </c>
      <c r="C31" s="28" t="n">
        <v>4.02</v>
      </c>
      <c r="D31" s="38" t="n">
        <v>28.85</v>
      </c>
      <c r="E31" s="22">
        <f>IF(OR(C31="",D31=""),"",TEXT(D31/C31/1440,"m:ss"))</f>
        <v/>
      </c>
      <c r="F31" s="22" t="n">
        <v>142</v>
      </c>
      <c r="G31" s="22" t="n">
        <v>157</v>
      </c>
      <c r="H31" s="22" t="n"/>
      <c r="I31" s="22" t="inlineStr">
        <is>
          <t>Easy</t>
        </is>
      </c>
      <c r="J31" s="26" t="inlineStr">
        <is>
          <t>5K Wk 2 Thu - EASY 4 k, AM 07:49 before Gym #2. Moving 28:51 (7:11), elapsed 29:36 (35 s stop km 3). Laps 7:05@124 / 7:00@147 / 7:34@146 (+9 m) / 7:05@151. HR cap obeyed. Cadence 160/163/162/162 - under 166 floor all run. RPE n/r. SHIN CLEAN #48. Strava 20591443035.</t>
        </is>
      </c>
      <c r="K31" t="n">
        <v>0</v>
      </c>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2026-10-15T16:46:09Z</dcterms:modified>
</cp:coreProperties>
</file>