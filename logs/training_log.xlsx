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24" t="n">
        <v>40</v>
      </c>
      <c r="H75" s="22" t="n">
        <v>6</v>
      </c>
      <c r="I75" s="25">
        <f>IF(OR(F75="",G75=""),"",F75*G75)</f>
        <v/>
      </c>
      <c r="J75" s="24">
        <f>IF(OR(F75="",G75=""),"",ROUND(G75*(1+F75/30),1))</f>
        <v/>
      </c>
      <c r="K75" s="26" t="inlineStr">
        <is>
          <t>under-loaded</t>
        </is>
      </c>
    </row>
    <row r="76" ht="18" customHeight="1">
      <c r="A76" s="1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18" t="n">
        <v>40</v>
      </c>
      <c r="H76" s="16" t="n">
        <v>6</v>
      </c>
      <c r="I76" s="19">
        <f>IF(OR(F76="",G76=""),"",F76*G76)</f>
        <v/>
      </c>
      <c r="J76" s="18">
        <f>IF(OR(F76="",G76=""),"",ROUND(G76*(1+F76/30),1))</f>
        <v/>
      </c>
      <c r="K76" s="20" t="inlineStr">
        <is>
          <t>bump 45 next</t>
        </is>
      </c>
    </row>
    <row r="77" ht="18" customHeight="1">
      <c r="A77" s="21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24" t="n">
        <v>0</v>
      </c>
      <c r="H77" s="22" t="n">
        <v>5</v>
      </c>
      <c r="I77" s="25">
        <f>IF(OR(F77="",G77=""),"",F77*G77)</f>
        <v/>
      </c>
      <c r="J77" s="24">
        <f>IF(OR(F77="",G77=""),"",ROUND(G77*(1+F77/30),1))</f>
        <v/>
      </c>
      <c r="K77" s="26" t="inlineStr">
        <is>
          <t>BW; 8L+8R; pattern</t>
        </is>
      </c>
    </row>
    <row r="78" ht="18" customHeight="1">
      <c r="A78" s="1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18" t="n">
        <v>0</v>
      </c>
      <c r="H78" s="16" t="n">
        <v>6</v>
      </c>
      <c r="I78" s="19">
        <f>IF(OR(F78="",G78=""),"",F78*G78)</f>
        <v/>
      </c>
      <c r="J78" s="18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21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24" t="n">
        <v>10</v>
      </c>
      <c r="H79" s="22" t="n">
        <v>8</v>
      </c>
      <c r="I79" s="25">
        <f>IF(OR(F79="",G79=""),"",F79*G79)</f>
        <v/>
      </c>
      <c r="J79" s="24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1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18" t="n">
        <v>10</v>
      </c>
      <c r="H80" s="16" t="n">
        <v>9</v>
      </c>
      <c r="I80" s="19">
        <f>IF(OR(F80="",G80=""),"",F80*G80)</f>
        <v/>
      </c>
      <c r="J80" s="18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21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24" t="n">
        <v>10</v>
      </c>
      <c r="H81" s="22" t="n">
        <v>8</v>
      </c>
      <c r="I81" s="25">
        <f>IF(OR(F81="",G81=""),"",F81*G81)</f>
        <v/>
      </c>
      <c r="J81" s="24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1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18" t="n">
        <v>10</v>
      </c>
      <c r="H82" s="16" t="n">
        <v>7</v>
      </c>
      <c r="I82" s="19">
        <f>IF(OR(F82="",G82=""),"",F82*G82)</f>
        <v/>
      </c>
      <c r="J82" s="18">
        <f>IF(OR(F82="",G82=""),"",ROUND(G82*(1+F82/30),1))</f>
        <v/>
      </c>
      <c r="K82" s="20" t="inlineStr">
        <is>
          <t>bump 7.5/DB next</t>
        </is>
      </c>
    </row>
    <row r="83" ht="18" customHeight="1">
      <c r="A83" s="21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24" t="n">
        <v>9</v>
      </c>
      <c r="H83" s="22" t="n">
        <v>8</v>
      </c>
      <c r="I83" s="25">
        <f>IF(OR(F83="",G83=""),"",F83*G83)</f>
        <v/>
      </c>
      <c r="J83" s="24">
        <f>IF(OR(F83="",G83=""),"",ROUND(G83*(1+F83/30),1))</f>
        <v/>
      </c>
      <c r="K83" s="26" t="inlineStr">
        <is>
          <t>soleus bias</t>
        </is>
      </c>
    </row>
    <row r="84" ht="18" customHeight="1">
      <c r="A84" s="1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18" t="n">
        <v>9</v>
      </c>
      <c r="H84" s="16" t="n">
        <v>9</v>
      </c>
      <c r="I84" s="19">
        <f>IF(OR(F84="",G84=""),"",F84*G84)</f>
        <v/>
      </c>
      <c r="J84" s="18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21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24" t="n">
        <v>0</v>
      </c>
      <c r="H85" s="22" t="n">
        <v>8</v>
      </c>
      <c r="I85" s="25">
        <f>IF(OR(F85="",G85=""),"",F85*G85)</f>
        <v/>
      </c>
      <c r="J85" s="24">
        <f>IF(OR(F85="",G85=""),"",ROUND(G85*(1+F85/30),1))</f>
        <v/>
      </c>
      <c r="K85" s="26" t="inlineStr">
        <is>
          <t>BW knee rollout</t>
        </is>
      </c>
    </row>
    <row r="86" ht="18" customHeight="1">
      <c r="A86" s="1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18" t="n">
        <v>0</v>
      </c>
      <c r="H86" s="16" t="n">
        <v>8</v>
      </c>
      <c r="I86" s="19">
        <f>IF(OR(F86="",G86=""),"",F86*G86)</f>
        <v/>
      </c>
      <c r="J86" s="18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21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24" t="n">
        <v>35</v>
      </c>
      <c r="H87" s="22" t="n">
        <v>8</v>
      </c>
      <c r="I87" s="25">
        <f>IF(OR(F87="",G87=""),"",F87*G87)</f>
        <v/>
      </c>
      <c r="J87" s="24">
        <f>IF(OR(F87="",G87=""),"",ROUND(G87*(1+F87/30),1))</f>
        <v/>
      </c>
      <c r="K87" s="26" t="inlineStr"/>
    </row>
    <row r="88" ht="18" customHeight="1">
      <c r="A88" s="1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18" t="n">
        <v>35</v>
      </c>
      <c r="H88" s="16" t="n">
        <v>8</v>
      </c>
      <c r="I88" s="19">
        <f>IF(OR(F88="",G88=""),"",F88*G88)</f>
        <v/>
      </c>
      <c r="J88" s="18">
        <f>IF(OR(F88="",G88=""),"",ROUND(G88*(1+F88/30),1))</f>
        <v/>
      </c>
      <c r="K88" s="20" t="inlineStr"/>
    </row>
    <row r="89" ht="18" customHeight="1">
      <c r="A89" s="21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24" t="n">
        <v>35</v>
      </c>
      <c r="H89" s="22" t="n">
        <v>9</v>
      </c>
      <c r="I89" s="25">
        <f>IF(OR(F89="",G89=""),"",F89*G89)</f>
        <v/>
      </c>
      <c r="J89" s="24">
        <f>IF(OR(F89="",G89=""),"",ROUND(G89*(1+F89/30),1))</f>
        <v/>
      </c>
      <c r="K89" s="26" t="inlineStr"/>
    </row>
    <row r="90" ht="18" customHeight="1">
      <c r="A90" s="1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18" t="n">
        <v>35</v>
      </c>
      <c r="H90" s="16" t="n">
        <v>9</v>
      </c>
      <c r="I90" s="19">
        <f>IF(OR(F90="",G90=""),"",F90*G90)</f>
        <v/>
      </c>
      <c r="J90" s="18">
        <f>IF(OR(F90="",G90=""),"",ROUND(G90*(1+F90/30),1))</f>
        <v/>
      </c>
      <c r="K90" s="20" t="inlineStr"/>
    </row>
    <row r="91" ht="18" customHeight="1">
      <c r="A91" s="21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24" t="n">
        <v>35</v>
      </c>
      <c r="H91" s="22" t="n">
        <v>9</v>
      </c>
      <c r="I91" s="25">
        <f>IF(OR(F91="",G91=""),"",F91*G91)</f>
        <v/>
      </c>
      <c r="J91" s="24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1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18" t="n">
        <v>35</v>
      </c>
      <c r="H92" s="16" t="n">
        <v>8</v>
      </c>
      <c r="I92" s="19">
        <f>IF(OR(F92="",G92=""),"",F92*G92)</f>
        <v/>
      </c>
      <c r="J92" s="18">
        <f>IF(OR(F92="",G92=""),"",ROUND(G92*(1+F92/30),1))</f>
        <v/>
      </c>
      <c r="K92" s="20" t="inlineStr"/>
    </row>
    <row r="93" ht="18" customHeight="1">
      <c r="A93" s="21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24" t="n">
        <v>35</v>
      </c>
      <c r="H93" s="22" t="n">
        <v>8</v>
      </c>
      <c r="I93" s="25">
        <f>IF(OR(F93="",G93=""),"",F93*G93)</f>
        <v/>
      </c>
      <c r="J93" s="24">
        <f>IF(OR(F93="",G93=""),"",ROUND(G93*(1+F93/30),1))</f>
        <v/>
      </c>
      <c r="K93" s="26" t="inlineStr"/>
    </row>
    <row r="94" ht="18" customHeight="1">
      <c r="A94" s="1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18" t="n">
        <v>35</v>
      </c>
      <c r="H94" s="16" t="n">
        <v>8</v>
      </c>
      <c r="I94" s="19">
        <f>IF(OR(F94="",G94=""),"",F94*G94)</f>
        <v/>
      </c>
      <c r="J94" s="18">
        <f>IF(OR(F94="",G94=""),"",ROUND(G94*(1+F94/30),1))</f>
        <v/>
      </c>
      <c r="K94" s="20" t="inlineStr"/>
    </row>
    <row r="95" ht="18" customHeight="1">
      <c r="A95" s="21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24" t="n">
        <v>35</v>
      </c>
      <c r="H95" s="22" t="n">
        <v>8</v>
      </c>
      <c r="I95" s="25">
        <f>IF(OR(F95="",G95=""),"",F95*G95)</f>
        <v/>
      </c>
      <c r="J95" s="24">
        <f>IF(OR(F95="",G95=""),"",ROUND(G95*(1+F95/30),1))</f>
        <v/>
      </c>
      <c r="K95" s="26" t="inlineStr"/>
    </row>
    <row r="96" ht="18" customHeight="1">
      <c r="A96" s="1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18" t="n">
        <v>35</v>
      </c>
      <c r="H96" s="16" t="n">
        <v>9</v>
      </c>
      <c r="I96" s="19">
        <f>IF(OR(F96="",G96=""),"",F96*G96)</f>
        <v/>
      </c>
      <c r="J96" s="18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21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24" t="n">
        <v>12</v>
      </c>
      <c r="H97" s="22" t="n">
        <v>8</v>
      </c>
      <c r="I97" s="25">
        <f>IF(OR(F97="",G97=""),"",F97*G97)</f>
        <v/>
      </c>
      <c r="J97" s="24">
        <f>IF(OR(F97="",G97=""),"",ROUND(G97*(1+F97/30),1))</f>
        <v/>
      </c>
      <c r="K97" s="26" t="inlineStr"/>
    </row>
    <row r="98" ht="18" customHeight="1">
      <c r="A98" s="1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18" t="n">
        <v>12</v>
      </c>
      <c r="H98" s="16" t="n">
        <v>8</v>
      </c>
      <c r="I98" s="19">
        <f>IF(OR(F98="",G98=""),"",F98*G98)</f>
        <v/>
      </c>
      <c r="J98" s="18">
        <f>IF(OR(F98="",G98=""),"",ROUND(G98*(1+F98/30),1))</f>
        <v/>
      </c>
      <c r="K98" s="20" t="inlineStr"/>
    </row>
    <row r="99" ht="18" customHeight="1">
      <c r="A99" s="21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24" t="n">
        <v>12</v>
      </c>
      <c r="H99" s="22" t="n">
        <v>8</v>
      </c>
      <c r="I99" s="25">
        <f>IF(OR(F99="",G99=""),"",F99*G99)</f>
        <v/>
      </c>
      <c r="J99" s="24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1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18" t="n">
        <v>37.5</v>
      </c>
      <c r="H100" s="16" t="n">
        <v>7</v>
      </c>
      <c r="I100" s="19">
        <f>IF(OR(F100="",G100=""),"",F100*G100)</f>
        <v/>
      </c>
      <c r="J100" s="18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21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24" t="n">
        <v>40</v>
      </c>
      <c r="H101" s="22" t="n">
        <v>8</v>
      </c>
      <c r="I101" s="25">
        <f>IF(OR(F101="",G101=""),"",F101*G101)</f>
        <v/>
      </c>
      <c r="J101" s="24">
        <f>IF(OR(F101="",G101=""),"",ROUND(G101*(1+F101/30),1))</f>
        <v/>
      </c>
      <c r="K101" s="26" t="inlineStr"/>
    </row>
    <row r="102" ht="18" customHeight="1">
      <c r="A102" s="1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18" t="n">
        <v>40</v>
      </c>
      <c r="H102" s="16" t="n">
        <v>8</v>
      </c>
      <c r="I102" s="19">
        <f>IF(OR(F102="",G102=""),"",F102*G102)</f>
        <v/>
      </c>
      <c r="J102" s="18">
        <f>IF(OR(F102="",G102=""),"",ROUND(G102*(1+F102/30),1))</f>
        <v/>
      </c>
      <c r="K102" s="20" t="inlineStr"/>
    </row>
    <row r="103" ht="18" customHeight="1">
      <c r="A103" s="21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24" t="n">
        <v>40</v>
      </c>
      <c r="H103" s="22" t="n">
        <v>8</v>
      </c>
      <c r="I103" s="25">
        <f>IF(OR(F103="",G103=""),"",F103*G103)</f>
        <v/>
      </c>
      <c r="J103" s="24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1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18" t="n">
        <v>7.5</v>
      </c>
      <c r="H104" s="16" t="n">
        <v>9</v>
      </c>
      <c r="I104" s="19">
        <f>IF(OR(F104="",G104=""),"",F104*G104)</f>
        <v/>
      </c>
      <c r="J104" s="18">
        <f>IF(OR(F104="",G104=""),"",ROUND(G104*(1+F104/30),1))</f>
        <v/>
      </c>
      <c r="K104" s="20" t="inlineStr"/>
    </row>
    <row r="105" ht="18" customHeight="1">
      <c r="A105" s="21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24" t="n">
        <v>7.5</v>
      </c>
      <c r="H105" s="22" t="n">
        <v>10</v>
      </c>
      <c r="I105" s="25">
        <f>IF(OR(F105="",G105=""),"",F105*G105)</f>
        <v/>
      </c>
      <c r="J105" s="24">
        <f>IF(OR(F105="",G105=""),"",ROUND(G105*(1+F105/30),1))</f>
        <v/>
      </c>
      <c r="K105" s="26" t="inlineStr"/>
    </row>
    <row r="106" ht="18" customHeight="1">
      <c r="A106" s="1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18" t="n">
        <v>7.5</v>
      </c>
      <c r="H106" s="16" t="n">
        <v>10</v>
      </c>
      <c r="I106" s="19">
        <f>IF(OR(F106="",G106=""),"",F106*G106)</f>
        <v/>
      </c>
      <c r="J106" s="18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21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24" t="n">
        <v>12.5</v>
      </c>
      <c r="H107" s="22" t="n">
        <v>8</v>
      </c>
      <c r="I107" s="25">
        <f>IF(OR(F107="",G107=""),"",F107*G107)</f>
        <v/>
      </c>
      <c r="J107" s="24">
        <f>IF(OR(F107="",G107=""),"",ROUND(G107*(1+F107/30),1))</f>
        <v/>
      </c>
      <c r="K107" s="26" t="inlineStr"/>
    </row>
    <row r="108" ht="18" customHeight="1">
      <c r="A108" s="1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18" t="n">
        <v>12.5</v>
      </c>
      <c r="H108" s="16" t="n">
        <v>8</v>
      </c>
      <c r="I108" s="19">
        <f>IF(OR(F108="",G108=""),"",F108*G108)</f>
        <v/>
      </c>
      <c r="J108" s="18">
        <f>IF(OR(F108="",G108=""),"",ROUND(G108*(1+F108/30),1))</f>
        <v/>
      </c>
      <c r="K108" s="20" t="inlineStr"/>
    </row>
    <row r="109" ht="18" customHeight="1">
      <c r="A109" s="21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24" t="n">
        <v>12.5</v>
      </c>
      <c r="H109" s="22" t="n">
        <v>9</v>
      </c>
      <c r="I109" s="25">
        <f>IF(OR(F109="",G109=""),"",F109*G109)</f>
        <v/>
      </c>
      <c r="J109" s="24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1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18" t="n">
        <v>12.5</v>
      </c>
      <c r="H110" s="16" t="n">
        <v>6</v>
      </c>
      <c r="I110" s="19">
        <f>IF(OR(F110="",G110=""),"",F110*G110)</f>
        <v/>
      </c>
      <c r="J110" s="18">
        <f>IF(OR(F110="",G110=""),"",ROUND(G110*(1+F110/30),1))</f>
        <v/>
      </c>
      <c r="K110" s="20" t="inlineStr"/>
    </row>
    <row r="111" ht="18" customHeight="1">
      <c r="A111" s="21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24" t="n">
        <v>15</v>
      </c>
      <c r="H111" s="22" t="n">
        <v>7</v>
      </c>
      <c r="I111" s="25">
        <f>IF(OR(F111="",G111=""),"",F111*G111)</f>
        <v/>
      </c>
      <c r="J111" s="24">
        <f>IF(OR(F111="",G111=""),"",ROUND(G111*(1+F111/30),1))</f>
        <v/>
      </c>
      <c r="K111" s="26" t="inlineStr"/>
    </row>
    <row r="112" ht="18" customHeight="1">
      <c r="A112" s="1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18" t="n">
        <v>17.5</v>
      </c>
      <c r="H112" s="16" t="n">
        <v>10</v>
      </c>
      <c r="I112" s="19">
        <f>IF(OR(F112="",G112=""),"",F112*G112)</f>
        <v/>
      </c>
      <c r="J112" s="18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21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24" t="n">
        <v>8</v>
      </c>
      <c r="H113" s="22" t="n">
        <v>8</v>
      </c>
      <c r="I113" s="25">
        <f>IF(OR(F113="",G113=""),"",F113*G113)</f>
        <v/>
      </c>
      <c r="J113" s="24">
        <f>IF(OR(F113="",G113=""),"",ROUND(G113*(1+F113/30),1))</f>
        <v/>
      </c>
      <c r="K113" s="26" t="inlineStr"/>
    </row>
    <row r="114" ht="18" customHeight="1">
      <c r="A114" s="1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18" t="n">
        <v>8</v>
      </c>
      <c r="H114" s="16" t="n">
        <v>9</v>
      </c>
      <c r="I114" s="19">
        <f>IF(OR(F114="",G114=""),"",F114*G114)</f>
        <v/>
      </c>
      <c r="J114" s="18">
        <f>IF(OR(F114="",G114=""),"",ROUND(G114*(1+F114/30),1))</f>
        <v/>
      </c>
      <c r="K114" s="20" t="inlineStr"/>
    </row>
    <row r="115" ht="18" customHeight="1">
      <c r="A115" s="21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24" t="n">
        <v>8</v>
      </c>
      <c r="H115" s="22" t="n">
        <v>10</v>
      </c>
      <c r="I115" s="25">
        <f>IF(OR(F115="",G115=""),"",F115*G115)</f>
        <v/>
      </c>
      <c r="J115" s="24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1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18" t="n">
        <v>35</v>
      </c>
      <c r="H116" s="16" t="n">
        <v>7</v>
      </c>
      <c r="I116" s="19">
        <f>IF(OR(F116="",G116=""),"",F116*G116)</f>
        <v/>
      </c>
      <c r="J116" s="18">
        <f>IF(OR(F116="",G116=""),"",ROUND(G116*(1+F116/30),1))</f>
        <v/>
      </c>
      <c r="K116" s="20" t="inlineStr"/>
    </row>
    <row r="117" ht="18" customHeight="1">
      <c r="A117" s="21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24" t="n">
        <v>35</v>
      </c>
      <c r="H117" s="22" t="n">
        <v>7.5</v>
      </c>
      <c r="I117" s="25">
        <f>IF(OR(F117="",G117=""),"",F117*G117)</f>
        <v/>
      </c>
      <c r="J117" s="24">
        <f>IF(OR(F117="",G117=""),"",ROUND(G117*(1+F117/30),1))</f>
        <v/>
      </c>
      <c r="K117" s="26" t="inlineStr"/>
    </row>
    <row r="118" ht="18" customHeight="1">
      <c r="A118" s="1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18" t="n">
        <v>35</v>
      </c>
      <c r="H118" s="16" t="n">
        <v>8</v>
      </c>
      <c r="I118" s="19">
        <f>IF(OR(F118="",G118=""),"",F118*G118)</f>
        <v/>
      </c>
      <c r="J118" s="18">
        <f>IF(OR(F118="",G118=""),"",ROUND(G118*(1+F118/30),1))</f>
        <v/>
      </c>
      <c r="K118" s="20" t="inlineStr"/>
    </row>
    <row r="119" ht="18" customHeight="1">
      <c r="A119" s="21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24" t="n">
        <v>35</v>
      </c>
      <c r="H119" s="22" t="n">
        <v>8</v>
      </c>
      <c r="I119" s="25">
        <f>IF(OR(F119="",G119=""),"",F119*G119)</f>
        <v/>
      </c>
      <c r="J119" s="24">
        <f>IF(OR(F119="",G119=""),"",ROUND(G119*(1+F119/30),1))</f>
        <v/>
      </c>
      <c r="K119" s="26" t="inlineStr"/>
    </row>
    <row r="120" ht="18" customHeight="1">
      <c r="A120" s="1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18" t="n">
        <v>35</v>
      </c>
      <c r="H120" s="16" t="n">
        <v>8</v>
      </c>
      <c r="I120" s="19">
        <f>IF(OR(F120="",G120=""),"",F120*G120)</f>
        <v/>
      </c>
      <c r="J120" s="18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21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24" t="n">
        <v>30</v>
      </c>
      <c r="H121" s="22" t="n">
        <v>7</v>
      </c>
      <c r="I121" s="25">
        <f>IF(OR(F121="",G121=""),"",F121*G121)</f>
        <v/>
      </c>
      <c r="J121" s="24">
        <f>IF(OR(F121="",G121=""),"",ROUND(G121*(1+F121/30),1))</f>
        <v/>
      </c>
      <c r="K121" s="26" t="inlineStr"/>
    </row>
    <row r="122" ht="18" customHeight="1">
      <c r="A122" s="1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18" t="n">
        <v>30</v>
      </c>
      <c r="H122" s="16" t="n">
        <v>7</v>
      </c>
      <c r="I122" s="19">
        <f>IF(OR(F122="",G122=""),"",F122*G122)</f>
        <v/>
      </c>
      <c r="J122" s="18">
        <f>IF(OR(F122="",G122=""),"",ROUND(G122*(1+F122/30),1))</f>
        <v/>
      </c>
      <c r="K122" s="20" t="inlineStr"/>
    </row>
    <row r="123" ht="18" customHeight="1">
      <c r="A123" s="21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24" t="n">
        <v>32.5</v>
      </c>
      <c r="H123" s="22" t="n">
        <v>8</v>
      </c>
      <c r="I123" s="25">
        <f>IF(OR(F123="",G123=""),"",F123*G123)</f>
        <v/>
      </c>
      <c r="J123" s="24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1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18" t="n">
        <v>25</v>
      </c>
      <c r="H124" s="16" t="n">
        <v>7</v>
      </c>
      <c r="I124" s="19">
        <f>IF(OR(F124="",G124=""),"",F124*G124)</f>
        <v/>
      </c>
      <c r="J124" s="18">
        <f>IF(OR(F124="",G124=""),"",ROUND(G124*(1+F124/30),1))</f>
        <v/>
      </c>
      <c r="K124" s="20" t="inlineStr"/>
    </row>
    <row r="125" ht="18" customHeight="1">
      <c r="A125" s="21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24" t="n">
        <v>25</v>
      </c>
      <c r="H125" s="22" t="n">
        <v>7</v>
      </c>
      <c r="I125" s="25">
        <f>IF(OR(F125="",G125=""),"",F125*G125)</f>
        <v/>
      </c>
      <c r="J125" s="24">
        <f>IF(OR(F125="",G125=""),"",ROUND(G125*(1+F125/30),1))</f>
        <v/>
      </c>
      <c r="K125" s="26" t="inlineStr"/>
    </row>
    <row r="126" ht="18" customHeight="1">
      <c r="A126" s="1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18" t="n">
        <v>30</v>
      </c>
      <c r="H126" s="16" t="n">
        <v>7</v>
      </c>
      <c r="I126" s="19">
        <f>IF(OR(F126="",G126=""),"",F126*G126)</f>
        <v/>
      </c>
      <c r="J126" s="18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21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24" t="n">
        <v>20</v>
      </c>
      <c r="H127" s="22" t="n">
        <v>7</v>
      </c>
      <c r="I127" s="25">
        <f>IF(OR(F127="",G127=""),"",F127*G127)</f>
        <v/>
      </c>
      <c r="J127" s="24">
        <f>IF(OR(F127="",G127=""),"",ROUND(G127*(1+F127/30),1))</f>
        <v/>
      </c>
      <c r="K127" s="26" t="inlineStr"/>
    </row>
    <row r="128" ht="18" customHeight="1">
      <c r="A128" s="1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18" t="n">
        <v>20</v>
      </c>
      <c r="H128" s="16" t="n">
        <v>7</v>
      </c>
      <c r="I128" s="19">
        <f>IF(OR(F128="",G128=""),"",F128*G128)</f>
        <v/>
      </c>
      <c r="J128" s="18">
        <f>IF(OR(F128="",G128=""),"",ROUND(G128*(1+F128/30),1))</f>
        <v/>
      </c>
      <c r="K128" s="20" t="inlineStr"/>
    </row>
    <row r="129" ht="18" customHeight="1">
      <c r="A129" s="21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24" t="n">
        <v>22.5</v>
      </c>
      <c r="H129" s="22" t="n">
        <v>9</v>
      </c>
      <c r="I129" s="25">
        <f>IF(OR(F129="",G129=""),"",F129*G129)</f>
        <v/>
      </c>
      <c r="J129" s="24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1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18" t="n">
        <v>30</v>
      </c>
      <c r="H130" s="16" t="n">
        <v>8</v>
      </c>
      <c r="I130" s="19">
        <f>IF(OR(F130="",G130=""),"",F130*G130)</f>
        <v/>
      </c>
      <c r="J130" s="18">
        <f>IF(OR(F130="",G130=""),"",ROUND(G130*(1+F130/30),1))</f>
        <v/>
      </c>
      <c r="K130" s="20" t="inlineStr"/>
    </row>
    <row r="131" ht="18" customHeight="1">
      <c r="A131" s="21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24" t="n">
        <v>30</v>
      </c>
      <c r="H131" s="22" t="n">
        <v>9</v>
      </c>
      <c r="I131" s="25">
        <f>IF(OR(F131="",G131=""),"",F131*G131)</f>
        <v/>
      </c>
      <c r="J131" s="24">
        <f>IF(OR(F131="",G131=""),"",ROUND(G131*(1+F131/30),1))</f>
        <v/>
      </c>
      <c r="K131" s="26" t="inlineStr"/>
    </row>
    <row r="132" ht="18" customHeight="1">
      <c r="A132" s="1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18" t="n">
        <v>30</v>
      </c>
      <c r="H132" s="16" t="n">
        <v>10</v>
      </c>
      <c r="I132" s="19">
        <f>IF(OR(F132="",G132=""),"",F132*G132)</f>
        <v/>
      </c>
      <c r="J132" s="18">
        <f>IF(OR(F132="",G132=""),"",ROUND(G132*(1+F132/30),1))</f>
        <v/>
      </c>
      <c r="K132" s="20" t="inlineStr"/>
    </row>
    <row r="133" ht="18" customHeight="1">
      <c r="A133" s="21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24" t="n">
        <v>30</v>
      </c>
      <c r="H133" s="22" t="n">
        <v>10</v>
      </c>
      <c r="I133" s="25">
        <f>IF(OR(F133="",G133=""),"",F133*G133)</f>
        <v/>
      </c>
      <c r="J133" s="24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1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18" t="n">
        <v>0</v>
      </c>
      <c r="H134" s="16" t="n">
        <v>8</v>
      </c>
      <c r="I134" s="19">
        <f>IF(OR(F134="",G134=""),"",F134*G134)</f>
        <v/>
      </c>
      <c r="J134" s="18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21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24" t="n">
        <v>0</v>
      </c>
      <c r="H135" s="22" t="n">
        <v>9</v>
      </c>
      <c r="I135" s="25">
        <f>IF(OR(F135="",G135=""),"",F135*G135)</f>
        <v/>
      </c>
      <c r="J135" s="24">
        <f>IF(OR(F135="",G135=""),"",ROUND(G135*(1+F135/30),1))</f>
        <v/>
      </c>
      <c r="K135" s="26" t="inlineStr">
        <is>
          <t>BW</t>
        </is>
      </c>
    </row>
    <row r="136" ht="18" customHeight="1">
      <c r="A136" s="1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18" t="n">
        <v>0</v>
      </c>
      <c r="H136" s="16" t="n">
        <v>9</v>
      </c>
      <c r="I136" s="19">
        <f>IF(OR(F136="",G136=""),"",F136*G136)</f>
        <v/>
      </c>
      <c r="J136" s="18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21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24" t="n">
        <v>25</v>
      </c>
      <c r="H137" s="22" t="n">
        <v>9</v>
      </c>
      <c r="I137" s="25">
        <f>IF(OR(F137="",G137=""),"",F137*G137)</f>
        <v/>
      </c>
      <c r="J137" s="24">
        <f>IF(OR(F137="",G137=""),"",ROUND(G137*(1+F137/30),1))</f>
        <v/>
      </c>
      <c r="K137" s="26" t="inlineStr"/>
    </row>
    <row r="138" ht="18" customHeight="1">
      <c r="A138" s="1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18" t="n">
        <v>25</v>
      </c>
      <c r="H138" s="16" t="n">
        <v>9</v>
      </c>
      <c r="I138" s="19">
        <f>IF(OR(F138="",G138=""),"",F138*G138)</f>
        <v/>
      </c>
      <c r="J138" s="18">
        <f>IF(OR(F138="",G138=""),"",ROUND(G138*(1+F138/30),1))</f>
        <v/>
      </c>
      <c r="K138" s="20" t="inlineStr"/>
    </row>
    <row r="139" ht="18" customHeight="1">
      <c r="A139" s="21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24" t="n">
        <v>25</v>
      </c>
      <c r="H139" s="22" t="n">
        <v>10</v>
      </c>
      <c r="I139" s="25">
        <f>IF(OR(F139="",G139=""),"",F139*G139)</f>
        <v/>
      </c>
      <c r="J139" s="24">
        <f>IF(OR(F139="",G139=""),"",ROUND(G139*(1+F139/30),1))</f>
        <v/>
      </c>
      <c r="K139" s="26" t="inlineStr"/>
    </row>
    <row r="140" ht="18" customHeight="1">
      <c r="A140" s="1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18" t="n">
        <v>25</v>
      </c>
      <c r="H140" s="16" t="n">
        <v>9</v>
      </c>
      <c r="I140" s="19">
        <f>IF(OR(F140="",G140=""),"",F140*G140)</f>
        <v/>
      </c>
      <c r="J140" s="18">
        <f>IF(OR(F140="",G140=""),"",ROUND(G140*(1+F140/30),1))</f>
        <v/>
      </c>
      <c r="K140" s="20" t="inlineStr"/>
    </row>
    <row r="141" ht="18" customHeight="1">
      <c r="A141" s="21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24" t="n">
        <v>25</v>
      </c>
      <c r="H141" s="22" t="n">
        <v>10</v>
      </c>
      <c r="I141" s="25">
        <f>IF(OR(F141="",G141=""),"",F141*G141)</f>
        <v/>
      </c>
      <c r="J141" s="24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1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18" t="n">
        <v>42.5</v>
      </c>
      <c r="H142" s="16" t="n">
        <v>7</v>
      </c>
      <c r="I142" s="19">
        <f>IF(OR(F142="",G142=""),"",F142*G142)</f>
        <v/>
      </c>
      <c r="J142" s="18">
        <f>IF(OR(F142="",G142=""),"",ROUND(G142*(1+F142/30),1))</f>
        <v/>
      </c>
      <c r="K142" s="20" t="inlineStr"/>
    </row>
    <row r="143" ht="18" customHeight="1">
      <c r="A143" s="21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24" t="n">
        <v>42.5</v>
      </c>
      <c r="H143" s="22" t="n">
        <v>8</v>
      </c>
      <c r="I143" s="25">
        <f>IF(OR(F143="",G143=""),"",F143*G143)</f>
        <v/>
      </c>
      <c r="J143" s="24">
        <f>IF(OR(F143="",G143=""),"",ROUND(G143*(1+F143/30),1))</f>
        <v/>
      </c>
      <c r="K143" s="26" t="inlineStr"/>
    </row>
    <row r="144" ht="18" customHeight="1">
      <c r="A144" s="1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18" t="n">
        <v>42.5</v>
      </c>
      <c r="H144" s="16" t="n">
        <v>8</v>
      </c>
      <c r="I144" s="19">
        <f>IF(OR(F144="",G144=""),"",F144*G144)</f>
        <v/>
      </c>
      <c r="J144" s="18">
        <f>IF(OR(F144="",G144=""),"",ROUND(G144*(1+F144/30),1))</f>
        <v/>
      </c>
      <c r="K144" s="20" t="inlineStr"/>
    </row>
    <row r="145" ht="18" customHeight="1">
      <c r="A145" s="21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24" t="n">
        <v>42.5</v>
      </c>
      <c r="H145" s="22" t="n">
        <v>9</v>
      </c>
      <c r="I145" s="25">
        <f>IF(OR(F145="",G145=""),"",F145*G145)</f>
        <v/>
      </c>
      <c r="J145" s="24">
        <f>IF(OR(F145="",G145=""),"",ROUND(G145*(1+F145/30),1))</f>
        <v/>
      </c>
      <c r="K145" s="26" t="inlineStr"/>
    </row>
    <row r="146" ht="18" customHeight="1">
      <c r="A146" s="1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18" t="n">
        <v>42.5</v>
      </c>
      <c r="H146" s="16" t="n">
        <v>10</v>
      </c>
      <c r="I146" s="19">
        <f>IF(OR(F146="",G146=""),"",F146*G146)</f>
        <v/>
      </c>
      <c r="J146" s="18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21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24" t="n">
        <v>12</v>
      </c>
      <c r="H147" s="22" t="n">
        <v>7</v>
      </c>
      <c r="I147" s="25">
        <f>IF(OR(F147="",G147=""),"",F147*G147)</f>
        <v/>
      </c>
      <c r="J147" s="24">
        <f>IF(OR(F147="",G147=""),"",ROUND(G147*(1+F147/30),1))</f>
        <v/>
      </c>
      <c r="K147" s="26" t="inlineStr"/>
    </row>
    <row r="148" ht="18" customHeight="1">
      <c r="A148" s="1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18" t="n">
        <v>12</v>
      </c>
      <c r="H148" s="16" t="n">
        <v>7</v>
      </c>
      <c r="I148" s="19">
        <f>IF(OR(F148="",G148=""),"",F148*G148)</f>
        <v/>
      </c>
      <c r="J148" s="18">
        <f>IF(OR(F148="",G148=""),"",ROUND(G148*(1+F148/30),1))</f>
        <v/>
      </c>
      <c r="K148" s="20" t="inlineStr"/>
    </row>
    <row r="149" ht="18" customHeight="1">
      <c r="A149" s="21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24" t="n">
        <v>12</v>
      </c>
      <c r="H149" s="22" t="n">
        <v>9</v>
      </c>
      <c r="I149" s="25">
        <f>IF(OR(F149="",G149=""),"",F149*G149)</f>
        <v/>
      </c>
      <c r="J149" s="24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1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18" t="n">
        <v>30</v>
      </c>
      <c r="H150" s="16" t="n">
        <v>7</v>
      </c>
      <c r="I150" s="19">
        <f>IF(OR(F150="",G150=""),"",F150*G150)</f>
        <v/>
      </c>
      <c r="J150" s="18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21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24" t="n">
        <v>30</v>
      </c>
      <c r="H151" s="22" t="n">
        <v>8</v>
      </c>
      <c r="I151" s="25">
        <f>IF(OR(F151="",G151=""),"",F151*G151)</f>
        <v/>
      </c>
      <c r="J151" s="24">
        <f>IF(OR(F151="",G151=""),"",ROUND(G151*(1+F151/30),1))</f>
        <v/>
      </c>
      <c r="K151" s="26" t="inlineStr"/>
    </row>
    <row r="152" ht="18" customHeight="1">
      <c r="A152" s="1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18" t="n">
        <v>30</v>
      </c>
      <c r="H152" s="16" t="n">
        <v>10</v>
      </c>
      <c r="I152" s="19">
        <f>IF(OR(F152="",G152=""),"",F152*G152)</f>
        <v/>
      </c>
      <c r="J152" s="18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21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24" t="n">
        <v>5</v>
      </c>
      <c r="H153" s="22" t="n">
        <v>7</v>
      </c>
      <c r="I153" s="25">
        <f>IF(OR(F153="",G153=""),"",F153*G153)</f>
        <v/>
      </c>
      <c r="J153" s="24">
        <f>IF(OR(F153="",G153=""),"",ROUND(G153*(1+F153/30),1))</f>
        <v/>
      </c>
      <c r="K153" s="26" t="inlineStr"/>
    </row>
    <row r="154" ht="18" customHeight="1">
      <c r="A154" s="1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18" t="n">
        <v>5</v>
      </c>
      <c r="H154" s="16" t="n">
        <v>9</v>
      </c>
      <c r="I154" s="19">
        <f>IF(OR(F154="",G154=""),"",F154*G154)</f>
        <v/>
      </c>
      <c r="J154" s="18">
        <f>IF(OR(F154="",G154=""),"",ROUND(G154*(1+F154/30),1))</f>
        <v/>
      </c>
      <c r="K154" s="20" t="inlineStr"/>
    </row>
    <row r="155" ht="18" customHeight="1">
      <c r="A155" s="21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24" t="n">
        <v>5</v>
      </c>
      <c r="H155" s="22" t="n">
        <v>9</v>
      </c>
      <c r="I155" s="25">
        <f>IF(OR(F155="",G155=""),"",F155*G155)</f>
        <v/>
      </c>
      <c r="J155" s="24">
        <f>IF(OR(F155="",G155=""),"",ROUND(G155*(1+F155/30),1))</f>
        <v/>
      </c>
      <c r="K155" s="26" t="inlineStr"/>
    </row>
    <row r="156" ht="18" customHeight="1">
      <c r="A156" s="1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18" t="n">
        <v>5</v>
      </c>
      <c r="H156" s="16" t="n">
        <v>10</v>
      </c>
      <c r="I156" s="19">
        <f>IF(OR(F156="",G156=""),"",F156*G156)</f>
        <v/>
      </c>
      <c r="J156" s="18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21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24" t="n">
        <v>12.5</v>
      </c>
      <c r="H157" s="22" t="n">
        <v>8</v>
      </c>
      <c r="I157" s="25">
        <f>IF(OR(F157="",G157=""),"",F157*G157)</f>
        <v/>
      </c>
      <c r="J157" s="24">
        <f>IF(OR(F157="",G157=""),"",ROUND(G157*(1+F157/30),1))</f>
        <v/>
      </c>
      <c r="K157" s="26" t="inlineStr"/>
    </row>
    <row r="158" ht="18" customHeight="1">
      <c r="A158" s="1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18" t="n">
        <v>12.5</v>
      </c>
      <c r="H158" s="16" t="n">
        <v>10</v>
      </c>
      <c r="I158" s="19">
        <f>IF(OR(F158="",G158=""),"",F158*G158)</f>
        <v/>
      </c>
      <c r="J158" s="18">
        <f>IF(OR(F158="",G158=""),"",ROUND(G158*(1+F158/30),1))</f>
        <v/>
      </c>
      <c r="K158" s="20" t="inlineStr"/>
    </row>
    <row r="159" ht="18" customHeight="1">
      <c r="A159" s="21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24" t="n">
        <v>12.5</v>
      </c>
      <c r="H159" s="22" t="n">
        <v>10</v>
      </c>
      <c r="I159" s="25">
        <f>IF(OR(F159="",G159=""),"",F159*G159)</f>
        <v/>
      </c>
      <c r="J159" s="24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1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18" t="n">
        <v>8</v>
      </c>
      <c r="H160" s="16" t="n">
        <v>9</v>
      </c>
      <c r="I160" s="19">
        <f>IF(OR(F160="",G160=""),"",F160*G160)</f>
        <v/>
      </c>
      <c r="J160" s="18">
        <f>IF(OR(F160="",G160=""),"",ROUND(G160*(1+F160/30),1))</f>
        <v/>
      </c>
      <c r="K160" s="20" t="inlineStr"/>
    </row>
    <row r="161" ht="18" customHeight="1">
      <c r="A161" s="21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24" t="n">
        <v>8</v>
      </c>
      <c r="H161" s="22" t="n">
        <v>8</v>
      </c>
      <c r="I161" s="25">
        <f>IF(OR(F161="",G161=""),"",F161*G161)</f>
        <v/>
      </c>
      <c r="J161" s="24">
        <f>IF(OR(F161="",G161=""),"",ROUND(G161*(1+F161/30),1))</f>
        <v/>
      </c>
      <c r="K161" s="26" t="inlineStr"/>
    </row>
    <row r="162" ht="18" customHeight="1">
      <c r="A162" s="1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18" t="n">
        <v>8</v>
      </c>
      <c r="H162" s="16" t="n">
        <v>8</v>
      </c>
      <c r="I162" s="19">
        <f>IF(OR(F162="",G162=""),"",F162*G162)</f>
        <v/>
      </c>
      <c r="J162" s="18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21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24" t="n">
        <v>13.6</v>
      </c>
      <c r="H163" s="22" t="n">
        <v>7</v>
      </c>
      <c r="I163" s="25">
        <f>IF(OR(F163="",G163=""),"",F163*G163)</f>
        <v/>
      </c>
      <c r="J163" s="24">
        <f>IF(OR(F163="",G163=""),"",ROUND(G163*(1+F163/30),1))</f>
        <v/>
      </c>
      <c r="K163" s="26" t="inlineStr"/>
    </row>
    <row r="164" ht="18" customHeight="1">
      <c r="A164" s="1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18" t="n">
        <v>13.6</v>
      </c>
      <c r="H164" s="16" t="n">
        <v>8</v>
      </c>
      <c r="I164" s="19">
        <f>IF(OR(F164="",G164=""),"",F164*G164)</f>
        <v/>
      </c>
      <c r="J164" s="18">
        <f>IF(OR(F164="",G164=""),"",ROUND(G164*(1+F164/30),1))</f>
        <v/>
      </c>
      <c r="K164" s="20" t="inlineStr"/>
    </row>
    <row r="165" ht="18" customHeight="1">
      <c r="A165" s="21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24" t="n">
        <v>13.6</v>
      </c>
      <c r="H165" s="22" t="n">
        <v>9</v>
      </c>
      <c r="I165" s="25">
        <f>IF(OR(F165="",G165=""),"",F165*G165)</f>
        <v/>
      </c>
      <c r="J165" s="24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1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18" t="n">
        <v>45</v>
      </c>
      <c r="H166" s="16" t="n">
        <v>8</v>
      </c>
      <c r="I166" s="19">
        <f>IF(OR(F166="",G166=""),"",F166*G166)</f>
        <v/>
      </c>
      <c r="J166" s="18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21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24" t="n">
        <v>45</v>
      </c>
      <c r="H167" s="22" t="n">
        <v>7</v>
      </c>
      <c r="I167" s="25">
        <f>IF(OR(F167="",G167=""),"",F167*G167)</f>
        <v/>
      </c>
      <c r="J167" s="24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1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18" t="n">
        <v>10</v>
      </c>
      <c r="H168" s="16" t="n">
        <v>8</v>
      </c>
      <c r="I168" s="19">
        <f>IF(OR(F168="",G168=""),"",F168*G168)</f>
        <v/>
      </c>
      <c r="J168" s="18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21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24" t="n">
        <v>10</v>
      </c>
      <c r="H169" s="22" t="n">
        <v>8</v>
      </c>
      <c r="I169" s="25">
        <f>IF(OR(F169="",G169=""),"",F169*G169)</f>
        <v/>
      </c>
      <c r="J169" s="24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1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18" t="n">
        <v>12.5</v>
      </c>
      <c r="H170" s="16" t="n">
        <v>10</v>
      </c>
      <c r="I170" s="19">
        <f>IF(OR(F170="",G170=""),"",F170*G170)</f>
        <v/>
      </c>
      <c r="J170" s="18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21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24" t="n">
        <v>12.5</v>
      </c>
      <c r="H171" s="22" t="n">
        <v>10</v>
      </c>
      <c r="I171" s="25">
        <f>IF(OR(F171="",G171=""),"",F171*G171)</f>
        <v/>
      </c>
      <c r="J171" s="24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1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18" t="n">
        <v>14</v>
      </c>
      <c r="H172" s="16" t="n">
        <v>7</v>
      </c>
      <c r="I172" s="19">
        <f>IF(OR(F172="",G172=""),"",F172*G172)</f>
        <v/>
      </c>
      <c r="J172" s="18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21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24" t="n">
        <v>14</v>
      </c>
      <c r="H173" s="22" t="n">
        <v>7</v>
      </c>
      <c r="I173" s="25">
        <f>IF(OR(F173="",G173=""),"",F173*G173)</f>
        <v/>
      </c>
      <c r="J173" s="24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1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18" t="n">
        <v>30</v>
      </c>
      <c r="H174" s="16" t="n">
        <v>6</v>
      </c>
      <c r="I174" s="19">
        <f>IF(OR(F174="",G174=""),"",F174*G174)</f>
        <v/>
      </c>
      <c r="J174" s="18">
        <f>IF(OR(F174="",G174=""),"",ROUND(G174*(1+F174/30),1))</f>
        <v/>
      </c>
      <c r="K174" s="20" t="inlineStr">
        <is>
          <t>soleus bias</t>
        </is>
      </c>
    </row>
    <row r="175" ht="18" customHeight="1">
      <c r="A175" s="21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24" t="n">
        <v>30</v>
      </c>
      <c r="H175" s="22" t="n">
        <v>6</v>
      </c>
      <c r="I175" s="25">
        <f>IF(OR(F175="",G175=""),"",F175*G175)</f>
        <v/>
      </c>
      <c r="J175" s="24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1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18" t="n">
        <v>0</v>
      </c>
      <c r="H176" s="16" t="n">
        <v>10</v>
      </c>
      <c r="I176" s="19">
        <f>IF(OR(F176="",G176=""),"",F176*G176)</f>
        <v/>
      </c>
      <c r="J176" s="18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21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24" t="n">
        <v>0</v>
      </c>
      <c r="H177" s="22" t="n">
        <v>10</v>
      </c>
      <c r="I177" s="25">
        <f>IF(OR(F177="",G177=""),"",F177*G177)</f>
        <v/>
      </c>
      <c r="J177" s="24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1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18" t="n">
        <v>37.5</v>
      </c>
      <c r="H178" s="16" t="n">
        <v>8</v>
      </c>
      <c r="I178" s="19">
        <f>IF(OR(F178="",G178=""),"",F178*G178)</f>
        <v/>
      </c>
      <c r="J178" s="18">
        <f>IF(OR(F178="",G178=""),"",ROUND(G178*(1+F178/30),1))</f>
        <v/>
      </c>
      <c r="K178" s="20" t="inlineStr"/>
    </row>
    <row r="179" ht="18" customHeight="1">
      <c r="A179" s="21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24" t="n">
        <v>37.5</v>
      </c>
      <c r="H179" s="22" t="n">
        <v>8</v>
      </c>
      <c r="I179" s="25">
        <f>IF(OR(F179="",G179=""),"",F179*G179)</f>
        <v/>
      </c>
      <c r="J179" s="24">
        <f>IF(OR(F179="",G179=""),"",ROUND(G179*(1+F179/30),1))</f>
        <v/>
      </c>
      <c r="K179" s="26" t="inlineStr"/>
    </row>
    <row r="180" ht="18" customHeight="1">
      <c r="A180" s="1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18" t="n">
        <v>37.5</v>
      </c>
      <c r="H180" s="16" t="n">
        <v>9</v>
      </c>
      <c r="I180" s="19">
        <f>IF(OR(F180="",G180=""),"",F180*G180)</f>
        <v/>
      </c>
      <c r="J180" s="18">
        <f>IF(OR(F180="",G180=""),"",ROUND(G180*(1+F180/30),1))</f>
        <v/>
      </c>
      <c r="K180" s="20" t="inlineStr"/>
    </row>
    <row r="181" ht="18" customHeight="1">
      <c r="A181" s="21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24" t="n">
        <v>37.5</v>
      </c>
      <c r="H181" s="22" t="n">
        <v>10</v>
      </c>
      <c r="I181" s="25">
        <f>IF(OR(F181="",G181=""),"",F181*G181)</f>
        <v/>
      </c>
      <c r="J181" s="24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1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18" t="n">
        <v>37.5</v>
      </c>
      <c r="H182" s="16" t="n">
        <v>9</v>
      </c>
      <c r="I182" s="19">
        <f>IF(OR(F182="",G182=""),"",F182*G182)</f>
        <v/>
      </c>
      <c r="J182" s="18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21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24" t="n">
        <v>37.5</v>
      </c>
      <c r="H183" s="22" t="n">
        <v>8</v>
      </c>
      <c r="I183" s="25">
        <f>IF(OR(F183="",G183=""),"",F183*G183)</f>
        <v/>
      </c>
      <c r="J183" s="24">
        <f>IF(OR(F183="",G183=""),"",ROUND(G183*(1+F183/30),1))</f>
        <v/>
      </c>
      <c r="K183" s="26" t="inlineStr"/>
    </row>
    <row r="184" ht="18" customHeight="1">
      <c r="A184" s="1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18" t="n">
        <v>37.5</v>
      </c>
      <c r="H184" s="16" t="n">
        <v>8</v>
      </c>
      <c r="I184" s="19">
        <f>IF(OR(F184="",G184=""),"",F184*G184)</f>
        <v/>
      </c>
      <c r="J184" s="18">
        <f>IF(OR(F184="",G184=""),"",ROUND(G184*(1+F184/30),1))</f>
        <v/>
      </c>
      <c r="K184" s="20" t="inlineStr"/>
    </row>
    <row r="185" ht="18" customHeight="1">
      <c r="A185" s="21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24" t="n">
        <v>37.5</v>
      </c>
      <c r="H185" s="22" t="n">
        <v>8</v>
      </c>
      <c r="I185" s="25">
        <f>IF(OR(F185="",G185=""),"",F185*G185)</f>
        <v/>
      </c>
      <c r="J185" s="24">
        <f>IF(OR(F185="",G185=""),"",ROUND(G185*(1+F185/30),1))</f>
        <v/>
      </c>
      <c r="K185" s="26" t="inlineStr"/>
    </row>
    <row r="186" ht="18" customHeight="1">
      <c r="A186" s="1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18" t="n">
        <v>37.5</v>
      </c>
      <c r="H186" s="16" t="n">
        <v>9</v>
      </c>
      <c r="I186" s="19">
        <f>IF(OR(F186="",G186=""),"",F186*G186)</f>
        <v/>
      </c>
      <c r="J186" s="18">
        <f>IF(OR(F186="",G186=""),"",ROUND(G186*(1+F186/30),1))</f>
        <v/>
      </c>
      <c r="K186" s="20" t="inlineStr"/>
    </row>
    <row r="187" ht="18" customHeight="1">
      <c r="A187" s="21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24" t="n">
        <v>37.5</v>
      </c>
      <c r="H187" s="22" t="n">
        <v>9</v>
      </c>
      <c r="I187" s="25">
        <f>IF(OR(F187="",G187=""),"",F187*G187)</f>
        <v/>
      </c>
      <c r="J187" s="24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1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18" t="n">
        <v>15</v>
      </c>
      <c r="H188" s="16" t="n">
        <v>8</v>
      </c>
      <c r="I188" s="19">
        <f>IF(OR(F188="",G188=""),"",F188*G188)</f>
        <v/>
      </c>
      <c r="J188" s="18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21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24" t="n">
        <v>15</v>
      </c>
      <c r="H189" s="22" t="n">
        <v>8</v>
      </c>
      <c r="I189" s="25">
        <f>IF(OR(F189="",G189=""),"",F189*G189)</f>
        <v/>
      </c>
      <c r="J189" s="24">
        <f>IF(OR(F189="",G189=""),"",ROUND(G189*(1+F189/30),1))</f>
        <v/>
      </c>
      <c r="K189" s="26" t="inlineStr"/>
    </row>
    <row r="190" ht="18" customHeight="1">
      <c r="A190" s="1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18" t="n">
        <v>15</v>
      </c>
      <c r="H190" s="16" t="n">
        <v>9</v>
      </c>
      <c r="I190" s="19">
        <f>IF(OR(F190="",G190=""),"",F190*G190)</f>
        <v/>
      </c>
      <c r="J190" s="18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21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24" t="n">
        <v>42.5</v>
      </c>
      <c r="H191" s="22" t="n">
        <v>7</v>
      </c>
      <c r="I191" s="25">
        <f>IF(OR(F191="",G191=""),"",F191*G191)</f>
        <v/>
      </c>
      <c r="J191" s="24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1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18" t="n">
        <v>42.5</v>
      </c>
      <c r="H192" s="16" t="n">
        <v>7</v>
      </c>
      <c r="I192" s="19">
        <f>IF(OR(F192="",G192=""),"",F192*G192)</f>
        <v/>
      </c>
      <c r="J192" s="18">
        <f>IF(OR(F192="",G192=""),"",ROUND(G192*(1+F192/30),1))</f>
        <v/>
      </c>
      <c r="K192" s="20" t="inlineStr">
        <is>
          <t>RIR3</t>
        </is>
      </c>
    </row>
    <row r="193" ht="18" customHeight="1">
      <c r="A193" s="21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24" t="n">
        <v>42.5</v>
      </c>
      <c r="H193" s="22" t="n">
        <v>7</v>
      </c>
      <c r="I193" s="25">
        <f>IF(OR(F193="",G193=""),"",F193*G193)</f>
        <v/>
      </c>
      <c r="J193" s="24">
        <f>IF(OR(F193="",G193=""),"",ROUND(G193*(1+F193/30),1))</f>
        <v/>
      </c>
      <c r="K193" s="26" t="inlineStr">
        <is>
          <t>RIR3</t>
        </is>
      </c>
    </row>
    <row r="194" ht="18" customHeight="1">
      <c r="A194" s="1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18" t="n">
        <v>45</v>
      </c>
      <c r="H194" s="16" t="n">
        <v>10</v>
      </c>
      <c r="I194" s="19">
        <f>IF(OR(F194="",G194=""),"",F194*G194)</f>
        <v/>
      </c>
      <c r="J194" s="18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21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24" t="n">
        <v>7.5</v>
      </c>
      <c r="H195" s="22" t="n">
        <v>8</v>
      </c>
      <c r="I195" s="25">
        <f>IF(OR(F195="",G195=""),"",F195*G195)</f>
        <v/>
      </c>
      <c r="J195" s="24">
        <f>IF(OR(F195="",G195=""),"",ROUND(G195*(1+F195/30),1))</f>
        <v/>
      </c>
      <c r="K195" s="26" t="inlineStr"/>
    </row>
    <row r="196" ht="18" customHeight="1">
      <c r="A196" s="1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18" t="n">
        <v>7.5</v>
      </c>
      <c r="H196" s="16" t="n">
        <v>8</v>
      </c>
      <c r="I196" s="19">
        <f>IF(OR(F196="",G196=""),"",F196*G196)</f>
        <v/>
      </c>
      <c r="J196" s="18">
        <f>IF(OR(F196="",G196=""),"",ROUND(G196*(1+F196/30),1))</f>
        <v/>
      </c>
      <c r="K196" s="20" t="inlineStr"/>
    </row>
    <row r="197" ht="18" customHeight="1">
      <c r="A197" s="21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24" t="n">
        <v>7.5</v>
      </c>
      <c r="H197" s="22" t="n">
        <v>10</v>
      </c>
      <c r="I197" s="25">
        <f>IF(OR(F197="",G197=""),"",F197*G197)</f>
        <v/>
      </c>
      <c r="J197" s="24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1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18" t="n">
        <v>15</v>
      </c>
      <c r="H198" s="16" t="n">
        <v>8</v>
      </c>
      <c r="I198" s="19">
        <f>IF(OR(F198="",G198=""),"",F198*G198)</f>
        <v/>
      </c>
      <c r="J198" s="18">
        <f>IF(OR(F198="",G198=""),"",ROUND(G198*(1+F198/30),1))</f>
        <v/>
      </c>
      <c r="K198" s="20" t="inlineStr"/>
    </row>
    <row r="199" ht="18" customHeight="1">
      <c r="A199" s="21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24" t="n">
        <v>15</v>
      </c>
      <c r="H199" s="22" t="n">
        <v>8</v>
      </c>
      <c r="I199" s="25">
        <f>IF(OR(F199="",G199=""),"",F199*G199)</f>
        <v/>
      </c>
      <c r="J199" s="24">
        <f>IF(OR(F199="",G199=""),"",ROUND(G199*(1+F199/30),1))</f>
        <v/>
      </c>
      <c r="K199" s="26" t="inlineStr"/>
    </row>
    <row r="200" ht="18" customHeight="1">
      <c r="A200" s="1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18" t="n">
        <v>15</v>
      </c>
      <c r="H200" s="16" t="n">
        <v>8</v>
      </c>
      <c r="I200" s="19">
        <f>IF(OR(F200="",G200=""),"",F200*G200)</f>
        <v/>
      </c>
      <c r="J200" s="18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21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24" t="n">
        <v>15</v>
      </c>
      <c r="H201" s="22" t="n">
        <v>8</v>
      </c>
      <c r="I201" s="25">
        <f>IF(OR(F201="",G201=""),"",F201*G201)</f>
        <v/>
      </c>
      <c r="J201" s="24">
        <f>IF(OR(F201="",G201=""),"",ROUND(G201*(1+F201/30),1))</f>
        <v/>
      </c>
      <c r="K201" s="26" t="inlineStr"/>
    </row>
    <row r="202" ht="18" customHeight="1">
      <c r="A202" s="1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18" t="n">
        <v>15</v>
      </c>
      <c r="H202" s="16" t="n">
        <v>8</v>
      </c>
      <c r="I202" s="19">
        <f>IF(OR(F202="",G202=""),"",F202*G202)</f>
        <v/>
      </c>
      <c r="J202" s="18">
        <f>IF(OR(F202="",G202=""),"",ROUND(G202*(1+F202/30),1))</f>
        <v/>
      </c>
      <c r="K202" s="20" t="inlineStr"/>
    </row>
    <row r="203" ht="18" customHeight="1">
      <c r="A203" s="21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24" t="n">
        <v>15</v>
      </c>
      <c r="H203" s="22" t="n">
        <v>8</v>
      </c>
      <c r="I203" s="25">
        <f>IF(OR(F203="",G203=""),"",F203*G203)</f>
        <v/>
      </c>
      <c r="J203" s="24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1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18" t="n">
        <v>8</v>
      </c>
      <c r="H204" s="16" t="n">
        <v>7</v>
      </c>
      <c r="I204" s="19">
        <f>IF(OR(F204="",G204=""),"",F204*G204)</f>
        <v/>
      </c>
      <c r="J204" s="18">
        <f>IF(OR(F204="",G204=""),"",ROUND(G204*(1+F204/30),1))</f>
        <v/>
      </c>
      <c r="K204" s="20" t="inlineStr"/>
    </row>
    <row r="205" ht="18" customHeight="1">
      <c r="A205" s="21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24" t="n">
        <v>8</v>
      </c>
      <c r="H205" s="22" t="n">
        <v>8</v>
      </c>
      <c r="I205" s="25">
        <f>IF(OR(F205="",G205=""),"",F205*G205)</f>
        <v/>
      </c>
      <c r="J205" s="24">
        <f>IF(OR(F205="",G205=""),"",ROUND(G205*(1+F205/30),1))</f>
        <v/>
      </c>
      <c r="K205" s="26" t="inlineStr"/>
    </row>
    <row r="206" ht="18" customHeight="1">
      <c r="A206" s="1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18" t="n">
        <v>8</v>
      </c>
      <c r="H206" s="16" t="n">
        <v>8</v>
      </c>
      <c r="I206" s="19">
        <f>IF(OR(F206="",G206=""),"",F206*G206)</f>
        <v/>
      </c>
      <c r="J206" s="18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21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24" t="n">
        <v>5</v>
      </c>
      <c r="H207" s="22" t="n">
        <v>5</v>
      </c>
      <c r="I207" s="25">
        <f>IF(OR(F207="",G207=""),"",F207*G207)</f>
        <v/>
      </c>
      <c r="J207" s="24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1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18" t="n">
        <v>5</v>
      </c>
      <c r="H208" s="16" t="n">
        <v>6</v>
      </c>
      <c r="I208" s="19">
        <f>IF(OR(F208="",G208=""),"",F208*G208)</f>
        <v/>
      </c>
      <c r="J208" s="18">
        <f>IF(OR(F208="",G208=""),"",ROUND(G208*(1+F208/30),1))</f>
        <v/>
      </c>
      <c r="K208" s="20" t="inlineStr"/>
    </row>
    <row r="209" ht="18" customHeight="1">
      <c r="A209" s="21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24" t="n">
        <v>5</v>
      </c>
      <c r="H209" s="22" t="n">
        <v>7</v>
      </c>
      <c r="I209" s="25">
        <f>IF(OR(F209="",G209=""),"",F209*G209)</f>
        <v/>
      </c>
      <c r="J209" s="24">
        <f>IF(OR(F209="",G209=""),"",ROUND(G209*(1+F209/30),1))</f>
        <v/>
      </c>
      <c r="K209" s="26" t="inlineStr"/>
    </row>
    <row r="210" ht="18" customHeight="1">
      <c r="A210" s="1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18" t="n">
        <v>5</v>
      </c>
      <c r="H210" s="16" t="n">
        <v>6</v>
      </c>
      <c r="I210" s="19">
        <f>IF(OR(F210="",G210=""),"",F210*G210)</f>
        <v/>
      </c>
      <c r="J210" s="18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21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24" t="n">
        <v>3</v>
      </c>
      <c r="H211" s="22" t="n">
        <v>5</v>
      </c>
      <c r="I211" s="25">
        <f>IF(OR(F211="",G211=""),"",F211*G211)</f>
        <v/>
      </c>
      <c r="J211" s="24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1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18" t="n">
        <v>3</v>
      </c>
      <c r="H212" s="16" t="n">
        <v>5</v>
      </c>
      <c r="I212" s="19">
        <f>IF(OR(F212="",G212=""),"",F212*G212)</f>
        <v/>
      </c>
      <c r="J212" s="18">
        <f>IF(OR(F212="",G212=""),"",ROUND(G212*(1+F212/30),1))</f>
        <v/>
      </c>
      <c r="K212" s="20" t="inlineStr"/>
    </row>
    <row r="213" ht="18" customHeight="1">
      <c r="A213" s="21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24" t="n">
        <v>3</v>
      </c>
      <c r="H213" s="22" t="n">
        <v>5</v>
      </c>
      <c r="I213" s="25">
        <f>IF(OR(F213="",G213=""),"",F213*G213)</f>
        <v/>
      </c>
      <c r="J213" s="24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1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18" t="n">
        <v>5</v>
      </c>
      <c r="H214" s="16" t="n">
        <v>7</v>
      </c>
      <c r="I214" s="19">
        <f>IF(OR(F214="",G214=""),"",F214*G214)</f>
        <v/>
      </c>
      <c r="J214" s="18">
        <f>IF(OR(F214="",G214=""),"",ROUND(G214*(1+F214/30),1))</f>
        <v/>
      </c>
      <c r="K214" s="20" t="inlineStr"/>
    </row>
    <row r="215" ht="18" customHeight="1">
      <c r="A215" s="21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24" t="n">
        <v>5</v>
      </c>
      <c r="H215" s="22" t="n">
        <v>7</v>
      </c>
      <c r="I215" s="25">
        <f>IF(OR(F215="",G215=""),"",F215*G215)</f>
        <v/>
      </c>
      <c r="J215" s="24">
        <f>IF(OR(F215="",G215=""),"",ROUND(G215*(1+F215/30),1))</f>
        <v/>
      </c>
      <c r="K215" s="26" t="inlineStr"/>
    </row>
    <row r="216" ht="18" customHeight="1">
      <c r="A216" s="1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18" t="n">
        <v>5</v>
      </c>
      <c r="H216" s="16" t="n">
        <v>7</v>
      </c>
      <c r="I216" s="19">
        <f>IF(OR(F216="",G216=""),"",F216*G216)</f>
        <v/>
      </c>
      <c r="J216" s="18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21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24" t="n">
        <v>2.5</v>
      </c>
      <c r="H217" s="22" t="n">
        <v>7</v>
      </c>
      <c r="I217" s="25">
        <f>IF(OR(F217="",G217=""),"",F217*G217)</f>
        <v/>
      </c>
      <c r="J217" s="24">
        <f>IF(OR(F217="",G217=""),"",ROUND(G217*(1+F217/30),1))</f>
        <v/>
      </c>
      <c r="K217" s="26" t="inlineStr"/>
    </row>
    <row r="218" ht="18" customHeight="1">
      <c r="A218" s="1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18" t="n">
        <v>2.5</v>
      </c>
      <c r="H218" s="16" t="n">
        <v>7</v>
      </c>
      <c r="I218" s="19">
        <f>IF(OR(F218="",G218=""),"",F218*G218)</f>
        <v/>
      </c>
      <c r="J218" s="18">
        <f>IF(OR(F218="",G218=""),"",ROUND(G218*(1+F218/30),1))</f>
        <v/>
      </c>
      <c r="K218" s="20" t="inlineStr"/>
    </row>
    <row r="219" ht="18" customHeight="1">
      <c r="A219" s="21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24" t="n">
        <v>2.5</v>
      </c>
      <c r="H219" s="22" t="n">
        <v>7</v>
      </c>
      <c r="I219" s="25">
        <f>IF(OR(F219="",G219=""),"",F219*G219)</f>
        <v/>
      </c>
      <c r="J219" s="24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1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18" t="n">
        <v>15</v>
      </c>
      <c r="H220" s="16" t="n">
        <v>8</v>
      </c>
      <c r="I220" s="19">
        <f>IF(OR(F220="",G220=""),"",F220*G220)</f>
        <v/>
      </c>
      <c r="J220" s="18">
        <f>IF(OR(F220="",G220=""),"",ROUND(G220*(1+F220/30),1))</f>
        <v/>
      </c>
      <c r="K220" s="20" t="inlineStr"/>
    </row>
    <row r="221" ht="18" customHeight="1">
      <c r="A221" s="21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24" t="n">
        <v>15</v>
      </c>
      <c r="H221" s="22" t="n">
        <v>8</v>
      </c>
      <c r="I221" s="25">
        <f>IF(OR(F221="",G221=""),"",F221*G221)</f>
        <v/>
      </c>
      <c r="J221" s="24">
        <f>IF(OR(F221="",G221=""),"",ROUND(G221*(1+F221/30),1))</f>
        <v/>
      </c>
      <c r="K221" s="26" t="inlineStr"/>
    </row>
    <row r="222" ht="18" customHeight="1">
      <c r="A222" s="1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18" t="n">
        <v>15</v>
      </c>
      <c r="H222" s="16" t="n">
        <v>9</v>
      </c>
      <c r="I222" s="19">
        <f>IF(OR(F222="",G222=""),"",F222*G222)</f>
        <v/>
      </c>
      <c r="J222" s="18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21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24" t="n">
        <v>2</v>
      </c>
      <c r="H223" s="22" t="n">
        <v>8</v>
      </c>
      <c r="I223" s="25">
        <f>IF(OR(F223="",G223=""),"",F223*G223)</f>
        <v/>
      </c>
      <c r="J223" s="24">
        <f>IF(OR(F223="",G223=""),"",ROUND(G223*(1+F223/30),1))</f>
        <v/>
      </c>
      <c r="K223" s="26" t="inlineStr"/>
    </row>
    <row r="224" ht="18" customHeight="1">
      <c r="A224" s="1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18" t="n">
        <v>2</v>
      </c>
      <c r="H224" s="16" t="n">
        <v>8</v>
      </c>
      <c r="I224" s="19">
        <f>IF(OR(F224="",G224=""),"",F224*G224)</f>
        <v/>
      </c>
      <c r="J224" s="18">
        <f>IF(OR(F224="",G224=""),"",ROUND(G224*(1+F224/30),1))</f>
        <v/>
      </c>
      <c r="K224" s="20" t="inlineStr"/>
    </row>
    <row r="225" ht="18" customHeight="1">
      <c r="A225" s="21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24" t="n">
        <v>2</v>
      </c>
      <c r="H225" s="22" t="n">
        <v>8</v>
      </c>
      <c r="I225" s="25">
        <f>IF(OR(F225="",G225=""),"",F225*G225)</f>
        <v/>
      </c>
      <c r="J225" s="24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1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18" t="n">
        <v>35</v>
      </c>
      <c r="H226" s="16" t="n">
        <v>9</v>
      </c>
      <c r="I226" s="19">
        <f>IF(OR(F226="",G226=""),"",F226*G226)</f>
        <v/>
      </c>
      <c r="J226" s="18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21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24" t="n">
        <v>30</v>
      </c>
      <c r="H227" s="22" t="n">
        <v>7</v>
      </c>
      <c r="I227" s="25">
        <f>IF(OR(F227="",G227=""),"",F227*G227)</f>
        <v/>
      </c>
      <c r="J227" s="24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1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18" t="n">
        <v>30</v>
      </c>
      <c r="H228" s="16" t="n">
        <v>8</v>
      </c>
      <c r="I228" s="19">
        <f>IF(OR(F228="",G228=""),"",F228*G228)</f>
        <v/>
      </c>
      <c r="J228" s="18">
        <f>IF(OR(F228="",G228=""),"",ROUND(G228*(1+F228/30),1))</f>
        <v/>
      </c>
      <c r="K228" s="20" t="inlineStr"/>
    </row>
    <row r="229" ht="18" customHeight="1">
      <c r="A229" s="21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24" t="n">
        <v>30</v>
      </c>
      <c r="H229" s="22" t="n">
        <v>8</v>
      </c>
      <c r="I229" s="25">
        <f>IF(OR(F229="",G229=""),"",F229*G229)</f>
        <v/>
      </c>
      <c r="J229" s="24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1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18" t="n">
        <v>25</v>
      </c>
      <c r="H230" s="16" t="n">
        <v>6</v>
      </c>
      <c r="I230" s="19">
        <f>IF(OR(F230="",G230=""),"",F230*G230)</f>
        <v/>
      </c>
      <c r="J230" s="18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21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24" t="n">
        <v>25</v>
      </c>
      <c r="H231" s="22" t="n">
        <v>7</v>
      </c>
      <c r="I231" s="25">
        <f>IF(OR(F231="",G231=""),"",F231*G231)</f>
        <v/>
      </c>
      <c r="J231" s="24">
        <f>IF(OR(F231="",G231=""),"",ROUND(G231*(1+F231/30),1))</f>
        <v/>
      </c>
      <c r="K231" s="26" t="inlineStr"/>
    </row>
    <row r="232" ht="18" customHeight="1">
      <c r="A232" s="1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18" t="n">
        <v>25</v>
      </c>
      <c r="H232" s="16" t="n">
        <v>7</v>
      </c>
      <c r="I232" s="19">
        <f>IF(OR(F232="",G232=""),"",F232*G232)</f>
        <v/>
      </c>
      <c r="J232" s="18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21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24" t="n">
        <v>7</v>
      </c>
      <c r="H233" s="22" t="n">
        <v>5</v>
      </c>
      <c r="I233" s="25">
        <f>IF(OR(F233="",G233=""),"",F233*G233)</f>
        <v/>
      </c>
      <c r="J233" s="24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1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18" t="n">
        <v>8</v>
      </c>
      <c r="H234" s="16" t="n">
        <v>7</v>
      </c>
      <c r="I234" s="19">
        <f>IF(OR(F234="",G234=""),"",F234*G234)</f>
        <v/>
      </c>
      <c r="J234" s="18">
        <f>IF(OR(F234="",G234=""),"",ROUND(G234*(1+F234/30),1))</f>
        <v/>
      </c>
      <c r="K234" s="20" t="inlineStr"/>
    </row>
    <row r="235" ht="18" customHeight="1">
      <c r="A235" s="21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24" t="n">
        <v>8</v>
      </c>
      <c r="H235" s="22" t="n">
        <v>7</v>
      </c>
      <c r="I235" s="25">
        <f>IF(OR(F235="",G235=""),"",F235*G235)</f>
        <v/>
      </c>
      <c r="J235" s="24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1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18" t="n">
        <v>10</v>
      </c>
      <c r="H236" s="16" t="n">
        <v>7</v>
      </c>
      <c r="I236" s="19">
        <f>IF(OR(F236="",G236=""),"",F236*G236)</f>
        <v/>
      </c>
      <c r="J236" s="18">
        <f>IF(OR(F236="",G236=""),"",ROUND(G236*(1+F236/30),1))</f>
        <v/>
      </c>
      <c r="K236" s="20" t="inlineStr"/>
    </row>
    <row r="237" ht="18" customHeight="1">
      <c r="A237" s="21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24" t="n">
        <v>10</v>
      </c>
      <c r="H237" s="22" t="n">
        <v>7</v>
      </c>
      <c r="I237" s="25">
        <f>IF(OR(F237="",G237=""),"",F237*G237)</f>
        <v/>
      </c>
      <c r="J237" s="24">
        <f>IF(OR(F237="",G237=""),"",ROUND(G237*(1+F237/30),1))</f>
        <v/>
      </c>
      <c r="K237" s="26" t="inlineStr"/>
    </row>
    <row r="238" ht="18" customHeight="1">
      <c r="A238" s="1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18" t="n">
        <v>10</v>
      </c>
      <c r="H238" s="16" t="n">
        <v>8</v>
      </c>
      <c r="I238" s="19">
        <f>IF(OR(F238="",G238=""),"",F238*G238)</f>
        <v/>
      </c>
      <c r="J238" s="18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21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24" t="n">
        <v>13.6</v>
      </c>
      <c r="H239" s="22" t="n">
        <v>6</v>
      </c>
      <c r="I239" s="25">
        <f>IF(OR(F239="",G239=""),"",F239*G239)</f>
        <v/>
      </c>
      <c r="J239" s="24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1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18" t="n">
        <v>13.6</v>
      </c>
      <c r="H240" s="16" t="n">
        <v>8</v>
      </c>
      <c r="I240" s="19">
        <f>IF(OR(F240="",G240=""),"",F240*G240)</f>
        <v/>
      </c>
      <c r="J240" s="18">
        <f>IF(OR(F240="",G240=""),"",ROUND(G240*(1+F240/30),1))</f>
        <v/>
      </c>
      <c r="K240" s="20" t="inlineStr"/>
    </row>
    <row r="241" ht="18" customHeight="1">
      <c r="A241" s="21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24" t="n">
        <v>13.6</v>
      </c>
      <c r="H241" s="22" t="n">
        <v>7</v>
      </c>
      <c r="I241" s="25">
        <f>IF(OR(F241="",G241=""),"",F241*G241)</f>
        <v/>
      </c>
      <c r="J241" s="24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1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18" t="n">
        <v>6</v>
      </c>
      <c r="H242" s="16" t="n">
        <v>7</v>
      </c>
      <c r="I242" s="19">
        <f>IF(OR(F242="",G242=""),"",F242*G242)</f>
        <v/>
      </c>
      <c r="J242" s="18">
        <f>IF(OR(F242="",G242=""),"",ROUND(G242*(1+F242/30),1))</f>
        <v/>
      </c>
      <c r="K242" s="20" t="inlineStr"/>
    </row>
    <row r="243" ht="18" customHeight="1">
      <c r="A243" s="21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24" t="n">
        <v>6</v>
      </c>
      <c r="H243" s="22" t="n">
        <v>7</v>
      </c>
      <c r="I243" s="25">
        <f>IF(OR(F243="",G243=""),"",F243*G243)</f>
        <v/>
      </c>
      <c r="J243" s="24">
        <f>IF(OR(F243="",G243=""),"",ROUND(G243*(1+F243/30),1))</f>
        <v/>
      </c>
      <c r="K243" s="26" t="inlineStr"/>
    </row>
    <row r="244" ht="18" customHeight="1">
      <c r="A244" s="1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18" t="n">
        <v>6</v>
      </c>
      <c r="H244" s="16" t="n">
        <v>7</v>
      </c>
      <c r="I244" s="19">
        <f>IF(OR(F244="",G244=""),"",F244*G244)</f>
        <v/>
      </c>
      <c r="J244" s="18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21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24" t="n">
        <v>7.5</v>
      </c>
      <c r="H245" s="22" t="n">
        <v>8</v>
      </c>
      <c r="I245" s="25">
        <f>IF(OR(F245="",G245=""),"",F245*G245)</f>
        <v/>
      </c>
      <c r="J245" s="24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1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18" t="n">
        <v>7.5</v>
      </c>
      <c r="H246" s="16" t="n">
        <v>7</v>
      </c>
      <c r="I246" s="19">
        <f>IF(OR(F246="",G246=""),"",F246*G246)</f>
        <v/>
      </c>
      <c r="J246" s="18">
        <f>IF(OR(F246="",G246=""),"",ROUND(G246*(1+F246/30),1))</f>
        <v/>
      </c>
      <c r="K246" s="20" t="inlineStr"/>
    </row>
    <row r="247" ht="18" customHeight="1">
      <c r="A247" s="21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24" t="n">
        <v>7.5</v>
      </c>
      <c r="H247" s="22" t="n">
        <v>8</v>
      </c>
      <c r="I247" s="25">
        <f>IF(OR(F247="",G247=""),"",F247*G247)</f>
        <v/>
      </c>
      <c r="J247" s="24">
        <f>IF(OR(F247="",G247=""),"",ROUND(G247*(1+F247/30),1))</f>
        <v/>
      </c>
      <c r="K247" s="26" t="inlineStr"/>
    </row>
    <row r="248" ht="18" customHeight="1">
      <c r="A248" s="1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18" t="n">
        <v>5</v>
      </c>
      <c r="H248" s="16" t="n">
        <v>9</v>
      </c>
      <c r="I248" s="19">
        <f>IF(OR(F248="",G248=""),"",F248*G248)</f>
        <v/>
      </c>
      <c r="J248" s="18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21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24" t="n">
        <v>5</v>
      </c>
      <c r="H249" s="22" t="n">
        <v>7</v>
      </c>
      <c r="I249" s="25">
        <f>IF(OR(F249="",G249=""),"",F249*G249)</f>
        <v/>
      </c>
      <c r="J249" s="24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1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18" t="n">
        <v>5</v>
      </c>
      <c r="H250" s="16" t="n">
        <v>7</v>
      </c>
      <c r="I250" s="19">
        <f>IF(OR(F250="",G250=""),"",F250*G250)</f>
        <v/>
      </c>
      <c r="J250" s="18">
        <f>IF(OR(F250="",G250=""),"",ROUND(G250*(1+F250/30),1))</f>
        <v/>
      </c>
      <c r="K250" s="20" t="inlineStr"/>
    </row>
    <row r="251" ht="18" customHeight="1">
      <c r="A251" s="21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24" t="n">
        <v>5</v>
      </c>
      <c r="H251" s="22" t="n">
        <v>8</v>
      </c>
      <c r="I251" s="25">
        <f>IF(OR(F251="",G251=""),"",F251*G251)</f>
        <v/>
      </c>
      <c r="J251" s="24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1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18" t="n">
        <v>6</v>
      </c>
      <c r="H252" s="16" t="n">
        <v>7</v>
      </c>
      <c r="I252" s="19">
        <f>IF(OR(F252="",G252=""),"",F252*G252)</f>
        <v/>
      </c>
      <c r="J252" s="18">
        <f>IF(OR(F252="",G252=""),"",ROUND(G252*(1+F252/30),1))</f>
        <v/>
      </c>
      <c r="K252" s="20" t="inlineStr"/>
    </row>
    <row r="253" ht="18" customHeight="1">
      <c r="A253" s="21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24" t="n">
        <v>6</v>
      </c>
      <c r="H253" s="22" t="n">
        <v>7</v>
      </c>
      <c r="I253" s="25">
        <f>IF(OR(F253="",G253=""),"",F253*G253)</f>
        <v/>
      </c>
      <c r="J253" s="24">
        <f>IF(OR(F253="",G253=""),"",ROUND(G253*(1+F253/30),1))</f>
        <v/>
      </c>
      <c r="K253" s="26" t="inlineStr"/>
    </row>
    <row r="254" ht="18" customHeight="1">
      <c r="A254" s="1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18" t="n">
        <v>6</v>
      </c>
      <c r="H254" s="16" t="n">
        <v>8</v>
      </c>
      <c r="I254" s="19">
        <f>IF(OR(F254="",G254=""),"",F254*G254)</f>
        <v/>
      </c>
      <c r="J254" s="18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21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24" t="n">
        <v>2.5</v>
      </c>
      <c r="H255" s="22" t="n">
        <v>8</v>
      </c>
      <c r="I255" s="25">
        <f>IF(OR(F255="",G255=""),"",F255*G255)</f>
        <v/>
      </c>
      <c r="J255" s="24">
        <f>IF(OR(F255="",G255=""),"",ROUND(G255*(1+F255/30),1))</f>
        <v/>
      </c>
      <c r="K255" s="26" t="inlineStr"/>
    </row>
    <row r="256" ht="18" customHeight="1">
      <c r="A256" s="1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18" t="n">
        <v>2.5</v>
      </c>
      <c r="H256" s="16" t="n">
        <v>8</v>
      </c>
      <c r="I256" s="19">
        <f>IF(OR(F256="",G256=""),"",F256*G256)</f>
        <v/>
      </c>
      <c r="J256" s="18">
        <f>IF(OR(F256="",G256=""),"",ROUND(G256*(1+F256/30),1))</f>
        <v/>
      </c>
      <c r="K256" s="20" t="inlineStr"/>
    </row>
    <row r="257" ht="18" customHeight="1">
      <c r="A257" s="21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24" t="n">
        <v>2.5</v>
      </c>
      <c r="H257" s="22" t="n">
        <v>8</v>
      </c>
      <c r="I257" s="25">
        <f>IF(OR(F257="",G257=""),"",F257*G257)</f>
        <v/>
      </c>
      <c r="J257" s="24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1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18" t="n">
        <v>17.5</v>
      </c>
      <c r="H258" s="16" t="n">
        <v>8</v>
      </c>
      <c r="I258" s="19">
        <f>IF(OR(F258="",G258=""),"",F258*G258)</f>
        <v/>
      </c>
      <c r="J258" s="18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21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24" t="n">
        <v>15</v>
      </c>
      <c r="H259" s="22" t="n">
        <v>9</v>
      </c>
      <c r="I259" s="25">
        <f>IF(OR(F259="",G259=""),"",F259*G259)</f>
        <v/>
      </c>
      <c r="J259" s="24">
        <f>IF(OR(F259="",G259=""),"",ROUND(G259*(1+F259/30),1))</f>
        <v/>
      </c>
      <c r="K259" s="26" t="inlineStr">
        <is>
          <t>dropped to 15</t>
        </is>
      </c>
    </row>
    <row r="260" ht="18" customHeight="1">
      <c r="A260" s="1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18" t="n">
        <v>15</v>
      </c>
      <c r="H260" s="16" t="n">
        <v>9</v>
      </c>
      <c r="I260" s="19">
        <f>IF(OR(F260="",G260=""),"",F260*G260)</f>
        <v/>
      </c>
      <c r="J260" s="18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21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24" t="n">
        <v>2</v>
      </c>
      <c r="H261" s="22" t="n">
        <v>7</v>
      </c>
      <c r="I261" s="25">
        <f>IF(OR(F261="",G261=""),"",F261*G261)</f>
        <v/>
      </c>
      <c r="J261" s="24">
        <f>IF(OR(F261="",G261=""),"",ROUND(G261*(1+F261/30),1))</f>
        <v/>
      </c>
      <c r="K261" s="26" t="inlineStr"/>
    </row>
    <row r="262" ht="18" customHeight="1">
      <c r="A262" s="1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18" t="n">
        <v>2</v>
      </c>
      <c r="H262" s="16" t="n">
        <v>8</v>
      </c>
      <c r="I262" s="19">
        <f>IF(OR(F262="",G262=""),"",F262*G262)</f>
        <v/>
      </c>
      <c r="J262" s="18">
        <f>IF(OR(F262="",G262=""),"",ROUND(G262*(1+F262/30),1))</f>
        <v/>
      </c>
      <c r="K262" s="20" t="inlineStr"/>
    </row>
    <row r="263" ht="18" customHeight="1">
      <c r="A263" s="21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24" t="n">
        <v>2</v>
      </c>
      <c r="H263" s="22" t="n">
        <v>9</v>
      </c>
      <c r="I263" s="25">
        <f>IF(OR(F263="",G263=""),"",F263*G263)</f>
        <v/>
      </c>
      <c r="J263" s="24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>
        <v>46159</v>
      </c>
      <c r="B3" s="22">
        <f>IF(A3="","",IFERROR(INT((A3-DATE(2026,4,27))/7)+1,""))</f>
        <v/>
      </c>
      <c r="C3" s="28" t="n">
        <v>5.2</v>
      </c>
      <c r="D3" s="24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15" t="n">
        <v>46182</v>
      </c>
      <c r="B4" s="16">
        <f>IF(A4="","",IFERROR(INT((A4-DATE(2026,4,27))/7)+1,""))</f>
        <v/>
      </c>
      <c r="C4" s="27" t="n">
        <v>6</v>
      </c>
      <c r="D4" s="18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21" t="n">
        <v>46189</v>
      </c>
      <c r="B5" s="22">
        <f>IF(A5="","",IFERROR(INT((A5-DATE(2026,4,27))/7)+1,""))</f>
        <v/>
      </c>
      <c r="C5" s="28" t="n">
        <v>7</v>
      </c>
      <c r="D5" s="24" t="n">
        <v>46.8</v>
      </c>
      <c r="E5" s="22">
        <f>IF(OR(C5="",D5=""),"",TEXT(D5/C5/1440,"m:ss"))</f>
        <v/>
      </c>
      <c r="F5" s="22" t="n">
        <v>148</v>
      </c>
      <c r="G5" s="22" t="n">
        <v>167</v>
      </c>
      <c r="H5" s="22" t="n">
        <v>6</v>
      </c>
      <c r="I5" s="22" t="inlineStr">
        <is>
          <t>Easy</t>
        </is>
      </c>
      <c r="J5" s="26" t="inlineStr">
        <is>
          <t>6:41/km; cadence 164 (+2-3, one short of 165); avg HR 148 in 145-155 band, 91% Z2; shin clean, everything fine</t>
        </is>
      </c>
    </row>
    <row r="6" ht="18" customHeight="1">
      <c r="A6" s="15" t="n">
        <v>46201</v>
      </c>
      <c r="B6" s="16">
        <f>IF(A6="","",IFERROR(INT((A6-DATE(2026,4,27))/7)+1,""))</f>
        <v/>
      </c>
      <c r="C6" s="27" t="n">
        <v>7.27</v>
      </c>
      <c r="D6" s="18" t="n">
        <v>41.25</v>
      </c>
      <c r="E6" s="16">
        <f>IF(OR(C6="",D6=""),"",TEXT(D6/C6/1440,"m:ss"))</f>
        <v/>
      </c>
      <c r="F6" s="16" t="n">
        <v>164</v>
      </c>
      <c r="G6" s="16" t="n">
        <v>197</v>
      </c>
      <c r="H6" s="16" t="n">
        <v>7</v>
      </c>
      <c r="I6" s="16" t="inlineStr">
        <is>
          <t>Social</t>
        </is>
      </c>
      <c r="J6" s="20" t="inlineStr">
        <is>
          <t>5:40/km social — HOT: 31%Z2/42%Z3/19%Z4/1%Z5, avg 164; cadence 166 (FIRST &gt;=165, breaks 164 park); flat+sunny; quality run not base</t>
        </is>
      </c>
    </row>
    <row r="7" ht="18" customHeight="1">
      <c r="A7" s="21" t="n">
        <v>46203</v>
      </c>
      <c r="B7" s="22">
        <f>IF(A7="","",IFERROR(INT((A7-DATE(2026,4,27))/7)+1,""))</f>
        <v/>
      </c>
      <c r="C7" s="28" t="n">
        <v>8.029999999999999</v>
      </c>
      <c r="D7" s="24" t="n">
        <v>50.53</v>
      </c>
      <c r="E7" s="22">
        <f>IF(OR(C7="",D7=""),"",TEXT(D7/C7/1440,"m:ss"))</f>
        <v/>
      </c>
      <c r="F7" s="22" t="n">
        <v>155</v>
      </c>
      <c r="G7" s="22" t="n">
        <v>204</v>
      </c>
      <c r="H7" s="22" t="n">
        <v>8</v>
      </c>
      <c r="I7" s="22" t="inlineStr">
        <is>
          <t>Social</t>
        </is>
      </c>
      <c r="J7" s="26" t="inlineStr">
        <is>
          <t>6:18/km social — 57%Z2/35%Z3/2%Z4, avg 155 but max 204 spike; cadence 159 (regressed from 166); RPE 8 at slower pace than 6/28 = residual fatigue/heat</t>
        </is>
      </c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>
        <v>46152</v>
      </c>
      <c r="B6" s="16">
        <f>IF(A6="","",IFERROR(INT((A6-DATE(2026,4,27))/7)+1,""))</f>
        <v/>
      </c>
      <c r="C6" s="18" t="n">
        <v>77</v>
      </c>
      <c r="D6" s="18" t="n">
        <v>7</v>
      </c>
      <c r="E6" s="18" t="n"/>
      <c r="F6" s="18" t="n"/>
      <c r="G6" s="18" t="n"/>
      <c r="H6" s="18" t="n"/>
      <c r="I6" s="20" t="inlineStr">
        <is>
          <t>Wk 2 Sun PM (post Lower B)</t>
        </is>
      </c>
    </row>
    <row r="7" ht="18" customHeight="1">
      <c r="A7" s="21" t="n">
        <v>46153</v>
      </c>
      <c r="B7" s="22">
        <f>IF(A7="","",IFERROR(INT((A7-DATE(2026,4,27))/7)+1,""))</f>
        <v/>
      </c>
      <c r="C7" s="24" t="n">
        <v>77.2</v>
      </c>
      <c r="D7" s="24" t="n">
        <v>7.83</v>
      </c>
      <c r="E7" s="24" t="n"/>
      <c r="F7" s="24" t="n"/>
      <c r="G7" s="24" t="n"/>
      <c r="H7" s="24" t="n"/>
      <c r="I7" s="26" t="inlineStr">
        <is>
          <t>Wk 3 Mon PM (post Upper A)</t>
        </is>
      </c>
    </row>
    <row r="8" ht="18" customHeight="1">
      <c r="A8" s="15" t="n">
        <v>46155</v>
      </c>
      <c r="B8" s="16">
        <f>IF(A8="","",IFERROR(INT((A8-DATE(2026,4,27))/7)+1,""))</f>
        <v/>
      </c>
      <c r="C8" s="18" t="n">
        <v>77.2</v>
      </c>
      <c r="D8" s="18" t="n">
        <v>8.6</v>
      </c>
      <c r="E8" s="18" t="n"/>
      <c r="F8" s="18" t="n"/>
      <c r="G8" s="18" t="n"/>
      <c r="H8" s="18" t="n"/>
      <c r="I8" s="20" t="inlineStr">
        <is>
          <t>Wk 3 Wed PM (post Lower A)</t>
        </is>
      </c>
    </row>
    <row r="9" ht="18" customHeight="1">
      <c r="A9" s="21" t="n">
        <v>46156</v>
      </c>
      <c r="B9" s="22">
        <f>IF(A9="","",IFERROR(INT((A9-DATE(2026,4,27))/7)+1,""))</f>
        <v/>
      </c>
      <c r="C9" s="24" t="n">
        <v>77.3</v>
      </c>
      <c r="D9" s="24" t="n">
        <v>8</v>
      </c>
      <c r="E9" s="24" t="n"/>
      <c r="F9" s="24" t="n"/>
      <c r="G9" s="24" t="n"/>
      <c r="H9" s="24" t="n"/>
      <c r="I9" s="26" t="inlineStr">
        <is>
          <t>Wk 3 Thu PM (rest, protein 90g)</t>
        </is>
      </c>
    </row>
    <row r="10" ht="18" customHeight="1">
      <c r="A10" s="15" t="n">
        <v>46157</v>
      </c>
      <c r="B10" s="16">
        <f>IF(A10="","",IFERROR(INT((A10-DATE(2026,4,27))/7)+1,""))</f>
        <v/>
      </c>
      <c r="C10" s="18" t="n">
        <v>77.7</v>
      </c>
      <c r="D10" s="18" t="n">
        <v>9</v>
      </c>
      <c r="E10" s="18" t="n"/>
      <c r="F10" s="18" t="n"/>
      <c r="G10" s="18" t="n"/>
      <c r="H10" s="18" t="n"/>
      <c r="I10" s="20" t="inlineStr">
        <is>
          <t>Wk 3 Fri AM (BW AM-only from here)</t>
        </is>
      </c>
    </row>
    <row r="11" ht="18" customHeight="1">
      <c r="A11" s="21" t="n">
        <v>46158</v>
      </c>
      <c r="B11" s="22">
        <f>IF(A11="","",IFERROR(INT((A11-DATE(2026,4,27))/7)+1,""))</f>
        <v/>
      </c>
      <c r="C11" s="24" t="n">
        <v>76.7</v>
      </c>
      <c r="D11" s="24" t="n">
        <v>7.5</v>
      </c>
      <c r="E11" s="24" t="n"/>
      <c r="F11" s="24" t="n"/>
      <c r="G11" s="24" t="n"/>
      <c r="H11" s="24" t="n"/>
      <c r="I11" s="26" t="inlineStr">
        <is>
          <t>Wk 3 Sat AM (-1kg vs Fri; slow cut, NOT illness)</t>
        </is>
      </c>
    </row>
    <row r="12" ht="18" customHeight="1">
      <c r="A12" s="15" t="n">
        <v>46159</v>
      </c>
      <c r="B12" s="16">
        <f>IF(A12="","",IFERROR(INT((A12-DATE(2026,4,27))/7)+1,""))</f>
        <v/>
      </c>
      <c r="C12" s="18" t="n">
        <v>76.2</v>
      </c>
      <c r="D12" s="18" t="n">
        <v>8</v>
      </c>
      <c r="E12" s="18" t="n"/>
      <c r="F12" s="18" t="n"/>
      <c r="G12" s="18" t="n"/>
      <c r="H12" s="18" t="n"/>
      <c r="I12" s="20" t="inlineStr">
        <is>
          <t>Wk 3 Sun AM (cut on-plan; AM slope toward ~73)</t>
        </is>
      </c>
    </row>
    <row r="13" ht="18" customHeight="1">
      <c r="A13" s="21" t="n">
        <v>46160</v>
      </c>
      <c r="B13" s="22">
        <f>IF(A13="","",IFERROR(INT((A13-DATE(2026,4,27))/7)+1,""))</f>
        <v/>
      </c>
      <c r="C13" s="24" t="n">
        <v>76.2</v>
      </c>
      <c r="D13" s="24" t="n">
        <v>8</v>
      </c>
      <c r="E13" s="24" t="n"/>
      <c r="F13" s="24" t="n"/>
      <c r="G13" s="24" t="n"/>
      <c r="H13" s="24" t="n"/>
      <c r="I13" s="26" t="inlineStr">
        <is>
          <t>Wk 4 Mon AM (flat vs Sun; post-Lower-B water noise, not stall)</t>
        </is>
      </c>
    </row>
    <row r="14" ht="18" customHeight="1">
      <c r="A14" s="15" t="n">
        <v>46181</v>
      </c>
      <c r="B14" s="16">
        <f>IF(A14="","",IFERROR(INT((A14-DATE(2026,4,27))/7)+1,""))</f>
        <v/>
      </c>
      <c r="C14" s="18" t="n">
        <v>77.09999999999999</v>
      </c>
      <c r="D14" s="18" t="n">
        <v>7</v>
      </c>
      <c r="E14" s="18" t="n"/>
      <c r="F14" s="18" t="n"/>
      <c r="G14" s="18" t="n"/>
      <c r="H14" s="18" t="n"/>
      <c r="I14" s="20" t="inlineStr">
        <is>
          <t>Build W1 Mon AM (cut PAUSED, maintenance — BW gain expected, NOT flagged)</t>
        </is>
      </c>
    </row>
    <row r="15" ht="18" customHeight="1">
      <c r="A15" s="21" t="n">
        <v>46182</v>
      </c>
      <c r="B15" s="22">
        <f>IF(A15="","",IFERROR(INT((A15-DATE(2026,4,27))/7)+1,""))</f>
        <v/>
      </c>
      <c r="C15" s="24" t="n">
        <v>76.7</v>
      </c>
      <c r="D15" s="24" t="n">
        <v>7.5</v>
      </c>
      <c r="E15" s="24" t="n"/>
      <c r="F15" s="24" t="n"/>
      <c r="G15" s="24" t="n"/>
      <c r="H15" s="24" t="n"/>
      <c r="I15" s="26" t="inlineStr">
        <is>
          <t>Build W1 Tue AM (run #1 back off layoff)</t>
        </is>
      </c>
    </row>
    <row r="16" ht="18" customHeight="1">
      <c r="A16" s="15" t="n">
        <v>46183</v>
      </c>
      <c r="B16" s="16">
        <f>IF(A16="","",IFERROR(INT((A16-DATE(2026,4,27))/7)+1,""))</f>
        <v/>
      </c>
      <c r="C16" s="18" t="n">
        <v>75.90000000000001</v>
      </c>
      <c r="D16" s="18" t="n">
        <v>9</v>
      </c>
      <c r="E16" s="18" t="n"/>
      <c r="F16" s="18" t="n"/>
      <c r="G16" s="18" t="n"/>
      <c r="H16" s="18" t="n"/>
      <c r="I16" s="20" t="inlineStr">
        <is>
          <t>Build W1 Wed AM (glycogen dip post hot run + 19k steps; cut paused, NOT flagged)</t>
        </is>
      </c>
    </row>
    <row r="17" ht="18" customHeight="1">
      <c r="A17" s="21" t="n">
        <v>46189</v>
      </c>
      <c r="B17" s="22">
        <f>IF(A17="","",IFERROR(INT((A17-DATE(2026,4,27))/7)+1,""))</f>
        <v/>
      </c>
      <c r="C17" s="24" t="n">
        <v>77.90000000000001</v>
      </c>
      <c r="D17" s="24" t="n">
        <v>8</v>
      </c>
      <c r="E17" s="24" t="n"/>
      <c r="F17" s="24" t="n"/>
      <c r="G17" s="24" t="n"/>
      <c r="H17" s="24" t="n"/>
      <c r="I17" s="26" t="inlineStr">
        <is>
          <t>Build W2 Tue AM (rest-tail/glycogen rebound; cut paused, NOT flagged)</t>
        </is>
      </c>
    </row>
    <row r="18" ht="18" customHeight="1">
      <c r="A18" s="15" t="n">
        <v>46190</v>
      </c>
      <c r="B18" s="16">
        <f>IF(A18="","",IFERROR(INT((A18-DATE(2026,4,27))/7)+1,""))</f>
        <v/>
      </c>
      <c r="C18" s="18" t="n">
        <v>76.7</v>
      </c>
      <c r="D18" s="18" t="n">
        <v>8</v>
      </c>
      <c r="E18" s="18" t="n"/>
      <c r="F18" s="18" t="n"/>
      <c r="G18" s="18" t="n"/>
      <c r="H18" s="18" t="n"/>
      <c r="I18" s="20" t="inlineStr">
        <is>
          <t>Build W2 Wed AM (RHR 43 d-2, all green)</t>
        </is>
      </c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2026-07-02T11:01:25Z</dcterms:modified>
</cp:coreProperties>
</file>