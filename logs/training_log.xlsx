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v>46317</v>
      </c>
      <c r="B519" s="22">
        <f>IF(A519="","",IFERROR(INT((A519-DATE(2026,4,27))/7)+1,""))</f>
        <v/>
      </c>
      <c r="C519" s="22" t="inlineStr">
        <is>
          <t>Gym Upper</t>
        </is>
      </c>
      <c r="D519" s="23" t="inlineStr">
        <is>
          <t>Bench Press</t>
        </is>
      </c>
      <c r="E519" s="22" t="n">
        <v>1</v>
      </c>
      <c r="F519" s="22" t="n">
        <v>8</v>
      </c>
      <c r="G519" s="38" t="n">
        <v>25</v>
      </c>
      <c r="H519" s="22" t="n">
        <v>7</v>
      </c>
      <c r="I519" s="25">
        <f>IF(OR(F519="",G519=""),"",F519*G519)</f>
        <v/>
      </c>
      <c r="J519" s="38">
        <f>IF(OR(F519="",G519=""),"",ROUND(G519*(1+F519/30),1))</f>
        <v/>
      </c>
      <c r="K519" s="26" t="inlineStr">
        <is>
          <t>Gym #3 upper. Gate met -&gt; 27.5 4x8.</t>
        </is>
      </c>
    </row>
    <row r="520" ht="18" customHeight="1">
      <c r="A520" s="35" t="n">
        <v>46317</v>
      </c>
      <c r="B520" s="16">
        <f>IF(A520="","",IFERROR(INT((A520-DATE(2026,4,27))/7)+1,""))</f>
        <v/>
      </c>
      <c r="C520" s="16" t="inlineStr">
        <is>
          <t>Gym Upper</t>
        </is>
      </c>
      <c r="D520" s="17" t="inlineStr">
        <is>
          <t>Bench Press</t>
        </is>
      </c>
      <c r="E520" s="16" t="n">
        <v>2</v>
      </c>
      <c r="F520" s="16" t="n">
        <v>8</v>
      </c>
      <c r="G520" s="36" t="n">
        <v>25</v>
      </c>
      <c r="H520" s="16" t="n">
        <v>6</v>
      </c>
      <c r="I520" s="19">
        <f>IF(OR(F520="",G520=""),"",F520*G520)</f>
        <v/>
      </c>
      <c r="J520" s="36">
        <f>IF(OR(F520="",G520=""),"",ROUND(G520*(1+F520/30),1))</f>
        <v/>
      </c>
      <c r="K520" s="20" t="n"/>
    </row>
    <row r="521" ht="18" customHeight="1">
      <c r="A521" s="37" t="n">
        <v>46317</v>
      </c>
      <c r="B521" s="22">
        <f>IF(A521="","",IFERROR(INT((A521-DATE(2026,4,27))/7)+1,""))</f>
        <v/>
      </c>
      <c r="C521" s="22" t="inlineStr">
        <is>
          <t>Gym Upper</t>
        </is>
      </c>
      <c r="D521" s="23" t="inlineStr">
        <is>
          <t>Bench Press</t>
        </is>
      </c>
      <c r="E521" s="22" t="n">
        <v>3</v>
      </c>
      <c r="F521" s="22" t="n">
        <v>8</v>
      </c>
      <c r="G521" s="38" t="n">
        <v>25</v>
      </c>
      <c r="H521" s="22" t="n">
        <v>6</v>
      </c>
      <c r="I521" s="25">
        <f>IF(OR(F521="",G521=""),"",F521*G521)</f>
        <v/>
      </c>
      <c r="J521" s="38">
        <f>IF(OR(F521="",G521=""),"",ROUND(G521*(1+F521/30),1))</f>
        <v/>
      </c>
      <c r="K521" s="26" t="n"/>
    </row>
    <row r="522" ht="18" customHeight="1">
      <c r="A522" s="35" t="n">
        <v>46317</v>
      </c>
      <c r="B522" s="16">
        <f>IF(A522="","",IFERROR(INT((A522-DATE(2026,4,27))/7)+1,""))</f>
        <v/>
      </c>
      <c r="C522" s="16" t="inlineStr">
        <is>
          <t>Gym Upper</t>
        </is>
      </c>
      <c r="D522" s="17" t="inlineStr">
        <is>
          <t>Bench Press</t>
        </is>
      </c>
      <c r="E522" s="16" t="n">
        <v>4</v>
      </c>
      <c r="F522" s="16" t="n">
        <v>8</v>
      </c>
      <c r="G522" s="36" t="n">
        <v>25</v>
      </c>
      <c r="H522" s="16" t="n">
        <v>6</v>
      </c>
      <c r="I522" s="19">
        <f>IF(OR(F522="",G522=""),"",F522*G522)</f>
        <v/>
      </c>
      <c r="J522" s="36">
        <f>IF(OR(F522="",G522=""),"",ROUND(G522*(1+F522/30),1))</f>
        <v/>
      </c>
      <c r="K522" s="20" t="n"/>
    </row>
    <row r="523" ht="18" customHeight="1">
      <c r="A523" s="37" t="n">
        <v>46317</v>
      </c>
      <c r="B523" s="22">
        <f>IF(A523="","",IFERROR(INT((A523-DATE(2026,4,27))/7)+1,""))</f>
        <v/>
      </c>
      <c r="C523" s="22" t="inlineStr">
        <is>
          <t>Gym Upper</t>
        </is>
      </c>
      <c r="D523" s="23" t="inlineStr">
        <is>
          <t>Lat Pulldown</t>
        </is>
      </c>
      <c r="E523" s="22" t="n">
        <v>1</v>
      </c>
      <c r="F523" s="22" t="n">
        <v>10</v>
      </c>
      <c r="G523" s="38" t="n">
        <v>25</v>
      </c>
      <c r="H523" s="22" t="n">
        <v>5</v>
      </c>
      <c r="I523" s="25">
        <f>IF(OR(F523="",G523=""),"",F523*G523)</f>
        <v/>
      </c>
      <c r="J523" s="38">
        <f>IF(OR(F523="",G523=""),"",ROUND(G523*(1+F523/30),1))</f>
        <v/>
      </c>
      <c r="K523" s="26" t="inlineStr">
        <is>
          <t>Restored. Gate met -&gt; 27.5 4x10.</t>
        </is>
      </c>
    </row>
    <row r="524" ht="18" customHeight="1">
      <c r="A524" s="35" t="n">
        <v>46317</v>
      </c>
      <c r="B524" s="16">
        <f>IF(A524="","",IFERROR(INT((A524-DATE(2026,4,27))/7)+1,""))</f>
        <v/>
      </c>
      <c r="C524" s="16" t="inlineStr">
        <is>
          <t>Gym Upper</t>
        </is>
      </c>
      <c r="D524" s="17" t="inlineStr">
        <is>
          <t>Lat Pulldown</t>
        </is>
      </c>
      <c r="E524" s="16" t="n">
        <v>2</v>
      </c>
      <c r="F524" s="16" t="n">
        <v>10</v>
      </c>
      <c r="G524" s="36" t="n">
        <v>25</v>
      </c>
      <c r="H524" s="16" t="n">
        <v>5</v>
      </c>
      <c r="I524" s="19">
        <f>IF(OR(F524="",G524=""),"",F524*G524)</f>
        <v/>
      </c>
      <c r="J524" s="36">
        <f>IF(OR(F524="",G524=""),"",ROUND(G524*(1+F524/30),1))</f>
        <v/>
      </c>
      <c r="K524" s="20" t="n"/>
    </row>
    <row r="525" ht="18" customHeight="1">
      <c r="A525" s="37" t="n">
        <v>46317</v>
      </c>
      <c r="B525" s="22">
        <f>IF(A525="","",IFERROR(INT((A525-DATE(2026,4,27))/7)+1,""))</f>
        <v/>
      </c>
      <c r="C525" s="22" t="inlineStr">
        <is>
          <t>Gym Upper</t>
        </is>
      </c>
      <c r="D525" s="23" t="inlineStr">
        <is>
          <t>Lat Pulldown</t>
        </is>
      </c>
      <c r="E525" s="22" t="n">
        <v>3</v>
      </c>
      <c r="F525" s="22" t="n">
        <v>10</v>
      </c>
      <c r="G525" s="38" t="n">
        <v>25</v>
      </c>
      <c r="H525" s="22" t="n">
        <v>5</v>
      </c>
      <c r="I525" s="25">
        <f>IF(OR(F525="",G525=""),"",F525*G525)</f>
        <v/>
      </c>
      <c r="J525" s="38">
        <f>IF(OR(F525="",G525=""),"",ROUND(G525*(1+F525/30),1))</f>
        <v/>
      </c>
      <c r="K525" s="26" t="n"/>
    </row>
    <row r="526" ht="18" customHeight="1">
      <c r="A526" s="35" t="n">
        <v>46317</v>
      </c>
      <c r="B526" s="16">
        <f>IF(A526="","",IFERROR(INT((A526-DATE(2026,4,27))/7)+1,""))</f>
        <v/>
      </c>
      <c r="C526" s="16" t="inlineStr">
        <is>
          <t>Gym Upper</t>
        </is>
      </c>
      <c r="D526" s="17" t="inlineStr">
        <is>
          <t>Lat Pulldown</t>
        </is>
      </c>
      <c r="E526" s="16" t="n">
        <v>4</v>
      </c>
      <c r="F526" s="16" t="n">
        <v>10</v>
      </c>
      <c r="G526" s="36" t="n">
        <v>25</v>
      </c>
      <c r="H526" s="16" t="n">
        <v>5</v>
      </c>
      <c r="I526" s="19">
        <f>IF(OR(F526="",G526=""),"",F526*G526)</f>
        <v/>
      </c>
      <c r="J526" s="36">
        <f>IF(OR(F526="",G526=""),"",ROUND(G526*(1+F526/30),1))</f>
        <v/>
      </c>
      <c r="K526" s="20" t="n"/>
    </row>
    <row r="527" ht="18" customHeight="1">
      <c r="A527" s="37" t="n">
        <v>46317</v>
      </c>
      <c r="B527" s="22">
        <f>IF(A527="","",IFERROR(INT((A527-DATE(2026,4,27))/7)+1,""))</f>
        <v/>
      </c>
      <c r="C527" s="22" t="inlineStr">
        <is>
          <t>Gym Upper</t>
        </is>
      </c>
      <c r="D527" s="23" t="inlineStr">
        <is>
          <t>Incline DB Press</t>
        </is>
      </c>
      <c r="E527" s="22" t="n">
        <v>1</v>
      </c>
      <c r="F527" s="22" t="n">
        <v>10</v>
      </c>
      <c r="G527" s="38" t="n">
        <v>6</v>
      </c>
      <c r="H527" s="22" t="n">
        <v>6</v>
      </c>
      <c r="I527" s="25">
        <f>IF(OR(F527="",G527=""),"",F527*G527)</f>
        <v/>
      </c>
      <c r="J527" s="38">
        <f>IF(OR(F527="",G527=""),"",ROUND(G527*(1+F527/30),1))</f>
        <v/>
      </c>
      <c r="K527" s="26" t="inlineStr">
        <is>
          <t>6/DB. Gate met -&gt; 7/DB 3x10.</t>
        </is>
      </c>
    </row>
    <row r="528" ht="18" customHeight="1">
      <c r="A528" s="35" t="n">
        <v>46317</v>
      </c>
      <c r="B528" s="16">
        <f>IF(A528="","",IFERROR(INT((A528-DATE(2026,4,27))/7)+1,""))</f>
        <v/>
      </c>
      <c r="C528" s="16" t="inlineStr">
        <is>
          <t>Gym Upper</t>
        </is>
      </c>
      <c r="D528" s="17" t="inlineStr">
        <is>
          <t>Incline DB Press</t>
        </is>
      </c>
      <c r="E528" s="16" t="n">
        <v>2</v>
      </c>
      <c r="F528" s="16" t="n">
        <v>10</v>
      </c>
      <c r="G528" s="36" t="n">
        <v>6</v>
      </c>
      <c r="H528" s="16" t="n">
        <v>6</v>
      </c>
      <c r="I528" s="19">
        <f>IF(OR(F528="",G528=""),"",F528*G528)</f>
        <v/>
      </c>
      <c r="J528" s="36">
        <f>IF(OR(F528="",G528=""),"",ROUND(G528*(1+F528/30),1))</f>
        <v/>
      </c>
      <c r="K528" s="20" t="n"/>
    </row>
    <row r="529" ht="18" customHeight="1">
      <c r="A529" s="37" t="n">
        <v>46317</v>
      </c>
      <c r="B529" s="22">
        <f>IF(A529="","",IFERROR(INT((A529-DATE(2026,4,27))/7)+1,""))</f>
        <v/>
      </c>
      <c r="C529" s="22" t="inlineStr">
        <is>
          <t>Gym Upper</t>
        </is>
      </c>
      <c r="D529" s="23" t="inlineStr">
        <is>
          <t>Incline DB Press</t>
        </is>
      </c>
      <c r="E529" s="22" t="n">
        <v>3</v>
      </c>
      <c r="F529" s="22" t="n">
        <v>10</v>
      </c>
      <c r="G529" s="38" t="n">
        <v>6</v>
      </c>
      <c r="H529" s="22" t="n">
        <v>6</v>
      </c>
      <c r="I529" s="25">
        <f>IF(OR(F529="",G529=""),"",F529*G529)</f>
        <v/>
      </c>
      <c r="J529" s="38">
        <f>IF(OR(F529="",G529=""),"",ROUND(G529*(1+F529/30),1))</f>
        <v/>
      </c>
      <c r="K529" s="26" t="n"/>
    </row>
    <row r="530" ht="18" customHeight="1">
      <c r="A530" s="35" t="n">
        <v>46317</v>
      </c>
      <c r="B530" s="16">
        <f>IF(A530="","",IFERROR(INT((A530-DATE(2026,4,27))/7)+1,""))</f>
        <v/>
      </c>
      <c r="C530" s="16" t="inlineStr">
        <is>
          <t>Gym Upper</t>
        </is>
      </c>
      <c r="D530" s="17" t="inlineStr">
        <is>
          <t>Barbell Row</t>
        </is>
      </c>
      <c r="E530" s="16" t="n">
        <v>1</v>
      </c>
      <c r="F530" s="16" t="n">
        <v>12</v>
      </c>
      <c r="G530" s="36" t="n">
        <v>20</v>
      </c>
      <c r="H530" s="16" t="n">
        <v>7</v>
      </c>
      <c r="I530" s="19">
        <f>IF(OR(F530="",G530=""),"",F530*G530)</f>
        <v/>
      </c>
      <c r="J530" s="36">
        <f>IF(OR(F530="",G530=""),"",ROUND(G530*(1+F530/30),1))</f>
        <v/>
      </c>
      <c r="K530" s="20" t="inlineStr">
        <is>
          <t>Barbell Row 20 (staged Lying Row 32.5). Gate met -&gt; 22.5 3x12.</t>
        </is>
      </c>
    </row>
    <row r="531" ht="18" customHeight="1">
      <c r="A531" s="37" t="n">
        <v>46317</v>
      </c>
      <c r="B531" s="22">
        <f>IF(A531="","",IFERROR(INT((A531-DATE(2026,4,27))/7)+1,""))</f>
        <v/>
      </c>
      <c r="C531" s="22" t="inlineStr">
        <is>
          <t>Gym Upper</t>
        </is>
      </c>
      <c r="D531" s="23" t="inlineStr">
        <is>
          <t>Barbell Row</t>
        </is>
      </c>
      <c r="E531" s="22" t="n">
        <v>2</v>
      </c>
      <c r="F531" s="22" t="n">
        <v>12</v>
      </c>
      <c r="G531" s="38" t="n">
        <v>20</v>
      </c>
      <c r="H531" s="22" t="n">
        <v>6</v>
      </c>
      <c r="I531" s="25">
        <f>IF(OR(F531="",G531=""),"",F531*G531)</f>
        <v/>
      </c>
      <c r="J531" s="38">
        <f>IF(OR(F531="",G531=""),"",ROUND(G531*(1+F531/30),1))</f>
        <v/>
      </c>
      <c r="K531" s="26" t="n"/>
    </row>
    <row r="532" ht="18" customHeight="1">
      <c r="A532" s="35" t="n">
        <v>46317</v>
      </c>
      <c r="B532" s="16">
        <f>IF(A532="","",IFERROR(INT((A532-DATE(2026,4,27))/7)+1,""))</f>
        <v/>
      </c>
      <c r="C532" s="16" t="inlineStr">
        <is>
          <t>Gym Upper</t>
        </is>
      </c>
      <c r="D532" s="17" t="inlineStr">
        <is>
          <t>Barbell Row</t>
        </is>
      </c>
      <c r="E532" s="16" t="n">
        <v>3</v>
      </c>
      <c r="F532" s="16" t="n">
        <v>12</v>
      </c>
      <c r="G532" s="36" t="n">
        <v>20</v>
      </c>
      <c r="H532" s="16" t="n">
        <v>6</v>
      </c>
      <c r="I532" s="19">
        <f>IF(OR(F532="",G532=""),"",F532*G532)</f>
        <v/>
      </c>
      <c r="J532" s="36">
        <f>IF(OR(F532="",G532=""),"",ROUND(G532*(1+F532/30),1))</f>
        <v/>
      </c>
      <c r="K532" s="20" t="n"/>
    </row>
    <row r="533" ht="18" customHeight="1">
      <c r="A533" s="37" t="n">
        <v>46317</v>
      </c>
      <c r="B533" s="22">
        <f>IF(A533="","",IFERROR(INT((A533-DATE(2026,4,27))/7)+1,""))</f>
        <v/>
      </c>
      <c r="C533" s="22" t="inlineStr">
        <is>
          <t>Gym Upper</t>
        </is>
      </c>
      <c r="D533" s="23" t="inlineStr">
        <is>
          <t>Tibialis Raise</t>
        </is>
      </c>
      <c r="E533" s="22" t="n">
        <v>1</v>
      </c>
      <c r="F533" s="22" t="n">
        <v>15</v>
      </c>
      <c r="G533" s="38" t="n">
        <v>6.8</v>
      </c>
      <c r="H533" s="22" t="n">
        <v>6</v>
      </c>
      <c r="I533" s="25">
        <f>IF(OR(F533="",G533=""),"",F533*G533)</f>
        <v/>
      </c>
      <c r="J533" s="38">
        <f>IF(OR(F533="",G533=""),"",ROUND(G533*(1+F533/30),1))</f>
        <v/>
      </c>
      <c r="K533" s="26" t="inlineStr">
        <is>
          <t>Gate met 2nd session -&gt; reps first: 6.8 3x20.</t>
        </is>
      </c>
    </row>
    <row r="534" ht="18" customHeight="1">
      <c r="A534" s="35" t="n">
        <v>46317</v>
      </c>
      <c r="B534" s="16">
        <f>IF(A534="","",IFERROR(INT((A534-DATE(2026,4,27))/7)+1,""))</f>
        <v/>
      </c>
      <c r="C534" s="16" t="inlineStr">
        <is>
          <t>Gym Upper</t>
        </is>
      </c>
      <c r="D534" s="17" t="inlineStr">
        <is>
          <t>Tibialis Raise</t>
        </is>
      </c>
      <c r="E534" s="16" t="n">
        <v>2</v>
      </c>
      <c r="F534" s="16" t="n">
        <v>15</v>
      </c>
      <c r="G534" s="36" t="n">
        <v>6.8</v>
      </c>
      <c r="H534" s="16" t="n">
        <v>5</v>
      </c>
      <c r="I534" s="19">
        <f>IF(OR(F534="",G534=""),"",F534*G534)</f>
        <v/>
      </c>
      <c r="J534" s="36">
        <f>IF(OR(F534="",G534=""),"",ROUND(G534*(1+F534/30),1))</f>
        <v/>
      </c>
      <c r="K534" s="20" t="n"/>
    </row>
    <row r="535" ht="18" customHeight="1">
      <c r="A535" s="37" t="n">
        <v>46317</v>
      </c>
      <c r="B535" s="22">
        <f>IF(A535="","",IFERROR(INT((A535-DATE(2026,4,27))/7)+1,""))</f>
        <v/>
      </c>
      <c r="C535" s="22" t="inlineStr">
        <is>
          <t>Gym Upper</t>
        </is>
      </c>
      <c r="D535" s="23" t="inlineStr">
        <is>
          <t>Tibialis Raise</t>
        </is>
      </c>
      <c r="E535" s="22" t="n">
        <v>3</v>
      </c>
      <c r="F535" s="22" t="n">
        <v>15</v>
      </c>
      <c r="G535" s="38" t="n">
        <v>6.8</v>
      </c>
      <c r="H535" s="22" t="n">
        <v>5</v>
      </c>
      <c r="I535" s="25">
        <f>IF(OR(F535="",G535=""),"",F535*G535)</f>
        <v/>
      </c>
      <c r="J535" s="38">
        <f>IF(OR(F535="",G535=""),"",ROUND(G535*(1+F535/30),1))</f>
        <v/>
      </c>
      <c r="K535" s="26" t="n"/>
    </row>
    <row r="536" ht="18" customHeight="1">
      <c r="A536" s="35" t="n">
        <v>46317</v>
      </c>
      <c r="B536" s="16">
        <f>IF(A536="","",IFERROR(INT((A536-DATE(2026,4,27))/7)+1,""))</f>
        <v/>
      </c>
      <c r="C536" s="16" t="inlineStr">
        <is>
          <t>Gym Upper</t>
        </is>
      </c>
      <c r="D536" s="17" t="inlineStr">
        <is>
          <t>Hanging Knee Raise (BW)</t>
        </is>
      </c>
      <c r="E536" s="16" t="n">
        <v>1</v>
      </c>
      <c r="F536" s="16" t="n">
        <v>10</v>
      </c>
      <c r="G536" s="36" t="n"/>
      <c r="H536" s="16" t="n">
        <v>6</v>
      </c>
      <c r="I536" s="19">
        <f>IF(OR(F536="",G536=""),"",F536*G536)</f>
        <v/>
      </c>
      <c r="J536" s="36">
        <f>IF(OR(F536="",G536=""),"",ROUND(G536*(1+F536/30),1))</f>
        <v/>
      </c>
      <c r="K536" s="20" t="inlineStr">
        <is>
          <t>Gate met -&gt; 3x12.</t>
        </is>
      </c>
    </row>
    <row r="537" ht="18" customHeight="1">
      <c r="A537" s="37" t="n">
        <v>46317</v>
      </c>
      <c r="B537" s="22">
        <f>IF(A537="","",IFERROR(INT((A537-DATE(2026,4,27))/7)+1,""))</f>
        <v/>
      </c>
      <c r="C537" s="22" t="inlineStr">
        <is>
          <t>Gym Upper</t>
        </is>
      </c>
      <c r="D537" s="23" t="inlineStr">
        <is>
          <t>Hanging Knee Raise (BW)</t>
        </is>
      </c>
      <c r="E537" s="22" t="n">
        <v>2</v>
      </c>
      <c r="F537" s="22" t="n">
        <v>10</v>
      </c>
      <c r="G537" s="38" t="n"/>
      <c r="H537" s="22" t="n">
        <v>6</v>
      </c>
      <c r="I537" s="25">
        <f>IF(OR(F537="",G537=""),"",F537*G537)</f>
        <v/>
      </c>
      <c r="J537" s="38">
        <f>IF(OR(F537="",G537=""),"",ROUND(G537*(1+F537/30),1))</f>
        <v/>
      </c>
      <c r="K537" s="26" t="n"/>
    </row>
    <row r="538" ht="18" customHeight="1">
      <c r="A538" s="35" t="n">
        <v>46317</v>
      </c>
      <c r="B538" s="16">
        <f>IF(A538="","",IFERROR(INT((A538-DATE(2026,4,27))/7)+1,""))</f>
        <v/>
      </c>
      <c r="C538" s="16" t="inlineStr">
        <is>
          <t>Gym Upper</t>
        </is>
      </c>
      <c r="D538" s="17" t="inlineStr">
        <is>
          <t>Hanging Knee Raise (BW)</t>
        </is>
      </c>
      <c r="E538" s="16" t="n">
        <v>3</v>
      </c>
      <c r="F538" s="16" t="n">
        <v>10</v>
      </c>
      <c r="G538" s="36" t="n"/>
      <c r="H538" s="16" t="n">
        <v>6</v>
      </c>
      <c r="I538" s="19">
        <f>IF(OR(F538="",G538=""),"",F538*G538)</f>
        <v/>
      </c>
      <c r="J538" s="36">
        <f>IF(OR(F538="",G538=""),"",ROUND(G538*(1+F538/30),1))</f>
        <v/>
      </c>
      <c r="K538" s="20" t="n"/>
    </row>
    <row r="539" ht="18" customHeight="1">
      <c r="A539" s="35" t="n">
        <v>46319</v>
      </c>
      <c r="B539" s="16">
        <f>IF(A539="","",IFERROR(INT((A539-DATE(2026,4,27))/7)+1,""))</f>
        <v/>
      </c>
      <c r="C539" s="16" t="inlineStr">
        <is>
          <t>Gym Upper</t>
        </is>
      </c>
      <c r="D539" s="17" t="inlineStr">
        <is>
          <t>Bench Press</t>
        </is>
      </c>
      <c r="E539" s="16" t="n">
        <v>1</v>
      </c>
      <c r="F539" s="16" t="n">
        <v>8</v>
      </c>
      <c r="G539" s="36" t="n">
        <v>27.5</v>
      </c>
      <c r="H539" s="16" t="n">
        <v>6</v>
      </c>
      <c r="I539" s="19">
        <f>IF(OR(F539="",G539=""),"",F539*G539)</f>
        <v/>
      </c>
      <c r="J539" s="36">
        <f>IF(OR(F539="",G539=""),"",ROUND(G539*(1+F539/30),1))</f>
        <v/>
      </c>
      <c r="K539" s="20" t="inlineStr">
        <is>
          <t>Gym #4 upper. S4 RPE 8 -&gt; HOLD 27.5 4x8.</t>
        </is>
      </c>
    </row>
    <row r="540" ht="18" customHeight="1">
      <c r="A540" s="35" t="n">
        <v>46319</v>
      </c>
      <c r="B540" s="16">
        <f>IF(A540="","",IFERROR(INT((A540-DATE(2026,4,27))/7)+1,""))</f>
        <v/>
      </c>
      <c r="C540" s="16" t="inlineStr">
        <is>
          <t>Gym Upper</t>
        </is>
      </c>
      <c r="D540" s="17" t="inlineStr">
        <is>
          <t>Bench Press</t>
        </is>
      </c>
      <c r="E540" s="16" t="n">
        <v>2</v>
      </c>
      <c r="F540" s="16" t="n">
        <v>8</v>
      </c>
      <c r="G540" s="36" t="n">
        <v>27.5</v>
      </c>
      <c r="H540" s="16" t="n">
        <v>6</v>
      </c>
      <c r="I540" s="19">
        <f>IF(OR(F540="",G540=""),"",F540*G540)</f>
        <v/>
      </c>
      <c r="J540" s="36">
        <f>IF(OR(F540="",G540=""),"",ROUND(G540*(1+F540/30),1))</f>
        <v/>
      </c>
      <c r="K540" s="20" t="n"/>
    </row>
    <row r="541" ht="18" customHeight="1">
      <c r="A541" s="35" t="n">
        <v>46319</v>
      </c>
      <c r="B541" s="16">
        <f>IF(A541="","",IFERROR(INT((A541-DATE(2026,4,27))/7)+1,""))</f>
        <v/>
      </c>
      <c r="C541" s="16" t="inlineStr">
        <is>
          <t>Gym Upper</t>
        </is>
      </c>
      <c r="D541" s="17" t="inlineStr">
        <is>
          <t>Bench Press</t>
        </is>
      </c>
      <c r="E541" s="16" t="n">
        <v>3</v>
      </c>
      <c r="F541" s="16" t="n">
        <v>8</v>
      </c>
      <c r="G541" s="36" t="n">
        <v>27.5</v>
      </c>
      <c r="H541" s="16" t="n">
        <v>7</v>
      </c>
      <c r="I541" s="19">
        <f>IF(OR(F541="",G541=""),"",F541*G541)</f>
        <v/>
      </c>
      <c r="J541" s="36">
        <f>IF(OR(F541="",G541=""),"",ROUND(G541*(1+F541/30),1))</f>
        <v/>
      </c>
      <c r="K541" s="20" t="n"/>
    </row>
    <row r="542" ht="18" customHeight="1">
      <c r="A542" s="35" t="n">
        <v>46319</v>
      </c>
      <c r="B542" s="16">
        <f>IF(A542="","",IFERROR(INT((A542-DATE(2026,4,27))/7)+1,""))</f>
        <v/>
      </c>
      <c r="C542" s="16" t="inlineStr">
        <is>
          <t>Gym Upper</t>
        </is>
      </c>
      <c r="D542" s="17" t="inlineStr">
        <is>
          <t>Bench Press</t>
        </is>
      </c>
      <c r="E542" s="16" t="n">
        <v>4</v>
      </c>
      <c r="F542" s="16" t="n">
        <v>8</v>
      </c>
      <c r="G542" s="36" t="n">
        <v>27.5</v>
      </c>
      <c r="H542" s="16" t="n">
        <v>8</v>
      </c>
      <c r="I542" s="19">
        <f>IF(OR(F542="",G542=""),"",F542*G542)</f>
        <v/>
      </c>
      <c r="J542" s="36">
        <f>IF(OR(F542="",G542=""),"",ROUND(G542*(1+F542/30),1))</f>
        <v/>
      </c>
      <c r="K542" s="20" t="n"/>
    </row>
    <row r="543" ht="18" customHeight="1">
      <c r="A543" s="35" t="n">
        <v>46319</v>
      </c>
      <c r="B543" s="16">
        <f>IF(A543="","",IFERROR(INT((A543-DATE(2026,4,27))/7)+1,""))</f>
        <v/>
      </c>
      <c r="C543" s="16" t="inlineStr">
        <is>
          <t>Gym Upper</t>
        </is>
      </c>
      <c r="D543" s="17" t="inlineStr">
        <is>
          <t>Lat Pulldown</t>
        </is>
      </c>
      <c r="E543" s="16" t="n">
        <v>1</v>
      </c>
      <c r="F543" s="16" t="n">
        <v>10</v>
      </c>
      <c r="G543" s="36" t="n">
        <v>30</v>
      </c>
      <c r="H543" s="16" t="n">
        <v>6</v>
      </c>
      <c r="I543" s="19">
        <f>IF(OR(F543="",G543=""),"",F543*G543)</f>
        <v/>
      </c>
      <c r="J543" s="36">
        <f>IF(OR(F543="",G543=""),"",ROUND(G543*(1+F543/30),1))</f>
        <v/>
      </c>
      <c r="K543" s="20" t="inlineStr">
        <is>
          <t>Ran 30 (staged 27.5). Gate met -&gt; 32.5 4x10.</t>
        </is>
      </c>
    </row>
    <row r="544" ht="18" customHeight="1">
      <c r="A544" s="35" t="n">
        <v>46319</v>
      </c>
      <c r="B544" s="16">
        <f>IF(A544="","",IFERROR(INT((A544-DATE(2026,4,27))/7)+1,""))</f>
        <v/>
      </c>
      <c r="C544" s="16" t="inlineStr">
        <is>
          <t>Gym Upper</t>
        </is>
      </c>
      <c r="D544" s="17" t="inlineStr">
        <is>
          <t>Lat Pulldown</t>
        </is>
      </c>
      <c r="E544" s="16" t="n">
        <v>2</v>
      </c>
      <c r="F544" s="16" t="n">
        <v>10</v>
      </c>
      <c r="G544" s="36" t="n">
        <v>30</v>
      </c>
      <c r="H544" s="16" t="n">
        <v>6</v>
      </c>
      <c r="I544" s="19">
        <f>IF(OR(F544="",G544=""),"",F544*G544)</f>
        <v/>
      </c>
      <c r="J544" s="36">
        <f>IF(OR(F544="",G544=""),"",ROUND(G544*(1+F544/30),1))</f>
        <v/>
      </c>
      <c r="K544" s="20" t="n"/>
    </row>
    <row r="545" ht="18" customHeight="1">
      <c r="A545" s="35" t="n">
        <v>46319</v>
      </c>
      <c r="B545" s="16">
        <f>IF(A545="","",IFERROR(INT((A545-DATE(2026,4,27))/7)+1,""))</f>
        <v/>
      </c>
      <c r="C545" s="16" t="inlineStr">
        <is>
          <t>Gym Upper</t>
        </is>
      </c>
      <c r="D545" s="17" t="inlineStr">
        <is>
          <t>Lat Pulldown</t>
        </is>
      </c>
      <c r="E545" s="16" t="n">
        <v>3</v>
      </c>
      <c r="F545" s="16" t="n">
        <v>10</v>
      </c>
      <c r="G545" s="36" t="n">
        <v>30</v>
      </c>
      <c r="H545" s="16" t="n">
        <v>7</v>
      </c>
      <c r="I545" s="19">
        <f>IF(OR(F545="",G545=""),"",F545*G545)</f>
        <v/>
      </c>
      <c r="J545" s="36">
        <f>IF(OR(F545="",G545=""),"",ROUND(G545*(1+F545/30),1))</f>
        <v/>
      </c>
      <c r="K545" s="20" t="n"/>
    </row>
    <row r="546" ht="18" customHeight="1">
      <c r="A546" s="35" t="n">
        <v>46319</v>
      </c>
      <c r="B546" s="16">
        <f>IF(A546="","",IFERROR(INT((A546-DATE(2026,4,27))/7)+1,""))</f>
        <v/>
      </c>
      <c r="C546" s="16" t="inlineStr">
        <is>
          <t>Gym Upper</t>
        </is>
      </c>
      <c r="D546" s="17" t="inlineStr">
        <is>
          <t>Lat Pulldown</t>
        </is>
      </c>
      <c r="E546" s="16" t="n">
        <v>4</v>
      </c>
      <c r="F546" s="16" t="n">
        <v>10</v>
      </c>
      <c r="G546" s="36" t="n">
        <v>30</v>
      </c>
      <c r="H546" s="16" t="n">
        <v>7</v>
      </c>
      <c r="I546" s="19">
        <f>IF(OR(F546="",G546=""),"",F546*G546)</f>
        <v/>
      </c>
      <c r="J546" s="36">
        <f>IF(OR(F546="",G546=""),"",ROUND(G546*(1+F546/30),1))</f>
        <v/>
      </c>
      <c r="K546" s="20" t="n"/>
    </row>
    <row r="547" ht="18" customHeight="1">
      <c r="A547" s="35" t="n">
        <v>46319</v>
      </c>
      <c r="B547" s="16">
        <f>IF(A547="","",IFERROR(INT((A547-DATE(2026,4,27))/7)+1,""))</f>
        <v/>
      </c>
      <c r="C547" s="16" t="inlineStr">
        <is>
          <t>Gym Upper</t>
        </is>
      </c>
      <c r="D547" s="17" t="inlineStr">
        <is>
          <t>Incline DB Press</t>
        </is>
      </c>
      <c r="E547" s="16" t="n">
        <v>1</v>
      </c>
      <c r="F547" s="16" t="n">
        <v>10</v>
      </c>
      <c r="G547" s="36" t="n">
        <v>6</v>
      </c>
      <c r="H547" s="16" t="n">
        <v>6</v>
      </c>
      <c r="I547" s="19">
        <f>IF(OR(F547="",G547=""),"",F547*G547)</f>
        <v/>
      </c>
      <c r="J547" s="36">
        <f>IF(OR(F547="",G547=""),"",ROUND(G547*(1+F547/30),1))</f>
        <v/>
      </c>
      <c r="K547" s="20" t="inlineStr">
        <is>
          <t>6/DB (staged 7). Gate met -&gt; 7/DB 3x10.</t>
        </is>
      </c>
    </row>
    <row r="548" ht="18" customHeight="1">
      <c r="A548" s="35" t="n">
        <v>46319</v>
      </c>
      <c r="B548" s="16">
        <f>IF(A548="","",IFERROR(INT((A548-DATE(2026,4,27))/7)+1,""))</f>
        <v/>
      </c>
      <c r="C548" s="16" t="inlineStr">
        <is>
          <t>Gym Upper</t>
        </is>
      </c>
      <c r="D548" s="17" t="inlineStr">
        <is>
          <t>Incline DB Press</t>
        </is>
      </c>
      <c r="E548" s="16" t="n">
        <v>2</v>
      </c>
      <c r="F548" s="16" t="n">
        <v>10</v>
      </c>
      <c r="G548" s="36" t="n">
        <v>6</v>
      </c>
      <c r="H548" s="16" t="n">
        <v>6</v>
      </c>
      <c r="I548" s="19">
        <f>IF(OR(F548="",G548=""),"",F548*G548)</f>
        <v/>
      </c>
      <c r="J548" s="36">
        <f>IF(OR(F548="",G548=""),"",ROUND(G548*(1+F548/30),1))</f>
        <v/>
      </c>
      <c r="K548" s="20" t="n"/>
    </row>
    <row r="549" ht="18" customHeight="1">
      <c r="A549" s="35" t="n">
        <v>46319</v>
      </c>
      <c r="B549" s="16">
        <f>IF(A549="","",IFERROR(INT((A549-DATE(2026,4,27))/7)+1,""))</f>
        <v/>
      </c>
      <c r="C549" s="16" t="inlineStr">
        <is>
          <t>Gym Upper</t>
        </is>
      </c>
      <c r="D549" s="17" t="inlineStr">
        <is>
          <t>Incline DB Press</t>
        </is>
      </c>
      <c r="E549" s="16" t="n">
        <v>3</v>
      </c>
      <c r="F549" s="16" t="n">
        <v>10</v>
      </c>
      <c r="G549" s="36" t="n">
        <v>6</v>
      </c>
      <c r="H549" s="16" t="n">
        <v>5</v>
      </c>
      <c r="I549" s="19">
        <f>IF(OR(F549="",G549=""),"",F549*G549)</f>
        <v/>
      </c>
      <c r="J549" s="36">
        <f>IF(OR(F549="",G549=""),"",ROUND(G549*(1+F549/30),1))</f>
        <v/>
      </c>
      <c r="K549" s="20" t="n"/>
    </row>
    <row r="550" ht="18" customHeight="1">
      <c r="A550" s="35" t="n">
        <v>46319</v>
      </c>
      <c r="B550" s="16">
        <f>IF(A550="","",IFERROR(INT((A550-DATE(2026,4,27))/7)+1,""))</f>
        <v/>
      </c>
      <c r="C550" s="16" t="inlineStr">
        <is>
          <t>Gym Upper</t>
        </is>
      </c>
      <c r="D550" s="17" t="inlineStr">
        <is>
          <t>Barbell Row</t>
        </is>
      </c>
      <c r="E550" s="16" t="n">
        <v>1</v>
      </c>
      <c r="F550" s="16" t="n">
        <v>12</v>
      </c>
      <c r="G550" s="36" t="n">
        <v>22.5</v>
      </c>
      <c r="H550" s="16" t="n">
        <v>7</v>
      </c>
      <c r="I550" s="19">
        <f>IF(OR(F550="",G550=""),"",F550*G550)</f>
        <v/>
      </c>
      <c r="J550" s="36">
        <f>IF(OR(F550="",G550=""),"",ROUND(G550*(1+F550/30),1))</f>
        <v/>
      </c>
      <c r="K550" s="20" t="inlineStr">
        <is>
          <t>Gate met -&gt; 25 3x12.</t>
        </is>
      </c>
    </row>
    <row r="551" ht="18" customHeight="1">
      <c r="A551" s="35" t="n">
        <v>46319</v>
      </c>
      <c r="B551" s="16">
        <f>IF(A551="","",IFERROR(INT((A551-DATE(2026,4,27))/7)+1,""))</f>
        <v/>
      </c>
      <c r="C551" s="16" t="inlineStr">
        <is>
          <t>Gym Upper</t>
        </is>
      </c>
      <c r="D551" s="17" t="inlineStr">
        <is>
          <t>Barbell Row</t>
        </is>
      </c>
      <c r="E551" s="16" t="n">
        <v>2</v>
      </c>
      <c r="F551" s="16" t="n">
        <v>12</v>
      </c>
      <c r="G551" s="36" t="n">
        <v>22.5</v>
      </c>
      <c r="H551" s="16" t="n">
        <v>7</v>
      </c>
      <c r="I551" s="19">
        <f>IF(OR(F551="",G551=""),"",F551*G551)</f>
        <v/>
      </c>
      <c r="J551" s="36">
        <f>IF(OR(F551="",G551=""),"",ROUND(G551*(1+F551/30),1))</f>
        <v/>
      </c>
      <c r="K551" s="20" t="n"/>
    </row>
    <row r="552" ht="18" customHeight="1">
      <c r="A552" s="35" t="n">
        <v>46319</v>
      </c>
      <c r="B552" s="16">
        <f>IF(A552="","",IFERROR(INT((A552-DATE(2026,4,27))/7)+1,""))</f>
        <v/>
      </c>
      <c r="C552" s="16" t="inlineStr">
        <is>
          <t>Gym Upper</t>
        </is>
      </c>
      <c r="D552" s="17" t="inlineStr">
        <is>
          <t>Barbell Row</t>
        </is>
      </c>
      <c r="E552" s="16" t="n">
        <v>3</v>
      </c>
      <c r="F552" s="16" t="n">
        <v>12</v>
      </c>
      <c r="G552" s="36" t="n">
        <v>22.5</v>
      </c>
      <c r="H552" s="16" t="n">
        <v>7</v>
      </c>
      <c r="I552" s="19">
        <f>IF(OR(F552="",G552=""),"",F552*G552)</f>
        <v/>
      </c>
      <c r="J552" s="36">
        <f>IF(OR(F552="",G552=""),"",ROUND(G552*(1+F552/30),1))</f>
        <v/>
      </c>
      <c r="K552" s="20" t="n"/>
    </row>
    <row r="553" ht="18" customHeight="1">
      <c r="A553" s="35" t="n">
        <v>46319</v>
      </c>
      <c r="B553" s="16">
        <f>IF(A553="","",IFERROR(INT((A553-DATE(2026,4,27))/7)+1,""))</f>
        <v/>
      </c>
      <c r="C553" s="16" t="inlineStr">
        <is>
          <t>Gym Upper</t>
        </is>
      </c>
      <c r="D553" s="17" t="inlineStr">
        <is>
          <t>Tibialis Raise</t>
        </is>
      </c>
      <c r="E553" s="16" t="n">
        <v>1</v>
      </c>
      <c r="F553" s="16" t="n">
        <v>15</v>
      </c>
      <c r="G553" s="36" t="n">
        <v>6.8</v>
      </c>
      <c r="H553" s="16" t="n">
        <v>7</v>
      </c>
      <c r="I553" s="19">
        <f>IF(OR(F553="",G553=""),"",F553*G553)</f>
        <v/>
      </c>
      <c r="J553" s="36">
        <f>IF(OR(F553="",G553=""),"",ROUND(G553*(1+F553/30),1))</f>
        <v/>
      </c>
      <c r="K553" s="20" t="inlineStr">
        <is>
          <t>Held 3x15 (race wk, calf 3 AM). Post-race -&gt; 6.8 3x20.</t>
        </is>
      </c>
    </row>
    <row r="554" ht="18" customHeight="1">
      <c r="A554" s="35" t="n">
        <v>46319</v>
      </c>
      <c r="B554" s="16">
        <f>IF(A554="","",IFERROR(INT((A554-DATE(2026,4,27))/7)+1,""))</f>
        <v/>
      </c>
      <c r="C554" s="16" t="inlineStr">
        <is>
          <t>Gym Upper</t>
        </is>
      </c>
      <c r="D554" s="17" t="inlineStr">
        <is>
          <t>Tibialis Raise</t>
        </is>
      </c>
      <c r="E554" s="16" t="n">
        <v>2</v>
      </c>
      <c r="F554" s="16" t="n">
        <v>15</v>
      </c>
      <c r="G554" s="36" t="n">
        <v>6.8</v>
      </c>
      <c r="H554" s="16" t="n">
        <v>7</v>
      </c>
      <c r="I554" s="19">
        <f>IF(OR(F554="",G554=""),"",F554*G554)</f>
        <v/>
      </c>
      <c r="J554" s="36">
        <f>IF(OR(F554="",G554=""),"",ROUND(G554*(1+F554/30),1))</f>
        <v/>
      </c>
      <c r="K554" s="20" t="n"/>
    </row>
    <row r="555" ht="18" customHeight="1">
      <c r="A555" s="35" t="n">
        <v>46319</v>
      </c>
      <c r="B555" s="16">
        <f>IF(A555="","",IFERROR(INT((A555-DATE(2026,4,27))/7)+1,""))</f>
        <v/>
      </c>
      <c r="C555" s="16" t="inlineStr">
        <is>
          <t>Gym Upper</t>
        </is>
      </c>
      <c r="D555" s="17" t="inlineStr">
        <is>
          <t>Tibialis Raise</t>
        </is>
      </c>
      <c r="E555" s="16" t="n">
        <v>3</v>
      </c>
      <c r="F555" s="16" t="n">
        <v>15</v>
      </c>
      <c r="G555" s="36" t="n">
        <v>6.8</v>
      </c>
      <c r="H555" s="16" t="n">
        <v>7</v>
      </c>
      <c r="I555" s="19">
        <f>IF(OR(F555="",G555=""),"",F555*G555)</f>
        <v/>
      </c>
      <c r="J555" s="36">
        <f>IF(OR(F555="",G555=""),"",ROUND(G555*(1+F555/30),1))</f>
        <v/>
      </c>
      <c r="K555" s="20" t="n"/>
    </row>
    <row r="556" ht="18" customHeight="1">
      <c r="A556" s="35" t="n">
        <v>46319</v>
      </c>
      <c r="B556" s="16">
        <f>IF(A556="","",IFERROR(INT((A556-DATE(2026,4,27))/7)+1,""))</f>
        <v/>
      </c>
      <c r="C556" s="16" t="inlineStr">
        <is>
          <t>Gym Upper</t>
        </is>
      </c>
      <c r="D556" s="17" t="inlineStr">
        <is>
          <t>Hanging Knee Raise (BW)</t>
        </is>
      </c>
      <c r="E556" s="16" t="n">
        <v>1</v>
      </c>
      <c r="F556" s="16" t="n">
        <v>12</v>
      </c>
      <c r="G556" s="36" t="n"/>
      <c r="H556" s="16" t="n">
        <v>8</v>
      </c>
      <c r="I556" s="19">
        <f>IF(OR(F556="",G556=""),"",F556*G556)</f>
        <v/>
      </c>
      <c r="J556" s="36">
        <f>IF(OR(F556="",G556=""),"",ROUND(G556*(1+F556/30),1))</f>
        <v/>
      </c>
      <c r="K556" s="20" t="inlineStr">
        <is>
          <t>RPE 8/9/8 -&gt; HOLD 3x12.</t>
        </is>
      </c>
    </row>
    <row r="557" ht="18" customHeight="1">
      <c r="A557" s="35" t="n">
        <v>46319</v>
      </c>
      <c r="B557" s="16">
        <f>IF(A557="","",IFERROR(INT((A557-DATE(2026,4,27))/7)+1,""))</f>
        <v/>
      </c>
      <c r="C557" s="16" t="inlineStr">
        <is>
          <t>Gym Upper</t>
        </is>
      </c>
      <c r="D557" s="17" t="inlineStr">
        <is>
          <t>Hanging Knee Raise (BW)</t>
        </is>
      </c>
      <c r="E557" s="16" t="n">
        <v>2</v>
      </c>
      <c r="F557" s="16" t="n">
        <v>12</v>
      </c>
      <c r="G557" s="36" t="n"/>
      <c r="H557" s="16" t="n">
        <v>9</v>
      </c>
      <c r="I557" s="19">
        <f>IF(OR(F557="",G557=""),"",F557*G557)</f>
        <v/>
      </c>
      <c r="J557" s="36">
        <f>IF(OR(F557="",G557=""),"",ROUND(G557*(1+F557/30),1))</f>
        <v/>
      </c>
      <c r="K557" s="20" t="n"/>
    </row>
    <row r="558" ht="18" customHeight="1">
      <c r="A558" s="35" t="n">
        <v>46319</v>
      </c>
      <c r="B558" s="16">
        <f>IF(A558="","",IFERROR(INT((A558-DATE(2026,4,27))/7)+1,""))</f>
        <v/>
      </c>
      <c r="C558" s="16" t="inlineStr">
        <is>
          <t>Gym Upper</t>
        </is>
      </c>
      <c r="D558" s="17" t="inlineStr">
        <is>
          <t>Hanging Knee Raise (BW)</t>
        </is>
      </c>
      <c r="E558" s="16" t="n">
        <v>3</v>
      </c>
      <c r="F558" s="16" t="n">
        <v>12</v>
      </c>
      <c r="G558" s="36" t="n"/>
      <c r="H558" s="16" t="n">
        <v>8</v>
      </c>
      <c r="I558" s="19">
        <f>IF(OR(F558="",G558=""),"",F558*G558)</f>
        <v/>
      </c>
      <c r="J558" s="36">
        <f>IF(OR(F558="",G558=""),"",ROUND(G558*(1+F558/30),1))</f>
        <v/>
      </c>
      <c r="K558" s="20" t="n"/>
    </row>
    <row r="559" ht="18" customHeight="1">
      <c r="A559" s="37" t="n">
        <v>46324</v>
      </c>
      <c r="B559" s="22">
        <f>IF(A559="","",IFERROR(INT((A559-DATE(2026,4,27))/7)+1,""))</f>
        <v/>
      </c>
      <c r="C559" s="22" t="inlineStr">
        <is>
          <t>Gym Upper</t>
        </is>
      </c>
      <c r="D559" s="23" t="inlineStr">
        <is>
          <t>Bench Press</t>
        </is>
      </c>
      <c r="E559" s="22" t="n">
        <v>1</v>
      </c>
      <c r="F559" s="22" t="n">
        <v>8</v>
      </c>
      <c r="G559" s="38" t="n">
        <v>27.5</v>
      </c>
      <c r="H559" s="22" t="n">
        <v>6</v>
      </c>
      <c r="I559" s="25">
        <f>IF(OR(F559="",G559=""),"",F559*G559)</f>
        <v/>
      </c>
      <c r="J559" s="38">
        <f>IF(OR(F559="",G559=""),"",ROUND(G559*(1+F559/30),1))</f>
        <v/>
      </c>
      <c r="K559" s="26" t="inlineStr">
        <is>
          <t>Gym #5 upper (race wk, 2 sets, ~8 min post-run). Post-race HOLD 27.5 4x8.</t>
        </is>
      </c>
    </row>
    <row r="560" ht="18" customHeight="1">
      <c r="A560" s="35" t="n">
        <v>46324</v>
      </c>
      <c r="B560" s="16">
        <f>IF(A560="","",IFERROR(INT((A560-DATE(2026,4,27))/7)+1,""))</f>
        <v/>
      </c>
      <c r="C560" s="16" t="inlineStr">
        <is>
          <t>Gym Upper</t>
        </is>
      </c>
      <c r="D560" s="17" t="inlineStr">
        <is>
          <t>Bench Press</t>
        </is>
      </c>
      <c r="E560" s="16" t="n">
        <v>2</v>
      </c>
      <c r="F560" s="16" t="n">
        <v>8</v>
      </c>
      <c r="G560" s="36" t="n">
        <v>27.5</v>
      </c>
      <c r="H560" s="16" t="n">
        <v>7</v>
      </c>
      <c r="I560" s="19">
        <f>IF(OR(F560="",G560=""),"",F560*G560)</f>
        <v/>
      </c>
      <c r="J560" s="36">
        <f>IF(OR(F560="",G560=""),"",ROUND(G560*(1+F560/30),1))</f>
        <v/>
      </c>
      <c r="K560" s="20" t="n"/>
    </row>
    <row r="561" ht="18" customHeight="1">
      <c r="A561" s="37" t="n">
        <v>46324</v>
      </c>
      <c r="B561" s="22">
        <f>IF(A561="","",IFERROR(INT((A561-DATE(2026,4,27))/7)+1,""))</f>
        <v/>
      </c>
      <c r="C561" s="22" t="inlineStr">
        <is>
          <t>Gym Upper</t>
        </is>
      </c>
      <c r="D561" s="23" t="inlineStr">
        <is>
          <t>Lat Pulldown</t>
        </is>
      </c>
      <c r="E561" s="22" t="n">
        <v>1</v>
      </c>
      <c r="F561" s="22" t="n">
        <v>10</v>
      </c>
      <c r="G561" s="38" t="n">
        <v>30</v>
      </c>
      <c r="H561" s="22" t="n">
        <v>9</v>
      </c>
      <c r="I561" s="25">
        <f>IF(OR(F561="",G561=""),"",F561*G561)</f>
        <v/>
      </c>
      <c r="J561" s="38">
        <f>IF(OR(F561="",G561=""),"",ROUND(G561*(1+F561/30),1))</f>
        <v/>
      </c>
      <c r="K561" s="26" t="inlineStr">
        <is>
          <t>RPE 9/8 (6/6/7/7 on 10/24) - post-400s. Post-race 32.5 cancelled -&gt; HOLD 30 4x10.</t>
        </is>
      </c>
    </row>
    <row r="562" ht="18" customHeight="1">
      <c r="A562" s="35" t="n">
        <v>46324</v>
      </c>
      <c r="B562" s="16">
        <f>IF(A562="","",IFERROR(INT((A562-DATE(2026,4,27))/7)+1,""))</f>
        <v/>
      </c>
      <c r="C562" s="16" t="inlineStr">
        <is>
          <t>Gym Upper</t>
        </is>
      </c>
      <c r="D562" s="17" t="inlineStr">
        <is>
          <t>Lat Pulldown</t>
        </is>
      </c>
      <c r="E562" s="16" t="n">
        <v>2</v>
      </c>
      <c r="F562" s="16" t="n">
        <v>10</v>
      </c>
      <c r="G562" s="36" t="n">
        <v>30</v>
      </c>
      <c r="H562" s="16" t="n">
        <v>8</v>
      </c>
      <c r="I562" s="19">
        <f>IF(OR(F562="",G562=""),"",F562*G562)</f>
        <v/>
      </c>
      <c r="J562" s="36">
        <f>IF(OR(F562="",G562=""),"",ROUND(G562*(1+F562/30),1))</f>
        <v/>
      </c>
      <c r="K562" s="20" t="n"/>
    </row>
    <row r="563" ht="18" customHeight="1">
      <c r="A563" s="37" t="n">
        <v>46324</v>
      </c>
      <c r="B563" s="22">
        <f>IF(A563="","",IFERROR(INT((A563-DATE(2026,4,27))/7)+1,""))</f>
        <v/>
      </c>
      <c r="C563" s="22" t="inlineStr">
        <is>
          <t>Gym Upper</t>
        </is>
      </c>
      <c r="D563" s="23" t="inlineStr">
        <is>
          <t>Incline DB Press</t>
        </is>
      </c>
      <c r="E563" s="22" t="n">
        <v>1</v>
      </c>
      <c r="F563" s="22" t="n">
        <v>10</v>
      </c>
      <c r="G563" s="38" t="n">
        <v>6</v>
      </c>
      <c r="H563" s="22" t="n">
        <v>5</v>
      </c>
      <c r="I563" s="25">
        <f>IF(OR(F563="",G563=""),"",F563*G563)</f>
        <v/>
      </c>
      <c r="J563" s="38">
        <f>IF(OR(F563="",G563=""),"",ROUND(G563*(1+F563/30),1))</f>
        <v/>
      </c>
      <c r="K563" s="26" t="inlineStr">
        <is>
          <t>6/DB. Post-race 7/DB 3x10.</t>
        </is>
      </c>
    </row>
    <row r="564" ht="18" customHeight="1">
      <c r="A564" s="35" t="n">
        <v>46324</v>
      </c>
      <c r="B564" s="16">
        <f>IF(A564="","",IFERROR(INT((A564-DATE(2026,4,27))/7)+1,""))</f>
        <v/>
      </c>
      <c r="C564" s="16" t="inlineStr">
        <is>
          <t>Gym Upper</t>
        </is>
      </c>
      <c r="D564" s="17" t="inlineStr">
        <is>
          <t>Incline DB Press</t>
        </is>
      </c>
      <c r="E564" s="16" t="n">
        <v>2</v>
      </c>
      <c r="F564" s="16" t="n">
        <v>10</v>
      </c>
      <c r="G564" s="36" t="n">
        <v>6</v>
      </c>
      <c r="H564" s="16" t="n">
        <v>5</v>
      </c>
      <c r="I564" s="19">
        <f>IF(OR(F564="",G564=""),"",F564*G564)</f>
        <v/>
      </c>
      <c r="J564" s="36">
        <f>IF(OR(F564="",G564=""),"",ROUND(G564*(1+F564/30),1))</f>
        <v/>
      </c>
      <c r="K564" s="20" t="n"/>
    </row>
    <row r="565" ht="18" customHeight="1">
      <c r="A565" s="37" t="n">
        <v>46324</v>
      </c>
      <c r="B565" s="22">
        <f>IF(A565="","",IFERROR(INT((A565-DATE(2026,4,27))/7)+1,""))</f>
        <v/>
      </c>
      <c r="C565" s="22" t="inlineStr">
        <is>
          <t>Gym Upper</t>
        </is>
      </c>
      <c r="D565" s="23" t="inlineStr">
        <is>
          <t>Barbell Row</t>
        </is>
      </c>
      <c r="E565" s="22" t="n">
        <v>1</v>
      </c>
      <c r="F565" s="22" t="n">
        <v>10</v>
      </c>
      <c r="G565" s="38" t="n">
        <v>22.5</v>
      </c>
      <c r="H565" s="22" t="n">
        <v>7</v>
      </c>
      <c r="I565" s="25">
        <f>IF(OR(F565="",G565=""),"",F565*G565)</f>
        <v/>
      </c>
      <c r="J565" s="38">
        <f>IF(OR(F565="",G565=""),"",ROUND(G565*(1+F565/30),1))</f>
        <v/>
      </c>
      <c r="K565" s="26" t="inlineStr">
        <is>
          <t>Post-race 25 3x12.</t>
        </is>
      </c>
    </row>
    <row r="566" ht="18" customHeight="1">
      <c r="A566" s="35" t="n">
        <v>46324</v>
      </c>
      <c r="B566" s="16">
        <f>IF(A566="","",IFERROR(INT((A566-DATE(2026,4,27))/7)+1,""))</f>
        <v/>
      </c>
      <c r="C566" s="16" t="inlineStr">
        <is>
          <t>Gym Upper</t>
        </is>
      </c>
      <c r="D566" s="17" t="inlineStr">
        <is>
          <t>Barbell Row</t>
        </is>
      </c>
      <c r="E566" s="16" t="n">
        <v>2</v>
      </c>
      <c r="F566" s="16" t="n">
        <v>10</v>
      </c>
      <c r="G566" s="36" t="n">
        <v>22.5</v>
      </c>
      <c r="H566" s="16" t="n">
        <v>6</v>
      </c>
      <c r="I566" s="19">
        <f>IF(OR(F566="",G566=""),"",F566*G566)</f>
        <v/>
      </c>
      <c r="J566" s="36">
        <f>IF(OR(F566="",G566=""),"",ROUND(G566*(1+F566/30),1))</f>
        <v/>
      </c>
      <c r="K566" s="20" t="n"/>
    </row>
    <row r="567" ht="18" customHeight="1">
      <c r="A567" s="37" t="n">
        <v>46324</v>
      </c>
      <c r="B567" s="22">
        <f>IF(A567="","",IFERROR(INT((A567-DATE(2026,4,27))/7)+1,""))</f>
        <v/>
      </c>
      <c r="C567" s="22" t="inlineStr">
        <is>
          <t>Gym Upper</t>
        </is>
      </c>
      <c r="D567" s="23" t="inlineStr">
        <is>
          <t>Tibialis Raise</t>
        </is>
      </c>
      <c r="E567" s="22" t="n">
        <v>1</v>
      </c>
      <c r="F567" s="22" t="n">
        <v>15</v>
      </c>
      <c r="G567" s="38" t="n">
        <v>5</v>
      </c>
      <c r="H567" s="22" t="n">
        <v>6</v>
      </c>
      <c r="I567" s="25">
        <f>IF(OR(F567="",G567=""),"",F567*G567)</f>
        <v/>
      </c>
      <c r="J567" s="38">
        <f>IF(OR(F567="",G567=""),"",ROUND(G567*(1+F567/30),1))</f>
        <v/>
      </c>
      <c r="K567" s="26" t="inlineStr">
        <is>
          <t>Ran 5 kg (staged 6.8). Post-race 6.8 3x20.</t>
        </is>
      </c>
    </row>
    <row r="568" ht="18" customHeight="1">
      <c r="A568" s="35" t="n">
        <v>46324</v>
      </c>
      <c r="B568" s="16">
        <f>IF(A568="","",IFERROR(INT((A568-DATE(2026,4,27))/7)+1,""))</f>
        <v/>
      </c>
      <c r="C568" s="16" t="inlineStr">
        <is>
          <t>Gym Upper</t>
        </is>
      </c>
      <c r="D568" s="17" t="inlineStr">
        <is>
          <t>Tibialis Raise</t>
        </is>
      </c>
      <c r="E568" s="16" t="n">
        <v>2</v>
      </c>
      <c r="F568" s="16" t="n">
        <v>15</v>
      </c>
      <c r="G568" s="36" t="n">
        <v>5</v>
      </c>
      <c r="H568" s="16" t="n">
        <v>6</v>
      </c>
      <c r="I568" s="19">
        <f>IF(OR(F568="",G568=""),"",F568*G568)</f>
        <v/>
      </c>
      <c r="J568" s="36">
        <f>IF(OR(F568="",G568=""),"",ROUND(G568*(1+F568/30),1))</f>
        <v/>
      </c>
      <c r="K568" s="20" t="n"/>
    </row>
    <row r="569" ht="18" customHeight="1">
      <c r="A569" s="37" t="n">
        <v>46324</v>
      </c>
      <c r="B569" s="22">
        <f>IF(A569="","",IFERROR(INT((A569-DATE(2026,4,27))/7)+1,""))</f>
        <v/>
      </c>
      <c r="C569" s="22" t="inlineStr">
        <is>
          <t>Gym Upper</t>
        </is>
      </c>
      <c r="D569" s="23" t="inlineStr">
        <is>
          <t>Hanging Knee Raise (BW)</t>
        </is>
      </c>
      <c r="E569" s="22" t="n">
        <v>1</v>
      </c>
      <c r="F569" s="22" t="n">
        <v>8</v>
      </c>
      <c r="G569" s="38" t="n"/>
      <c r="H569" s="22" t="n">
        <v>8</v>
      </c>
      <c r="I569" s="25">
        <f>IF(OR(F569="",G569=""),"",F569*G569)</f>
        <v/>
      </c>
      <c r="J569" s="38">
        <f>IF(OR(F569="",G569=""),"",ROUND(G569*(1+F569/30),1))</f>
        <v/>
      </c>
      <c r="K569" s="26" t="inlineStr">
        <is>
          <t>Post-race HOLD 3x12.</t>
        </is>
      </c>
    </row>
    <row r="570" ht="18" customHeight="1">
      <c r="A570" s="35" t="n">
        <v>46324</v>
      </c>
      <c r="B570" s="16">
        <f>IF(A570="","",IFERROR(INT((A570-DATE(2026,4,27))/7)+1,""))</f>
        <v/>
      </c>
      <c r="C570" s="16" t="inlineStr">
        <is>
          <t>Gym Upper</t>
        </is>
      </c>
      <c r="D570" s="17" t="inlineStr">
        <is>
          <t>Hanging Knee Raise (BW)</t>
        </is>
      </c>
      <c r="E570" s="16" t="n">
        <v>2</v>
      </c>
      <c r="F570" s="16" t="n">
        <v>8</v>
      </c>
      <c r="G570" s="36" t="n"/>
      <c r="H570" s="16" t="n">
        <v>8</v>
      </c>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#49. Strava 20620965276. | 10/21 stream re-read: rep 1 ~5:26-5:31, rep 2 ~5:33 avg, faded last ~750 m; +10 bpm vs 10/6 closed by 10/21 TT.</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7" t="n">
        <v>46318</v>
      </c>
      <c r="B34" s="16">
        <f>IF(A34="","",IFERROR(INT((A34-DATE(2026,4,27))/7)+1,""))</f>
        <v/>
      </c>
      <c r="C34" s="28" t="n">
        <v>7.01</v>
      </c>
      <c r="D34" s="38" t="n">
        <v>48.85</v>
      </c>
      <c r="E34" s="22">
        <f>IF(OR(C34="",D34=""),"",TEXT(D34/C34/1440,"m:ss"))</f>
        <v/>
      </c>
      <c r="F34" s="22" t="n">
        <v>155</v>
      </c>
      <c r="G34" s="22" t="n">
        <v>191</v>
      </c>
      <c r="H34" s="22" t="n">
        <v>10</v>
      </c>
      <c r="I34" s="22" t="inlineStr">
        <is>
          <t>4x1 k PR decider</t>
        </is>
      </c>
      <c r="J34" s="26" t="inlineStr">
        <is>
          <t>5K Wk 3 Fri - 4x1 k PR DECIDER, PARTIAL (3 of 4). Road, Ballerup, AM 08:18 (plan was PM; ~40 h post-TT). Moving 48:51 / elapsed 49:23. WU ~2.1 k 7:41@139 (cad 159-160), 3 strides ~5:10-5:50. Rep 1 5:21 (HR 171/184) · Rep 2 5:00 (HR 184/191, 8 s/km under the 5:08 ceiling) · Rep 3 ~980 m 5:35 (680 m @ 5:24 then 6:02 fade), stopped · Rep 4 not run. Jogs 2:54/2:59, HR ~170. CD walked. RPE 10, no pain. VERDICT: PR CLOSED -&gt; race sub-26:40 (laps 2:08). SHIN CLEAN #54. Strava 20697205297.</t>
        </is>
      </c>
      <c r="K34" t="n">
        <v>0</v>
      </c>
    </row>
    <row r="35" ht="18" customHeight="1">
      <c r="A35" s="37" t="n">
        <v>46321</v>
      </c>
      <c r="B35" s="22">
        <f>IF(A35="","",IFERROR(INT((A35-DATE(2026,4,27))/7)+1,""))</f>
        <v/>
      </c>
      <c r="C35" s="28" t="n">
        <v>5.01</v>
      </c>
      <c r="D35" s="38" t="n">
        <v>37.98</v>
      </c>
      <c r="E35" s="22">
        <f>IF(OR(C35="",D35=""),"",TEXT(D35/C35/1440,"m:ss"))</f>
        <v/>
      </c>
      <c r="F35" s="22" t="n">
        <v>143</v>
      </c>
      <c r="G35" s="22" t="n">
        <v>157</v>
      </c>
      <c r="H35" s="22" t="n"/>
      <c r="I35" s="22" t="inlineStr">
        <is>
          <t>Easy</t>
        </is>
      </c>
      <c r="J35" s="26" t="inlineStr">
        <is>
          <t>5K race wk Mon - easy 5 k, road, Ballerup, AM 08:02. Moving 37:59 / elapsed 38:28 (~29 s stop km 4). Splits 7:58/7:15/7:29/7:54/7:19, HR by km 129/145/146/147/149 (km 2 over the &lt;=140 cap), max 157 on km-4 climb. Cadence 163 (162-165), 3rd easy segment in a row under the 166 floor. 9 C, feels 3.5, wind 6.3 m/s. RPE/shin/metronome n/r (asked). Strava 20734026221.</t>
        </is>
      </c>
    </row>
    <row r="36" ht="18" customHeight="1">
      <c r="A36" s="35" t="n">
        <v>46324</v>
      </c>
      <c r="B36" s="16">
        <f>IF(A36="","",IFERROR(INT((A36-DATE(2026,4,27))/7)+1,""))</f>
        <v/>
      </c>
      <c r="C36" s="27" t="n">
        <v>4.91</v>
      </c>
      <c r="D36" s="36" t="n">
        <v>33.9</v>
      </c>
      <c r="E36" s="16">
        <f>IF(OR(C36="",D36=""),"",TEXT(D36/C36/1440,"m:ss"))</f>
        <v/>
      </c>
      <c r="F36" s="16" t="n">
        <v>148</v>
      </c>
      <c r="G36" s="16" t="n">
        <v>174</v>
      </c>
      <c r="H36" s="16" t="n">
        <v>6</v>
      </c>
      <c r="I36" s="16" t="inlineStr">
        <is>
          <t>Strides + 2x400</t>
        </is>
      </c>
      <c r="J36" s="20" t="inlineStr">
        <is>
          <t>5K race wk Thu - 4 k + strides + 2x400 @ 2:08 (replaced missed Tue 3x1 k). Track, Ballerup Atletikbane, 11:12. Moving 33:54 / elapsed 34:34. WU 2.06 k (1.22 k 7:07@138 cad 162, ~43 s stop, 0.84 k 6:27@150 cad 169). 4 strides peak ~4:45 (ceiling 4:40 OK), walked after each. 400 #1 ~2:05 GPS (HR 160/172), 400 #2 ~2:04 (HR 169/173) - both under the 2:06 floor, both opened ~4:45-4:55/km. CD 0.97 k 7:26@153. RPE 6. SHIN CLEAN #57. 11.9 C, wind 3.7 m/s. Strava 20776417810.</t>
        </is>
      </c>
      <c r="K36" t="n">
        <v>0</v>
      </c>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#50. BW 77.35 (+0.75 vs 10/15) single point after 6-day hole + travel weekend, no kcal change. 10/16-10/20: only Sat 10/17 run logged; Sun long, Mon gym, Tue 3 K TT not on Strava. Gates green -&gt; 3 K TT today PM or Thu. PM: 3 K TT 15:00 moving / 15:42 elapsed (5:00/5:00/5:01), RPE 8, max HR 198, shin clean #51; bike 0, kcal 2272, protein 150, creatine Y, alcohol 0.</t>
        </is>
      </c>
    </row>
    <row r="63" ht="18" customHeight="1">
      <c r="A63" s="37" t="n">
        <v>46317</v>
      </c>
      <c r="B63" s="22">
        <f>IF(A63="","",IFERROR(INT((A63-DATE(2026,4,27))/7)+1,""))</f>
        <v/>
      </c>
      <c r="C63" s="38" t="n">
        <v>77.34999999999999</v>
      </c>
      <c r="D63" s="38" t="n">
        <v>7.58</v>
      </c>
      <c r="E63" s="38" t="n"/>
      <c r="F63" s="38" t="n"/>
      <c r="G63" s="38" t="n"/>
      <c r="H63" s="38" t="n"/>
      <c r="I63" s="26" t="inlineStr">
        <is>
          <t>5K Wk 3 Thu (TT +1) - AM: sleep 7:35 (00:05-07:40) q9, RHR 44 (-2 vs 7d), mot 10/energy 10/stress 2, DOMS upper 0, quad 2/ham 2/glute 1/calf 3, joints clean, shin not reported (asked). BW 77.35 = 10/21, flat 2nd post-travel reading, no kcal change. Calf 3 = TT cost -&gt; 4x1 k leans Sat 10/24 (Fri AM gate rules). Gym #3 upper moved Fri -&gt; today. PM: Gym #3 upper DONE 20 sets / 3006 kg / avg RPE 5.8, all gates met; shin clean #52; bike 0, kcal 2344, protein 176, creatine Y.</t>
        </is>
      </c>
    </row>
    <row r="64" ht="18" customHeight="1">
      <c r="A64" s="37" t="n">
        <v>46318</v>
      </c>
      <c r="B64" s="16">
        <f>IF(A64="","",IFERROR(INT((A64-DATE(2026,4,27))/7)+1,""))</f>
        <v/>
      </c>
      <c r="C64" s="38" t="n">
        <v>76.90000000000001</v>
      </c>
      <c r="D64" s="38" t="n">
        <v>8.130000000000001</v>
      </c>
      <c r="E64" s="36" t="n"/>
      <c r="F64" s="36" t="n"/>
      <c r="G64" s="36" t="n"/>
      <c r="H64" s="36" t="n"/>
      <c r="I64" s="26" t="inlineStr">
        <is>
          <t>5K Wk 3 Fri (TT +2) - AM: sleep 8:08 (23:35-07:43) q8, RHR 44 (-1 vs 7d), mot 10/energy 10/stress 3, DOMS chest 3/shldr 3/back 2/arm 0 (Gym #3), quad 1/ham 1/glute 1/calf 1, tendons clean, SHIN CLEAN #53. BW 76.90 (-0.45 vs 77.35x2) water, no kcal change. Gate green -&gt; 4x1 k PR decider Fri PM, Sat fallback. PM: 4x1 k PR decider ran 08:18 road - 5:21/5:00/5:35 fade/DNF, RPE 10, shin clean #54 -&gt; PR CLOSED, race sub-26:40; bike 0, kcal 2567, protein 175, creatine Y, alcohol 0.</t>
        </is>
      </c>
    </row>
    <row r="65" ht="18" customHeight="1">
      <c r="A65" s="37" t="n">
        <v>46319</v>
      </c>
      <c r="B65" s="22">
        <f>IF(A65="","",IFERROR(INT((A65-DATE(2026,4,27))/7)+1,""))</f>
        <v/>
      </c>
      <c r="C65" s="38" t="n">
        <v>76.09999999999999</v>
      </c>
      <c r="D65" s="38" t="n">
        <v>8.050000000000001</v>
      </c>
      <c r="E65" s="38" t="n"/>
      <c r="F65" s="38" t="n"/>
      <c r="G65" s="38" t="n"/>
      <c r="H65" s="38" t="n"/>
      <c r="I65" s="26" t="inlineStr">
        <is>
          <t>5K Wk 3 Sat (4x1 k +1) - AM: sleep 8:03 (23:45-07:50) q10, RHR 44 (-1 vs 7d), mot 10/energy 10/stress 2, DOMS chest 1/back 0/shldr 1/arm 0, quad 1/ham 2/glute 1/calf 3 (4x1 k cost, same as post-TT), joints clean, SHIN CLEAN #55. BW 76.10 (-0.80) travel water gone, 7-reading avg 76.70 flat, no kcal change. Rest MOVED -&gt; Gym #4 upper. PM: Gym #4 upper DONE 20 sets / 3376 kg / avg RPE 6.85 (LPD ran 30, incline 6/DB); shin clean #56; bike 0, kcal/protein/creatine not tracked.</t>
        </is>
      </c>
    </row>
    <row r="66" ht="18" customHeight="1">
      <c r="A66" s="37" t="n">
        <v>46320</v>
      </c>
      <c r="B66" s="22">
        <f>IF(A66="","",IFERROR(INT((A66-DATE(2026,4,27))/7)+1,""))</f>
        <v/>
      </c>
      <c r="C66" s="38" t="n"/>
      <c r="D66" s="38" t="n"/>
      <c r="E66" s="38" t="n"/>
      <c r="F66" s="38" t="n"/>
      <c r="G66" s="38" t="n"/>
      <c r="H66" s="38" t="n"/>
      <c r="I66" s="26" t="inlineStr">
        <is>
          <t>5K Wk 3 Sun - easy 8 k MOVED -&gt; REST (user's call), no make-up. No AM check reported. Wk 3 = 2 runs / 13.18 km + Gym #3 + Gym #4. Mon 10/26 easy 5 k AM added (Tue reps off a 4-day gap otherwise; calf &gt;=2 -&gt; rest).</t>
        </is>
      </c>
    </row>
    <row r="67" ht="18" customHeight="1">
      <c r="A67" s="37" t="n">
        <v>46321</v>
      </c>
      <c r="B67" s="22">
        <f>IF(A67="","",IFERROR(INT((A67-DATE(2026,4,27))/7)+1,""))</f>
        <v/>
      </c>
      <c r="C67" s="38" t="n"/>
      <c r="D67" s="38" t="n"/>
      <c r="E67" s="38" t="n"/>
      <c r="F67" s="38" t="n"/>
      <c r="G67" s="38" t="n"/>
      <c r="H67" s="38" t="n"/>
      <c r="I67" s="26" t="inlineStr">
        <is>
          <t>5K race wk Mon - no AM check reported (asked). PM: easy 5 k DONE 7:35/km @ HR 143, cadence 163; shin n/r. Bike/kcal/protein/creatine n/r. Next: Tue 10/27 3x1 k @ 5:20 (ceiling 5:18), track.</t>
        </is>
      </c>
    </row>
    <row r="68" ht="18" customHeight="1">
      <c r="A68" s="35" t="n">
        <v>46324</v>
      </c>
      <c r="B68" s="16">
        <f>IF(A68="","",IFERROR(INT((A68-DATE(2026,4,27))/7)+1,""))</f>
        <v/>
      </c>
      <c r="C68" s="36" t="n"/>
      <c r="D68" s="36" t="n"/>
      <c r="E68" s="36" t="n"/>
      <c r="F68" s="36" t="n"/>
      <c r="G68" s="36" t="n"/>
      <c r="H68" s="36" t="n"/>
      <c r="I68" s="20" t="inlineStr">
        <is>
          <t>5K race wk Thu - no AM check reported. PM: run 4.91 k (2x400 ~2:05/2:04, RPE 6) + Gym #5 upper DONE. Shin clean #57. Bike 0, kcal 2283, protein 187, creatine Y. Tue 10/27 3x1 k skipped (assumed), Wed 10/28 rest. Next: Fri REST, Sat 10/31 RACE.</t>
        </is>
      </c>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2026-10-29T22:15:34Z</dcterms:modified>
</cp:coreProperties>
</file>