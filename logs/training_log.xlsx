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7" t="n">
        <v>46310</v>
      </c>
      <c r="B504" s="22">
        <f>IF(A504="","",IFERROR(INT((A504-DATE(2026,4,27))/7)+1,""))</f>
        <v/>
      </c>
      <c r="C504" s="22" t="inlineStr">
        <is>
          <t>Gym Full Body</t>
        </is>
      </c>
      <c r="D504" s="23" t="inlineStr">
        <is>
          <t>Bench Press</t>
        </is>
      </c>
      <c r="E504" s="22" t="n">
        <v>1</v>
      </c>
      <c r="F504" s="22" t="n">
        <v>8</v>
      </c>
      <c r="G504" s="38" t="n">
        <v>25</v>
      </c>
      <c r="H504" s="22" t="n">
        <v>6</v>
      </c>
      <c r="I504" s="25">
        <f>IF(OR(F504="",G504=""),"",F504*G504)</f>
        <v/>
      </c>
      <c r="J504" s="38">
        <f>IF(OR(F504="",G504=""),"",ROUND(G504*(1+F504/30),1))</f>
        <v/>
      </c>
      <c r="K504" s="26" t="inlineStr">
        <is>
          <t>Gym #2. 3 of 4 sets. Hold 25 4x8.</t>
        </is>
      </c>
    </row>
    <row r="505" ht="18" customHeight="1">
      <c r="A505" s="37" t="n">
        <v>46310</v>
      </c>
      <c r="B505" s="22">
        <f>IF(A505="","",IFERROR(INT((A505-DATE(2026,4,27))/7)+1,""))</f>
        <v/>
      </c>
      <c r="C505" s="22" t="inlineStr">
        <is>
          <t>Gym Full Body</t>
        </is>
      </c>
      <c r="D505" s="23" t="inlineStr">
        <is>
          <t>Bench Press</t>
        </is>
      </c>
      <c r="E505" s="22" t="n">
        <v>2</v>
      </c>
      <c r="F505" s="22" t="n">
        <v>8</v>
      </c>
      <c r="G505" s="38" t="n">
        <v>25</v>
      </c>
      <c r="H505" s="22" t="n">
        <v>7</v>
      </c>
      <c r="I505" s="25">
        <f>IF(OR(F505="",G505=""),"",F505*G505)</f>
        <v/>
      </c>
      <c r="J505" s="38">
        <f>IF(OR(F505="",G505=""),"",ROUND(G505*(1+F505/30),1))</f>
        <v/>
      </c>
      <c r="K505" s="26" t="n"/>
    </row>
    <row r="506" ht="18" customHeight="1">
      <c r="A506" s="37" t="n">
        <v>46310</v>
      </c>
      <c r="B506" s="22">
        <f>IF(A506="","",IFERROR(INT((A506-DATE(2026,4,27))/7)+1,""))</f>
        <v/>
      </c>
      <c r="C506" s="22" t="inlineStr">
        <is>
          <t>Gym Full Body</t>
        </is>
      </c>
      <c r="D506" s="23" t="inlineStr">
        <is>
          <t>Bench Press</t>
        </is>
      </c>
      <c r="E506" s="22" t="n">
        <v>3</v>
      </c>
      <c r="F506" s="22" t="n">
        <v>8</v>
      </c>
      <c r="G506" s="38" t="n">
        <v>25</v>
      </c>
      <c r="H506" s="22" t="n">
        <v>7</v>
      </c>
      <c r="I506" s="25">
        <f>IF(OR(F506="",G506=""),"",F506*G506)</f>
        <v/>
      </c>
      <c r="J506" s="38">
        <f>IF(OR(F506="",G506=""),"",ROUND(G506*(1+F506/30),1))</f>
        <v/>
      </c>
      <c r="K506" s="26" t="n"/>
    </row>
    <row r="507" ht="18" customHeight="1">
      <c r="A507" s="37" t="n">
        <v>46310</v>
      </c>
      <c r="B507" s="22">
        <f>IF(A507="","",IFERROR(INT((A507-DATE(2026,4,27))/7)+1,""))</f>
        <v/>
      </c>
      <c r="C507" s="22" t="inlineStr">
        <is>
          <t>Gym Full Body</t>
        </is>
      </c>
      <c r="D507" s="23" t="inlineStr">
        <is>
          <t>Incline DB Press</t>
        </is>
      </c>
      <c r="E507" s="22" t="n">
        <v>1</v>
      </c>
      <c r="F507" s="22" t="n">
        <v>10</v>
      </c>
      <c r="G507" s="38" t="n">
        <v>6</v>
      </c>
      <c r="H507" s="22" t="n">
        <v>7</v>
      </c>
      <c r="I507" s="25">
        <f>IF(OR(F507="",G507=""),"",F507*G507)</f>
        <v/>
      </c>
      <c r="J507" s="38">
        <f>IF(OR(F507="",G507=""),"",ROUND(G507*(1+F507/30),1))</f>
        <v/>
      </c>
      <c r="K507" s="26" t="inlineStr">
        <is>
          <t>6/DB. 2 of 3 sets. Hold 3x10.</t>
        </is>
      </c>
    </row>
    <row r="508" ht="18" customHeight="1">
      <c r="A508" s="37" t="n">
        <v>46310</v>
      </c>
      <c r="B508" s="22">
        <f>IF(A508="","",IFERROR(INT((A508-DATE(2026,4,27))/7)+1,""))</f>
        <v/>
      </c>
      <c r="C508" s="22" t="inlineStr">
        <is>
          <t>Gym Full Body</t>
        </is>
      </c>
      <c r="D508" s="23" t="inlineStr">
        <is>
          <t>Incline DB Press</t>
        </is>
      </c>
      <c r="E508" s="22" t="n">
        <v>2</v>
      </c>
      <c r="F508" s="22" t="n">
        <v>10</v>
      </c>
      <c r="G508" s="38" t="n">
        <v>6</v>
      </c>
      <c r="H508" s="22" t="n">
        <v>7</v>
      </c>
      <c r="I508" s="25">
        <f>IF(OR(F508="",G508=""),"",F508*G508)</f>
        <v/>
      </c>
      <c r="J508" s="38">
        <f>IF(OR(F508="",G508=""),"",ROUND(G508*(1+F508/30),1))</f>
        <v/>
      </c>
      <c r="K508" s="26" t="n"/>
    </row>
    <row r="509" ht="18" customHeight="1">
      <c r="A509" s="37" t="n">
        <v>46310</v>
      </c>
      <c r="B509" s="22">
        <f>IF(A509="","",IFERROR(INT((A509-DATE(2026,4,27))/7)+1,""))</f>
        <v/>
      </c>
      <c r="C509" s="22" t="inlineStr">
        <is>
          <t>Gym Full Body</t>
        </is>
      </c>
      <c r="D509" s="23" t="inlineStr">
        <is>
          <t>Leg Extension</t>
        </is>
      </c>
      <c r="E509" s="22" t="n">
        <v>1</v>
      </c>
      <c r="F509" s="22" t="n">
        <v>10</v>
      </c>
      <c r="G509" s="38" t="n">
        <v>15</v>
      </c>
      <c r="H509" s="22" t="n">
        <v>6</v>
      </c>
      <c r="I509" s="25">
        <f>IF(OR(F509="",G509=""),"",F509*G509)</f>
        <v/>
      </c>
      <c r="J509" s="38">
        <f>IF(OR(F509="",G509=""),"",ROUND(G509*(1+F509/30),1))</f>
        <v/>
      </c>
      <c r="K509" s="26" t="inlineStr">
        <is>
          <t>Above seed 12.5, legs cap RPE 6. Hold.</t>
        </is>
      </c>
    </row>
    <row r="510" ht="18" customHeight="1">
      <c r="A510" s="37" t="n">
        <v>46310</v>
      </c>
      <c r="B510" s="22">
        <f>IF(A510="","",IFERROR(INT((A510-DATE(2026,4,27))/7)+1,""))</f>
        <v/>
      </c>
      <c r="C510" s="22" t="inlineStr">
        <is>
          <t>Gym Full Body</t>
        </is>
      </c>
      <c r="D510" s="23" t="inlineStr">
        <is>
          <t>Leg Extension</t>
        </is>
      </c>
      <c r="E510" s="22" t="n">
        <v>2</v>
      </c>
      <c r="F510" s="22" t="n">
        <v>10</v>
      </c>
      <c r="G510" s="38" t="n">
        <v>15</v>
      </c>
      <c r="H510" s="22" t="n">
        <v>6</v>
      </c>
      <c r="I510" s="25">
        <f>IF(OR(F510="",G510=""),"",F510*G510)</f>
        <v/>
      </c>
      <c r="J510" s="38">
        <f>IF(OR(F510="",G510=""),"",ROUND(G510*(1+F510/30),1))</f>
        <v/>
      </c>
      <c r="K510" s="26" t="n"/>
    </row>
    <row r="511" ht="18" customHeight="1">
      <c r="A511" s="37" t="n">
        <v>46310</v>
      </c>
      <c r="B511" s="22">
        <f>IF(A511="","",IFERROR(INT((A511-DATE(2026,4,27))/7)+1,""))</f>
        <v/>
      </c>
      <c r="C511" s="22" t="inlineStr">
        <is>
          <t>Gym Full Body</t>
        </is>
      </c>
      <c r="D511" s="23" t="inlineStr">
        <is>
          <t>Lying Leg Curl</t>
        </is>
      </c>
      <c r="E511" s="22" t="n">
        <v>1</v>
      </c>
      <c r="F511" s="22" t="n">
        <v>10</v>
      </c>
      <c r="G511" s="38" t="n">
        <v>16</v>
      </c>
      <c r="H511" s="22" t="n">
        <v>6</v>
      </c>
      <c r="I511" s="25">
        <f>IF(OR(F511="",G511=""),"",F511*G511)</f>
        <v/>
      </c>
      <c r="J511" s="38">
        <f>IF(OR(F511="",G511=""),"",ROUND(G511*(1+F511/30),1))</f>
        <v/>
      </c>
      <c r="K511" s="26" t="inlineStr">
        <is>
          <t>Above seed 10. Hold.</t>
        </is>
      </c>
    </row>
    <row r="512" ht="18" customHeight="1">
      <c r="A512" s="37" t="n">
        <v>46310</v>
      </c>
      <c r="B512" s="22">
        <f>IF(A512="","",IFERROR(INT((A512-DATE(2026,4,27))/7)+1,""))</f>
        <v/>
      </c>
      <c r="C512" s="22" t="inlineStr">
        <is>
          <t>Gym Full Body</t>
        </is>
      </c>
      <c r="D512" s="23" t="inlineStr">
        <is>
          <t>Lying Leg Curl</t>
        </is>
      </c>
      <c r="E512" s="22" t="n">
        <v>2</v>
      </c>
      <c r="F512" s="22" t="n">
        <v>10</v>
      </c>
      <c r="G512" s="38" t="n">
        <v>16</v>
      </c>
      <c r="H512" s="22" t="n">
        <v>6</v>
      </c>
      <c r="I512" s="25">
        <f>IF(OR(F512="",G512=""),"",F512*G512)</f>
        <v/>
      </c>
      <c r="J512" s="38">
        <f>IF(OR(F512="",G512=""),"",ROUND(G512*(1+F512/30),1))</f>
        <v/>
      </c>
      <c r="K512" s="26" t="n"/>
    </row>
    <row r="513" ht="18" customHeight="1">
      <c r="A513" s="37" t="n">
        <v>46310</v>
      </c>
      <c r="B513" s="22">
        <f>IF(A513="","",IFERROR(INT((A513-DATE(2026,4,27))/7)+1,""))</f>
        <v/>
      </c>
      <c r="C513" s="22" t="inlineStr">
        <is>
          <t>Gym Full Body</t>
        </is>
      </c>
      <c r="D513" s="23" t="inlineStr">
        <is>
          <t>Tibialis Raise</t>
        </is>
      </c>
      <c r="E513" s="22" t="n">
        <v>1</v>
      </c>
      <c r="F513" s="22" t="n">
        <v>15</v>
      </c>
      <c r="G513" s="38" t="n">
        <v>6.8</v>
      </c>
      <c r="H513" s="22" t="n">
        <v>7</v>
      </c>
      <c r="I513" s="25">
        <f>IF(OR(F513="",G513=""),"",F513*G513)</f>
        <v/>
      </c>
      <c r="J513" s="38">
        <f>IF(OR(F513="",G513=""),"",ROUND(G513*(1+F513/30),1))</f>
        <v/>
      </c>
      <c r="K513" s="26" t="inlineStr">
        <is>
          <t>6.8 kg (seed 2.5). Hold.</t>
        </is>
      </c>
    </row>
    <row r="514" ht="18" customHeight="1">
      <c r="A514" s="37" t="n">
        <v>46310</v>
      </c>
      <c r="B514" s="22">
        <f>IF(A514="","",IFERROR(INT((A514-DATE(2026,4,27))/7)+1,""))</f>
        <v/>
      </c>
      <c r="C514" s="22" t="inlineStr">
        <is>
          <t>Gym Full Body</t>
        </is>
      </c>
      <c r="D514" s="23" t="inlineStr">
        <is>
          <t>Tibialis Raise</t>
        </is>
      </c>
      <c r="E514" s="22" t="n">
        <v>2</v>
      </c>
      <c r="F514" s="22" t="n">
        <v>15</v>
      </c>
      <c r="G514" s="38" t="n">
        <v>6.8</v>
      </c>
      <c r="H514" s="22" t="n">
        <v>7</v>
      </c>
      <c r="I514" s="25">
        <f>IF(OR(F514="",G514=""),"",F514*G514)</f>
        <v/>
      </c>
      <c r="J514" s="38">
        <f>IF(OR(F514="",G514=""),"",ROUND(G514*(1+F514/30),1))</f>
        <v/>
      </c>
      <c r="K514" s="26" t="n"/>
    </row>
    <row r="515" ht="18" customHeight="1">
      <c r="A515" s="37" t="n">
        <v>46310</v>
      </c>
      <c r="B515" s="22">
        <f>IF(A515="","",IFERROR(INT((A515-DATE(2026,4,27))/7)+1,""))</f>
        <v/>
      </c>
      <c r="C515" s="22" t="inlineStr">
        <is>
          <t>Gym Full Body</t>
        </is>
      </c>
      <c r="D515" s="23" t="inlineStr">
        <is>
          <t>Tibialis Raise</t>
        </is>
      </c>
      <c r="E515" s="22" t="n">
        <v>3</v>
      </c>
      <c r="F515" s="22" t="n">
        <v>15</v>
      </c>
      <c r="G515" s="38" t="n">
        <v>6.8</v>
      </c>
      <c r="H515" s="22" t="n">
        <v>7</v>
      </c>
      <c r="I515" s="25">
        <f>IF(OR(F515="",G515=""),"",F515*G515)</f>
        <v/>
      </c>
      <c r="J515" s="38">
        <f>IF(OR(F515="",G515=""),"",ROUND(G515*(1+F515/30),1))</f>
        <v/>
      </c>
      <c r="K515" s="26" t="n"/>
    </row>
    <row r="516" ht="18" customHeight="1">
      <c r="A516" s="37" t="n">
        <v>46310</v>
      </c>
      <c r="B516" s="22">
        <f>IF(A516="","",IFERROR(INT((A516-DATE(2026,4,27))/7)+1,""))</f>
        <v/>
      </c>
      <c r="C516" s="22" t="inlineStr">
        <is>
          <t>Gym Full Body</t>
        </is>
      </c>
      <c r="D516" s="23" t="inlineStr">
        <is>
          <t>Hanging Knee Raise (BW)</t>
        </is>
      </c>
      <c r="E516" s="22" t="n">
        <v>1</v>
      </c>
      <c r="F516" s="22" t="n">
        <v>8</v>
      </c>
      <c r="G516" s="38" t="n"/>
      <c r="H516" s="22" t="n">
        <v>6</v>
      </c>
      <c r="I516" s="25">
        <f>IF(OR(F516="",G516=""),"",F516*G516)</f>
        <v/>
      </c>
      <c r="J516" s="38">
        <f>IF(OR(F516="",G516=""),"",ROUND(G516*(1+F516/30),1))</f>
        <v/>
      </c>
      <c r="K516" s="26" t="inlineStr">
        <is>
          <t>Next 3x10.</t>
        </is>
      </c>
    </row>
    <row r="517" ht="18" customHeight="1">
      <c r="A517" s="37" t="n">
        <v>46310</v>
      </c>
      <c r="B517" s="22">
        <f>IF(A517="","",IFERROR(INT((A517-DATE(2026,4,27))/7)+1,""))</f>
        <v/>
      </c>
      <c r="C517" s="22" t="inlineStr">
        <is>
          <t>Gym Full Body</t>
        </is>
      </c>
      <c r="D517" s="23" t="inlineStr">
        <is>
          <t>Hanging Knee Raise (BW)</t>
        </is>
      </c>
      <c r="E517" s="22" t="n">
        <v>2</v>
      </c>
      <c r="F517" s="22" t="n">
        <v>8</v>
      </c>
      <c r="G517" s="38" t="n"/>
      <c r="H517" s="22" t="n">
        <v>6</v>
      </c>
      <c r="I517" s="25">
        <f>IF(OR(F517="",G517=""),"",F517*G517)</f>
        <v/>
      </c>
      <c r="J517" s="38">
        <f>IF(OR(F517="",G517=""),"",ROUND(G517*(1+F517/30),1))</f>
        <v/>
      </c>
      <c r="K517" s="26" t="n"/>
    </row>
    <row r="518" ht="18" customHeight="1">
      <c r="A518" s="37" t="n">
        <v>46310</v>
      </c>
      <c r="B518" s="22">
        <f>IF(A518="","",IFERROR(INT((A518-DATE(2026,4,27))/7)+1,""))</f>
        <v/>
      </c>
      <c r="C518" s="22" t="inlineStr">
        <is>
          <t>Gym Full Body</t>
        </is>
      </c>
      <c r="D518" s="23" t="inlineStr">
        <is>
          <t>Hanging Knee Raise (BW)</t>
        </is>
      </c>
      <c r="E518" s="22" t="n">
        <v>3</v>
      </c>
      <c r="F518" s="22" t="n">
        <v>8</v>
      </c>
      <c r="G518" s="38" t="n"/>
      <c r="H518" s="22" t="n">
        <v>6</v>
      </c>
      <c r="I518" s="25">
        <f>IF(OR(F518="",G518=""),"",F518*G518)</f>
        <v/>
      </c>
      <c r="J518" s="38">
        <f>IF(OR(F518="",G518=""),"",ROUND(G518*(1+F518/30),1))</f>
        <v/>
      </c>
      <c r="K518" s="26" t="n"/>
    </row>
    <row r="519" ht="18" customHeight="1">
      <c r="A519" s="37" t="n">
        <v>46317</v>
      </c>
      <c r="B519" s="22">
        <f>IF(A519="","",IFERROR(INT((A519-DATE(2026,4,27))/7)+1,""))</f>
        <v/>
      </c>
      <c r="C519" s="22" t="inlineStr">
        <is>
          <t>Gym Upper</t>
        </is>
      </c>
      <c r="D519" s="23" t="inlineStr">
        <is>
          <t>Bench Press</t>
        </is>
      </c>
      <c r="E519" s="22" t="n">
        <v>1</v>
      </c>
      <c r="F519" s="22" t="n">
        <v>8</v>
      </c>
      <c r="G519" s="38" t="n">
        <v>25</v>
      </c>
      <c r="H519" s="22" t="n">
        <v>7</v>
      </c>
      <c r="I519" s="25">
        <f>IF(OR(F519="",G519=""),"",F519*G519)</f>
        <v/>
      </c>
      <c r="J519" s="38">
        <f>IF(OR(F519="",G519=""),"",ROUND(G519*(1+F519/30),1))</f>
        <v/>
      </c>
      <c r="K519" s="26" t="inlineStr">
        <is>
          <t>Gym #3 upper. Gate met -&gt; 27.5 4x8.</t>
        </is>
      </c>
    </row>
    <row r="520" ht="18" customHeight="1">
      <c r="A520" s="35" t="n">
        <v>46317</v>
      </c>
      <c r="B520" s="16">
        <f>IF(A520="","",IFERROR(INT((A520-DATE(2026,4,27))/7)+1,""))</f>
        <v/>
      </c>
      <c r="C520" s="16" t="inlineStr">
        <is>
          <t>Gym Upper</t>
        </is>
      </c>
      <c r="D520" s="17" t="inlineStr">
        <is>
          <t>Bench Press</t>
        </is>
      </c>
      <c r="E520" s="16" t="n">
        <v>2</v>
      </c>
      <c r="F520" s="16" t="n">
        <v>8</v>
      </c>
      <c r="G520" s="36" t="n">
        <v>25</v>
      </c>
      <c r="H520" s="16" t="n">
        <v>6</v>
      </c>
      <c r="I520" s="19">
        <f>IF(OR(F520="",G520=""),"",F520*G520)</f>
        <v/>
      </c>
      <c r="J520" s="36">
        <f>IF(OR(F520="",G520=""),"",ROUND(G520*(1+F520/30),1))</f>
        <v/>
      </c>
      <c r="K520" s="20" t="n"/>
    </row>
    <row r="521" ht="18" customHeight="1">
      <c r="A521" s="37" t="n">
        <v>46317</v>
      </c>
      <c r="B521" s="22">
        <f>IF(A521="","",IFERROR(INT((A521-DATE(2026,4,27))/7)+1,""))</f>
        <v/>
      </c>
      <c r="C521" s="22" t="inlineStr">
        <is>
          <t>Gym Upper</t>
        </is>
      </c>
      <c r="D521" s="23" t="inlineStr">
        <is>
          <t>Bench Press</t>
        </is>
      </c>
      <c r="E521" s="22" t="n">
        <v>3</v>
      </c>
      <c r="F521" s="22" t="n">
        <v>8</v>
      </c>
      <c r="G521" s="38" t="n">
        <v>25</v>
      </c>
      <c r="H521" s="22" t="n">
        <v>6</v>
      </c>
      <c r="I521" s="25">
        <f>IF(OR(F521="",G521=""),"",F521*G521)</f>
        <v/>
      </c>
      <c r="J521" s="38">
        <f>IF(OR(F521="",G521=""),"",ROUND(G521*(1+F521/30),1))</f>
        <v/>
      </c>
      <c r="K521" s="26" t="n"/>
    </row>
    <row r="522" ht="18" customHeight="1">
      <c r="A522" s="35" t="n">
        <v>46317</v>
      </c>
      <c r="B522" s="16">
        <f>IF(A522="","",IFERROR(INT((A522-DATE(2026,4,27))/7)+1,""))</f>
        <v/>
      </c>
      <c r="C522" s="16" t="inlineStr">
        <is>
          <t>Gym Upper</t>
        </is>
      </c>
      <c r="D522" s="17" t="inlineStr">
        <is>
          <t>Bench Press</t>
        </is>
      </c>
      <c r="E522" s="16" t="n">
        <v>4</v>
      </c>
      <c r="F522" s="16" t="n">
        <v>8</v>
      </c>
      <c r="G522" s="36" t="n">
        <v>25</v>
      </c>
      <c r="H522" s="16" t="n">
        <v>6</v>
      </c>
      <c r="I522" s="19">
        <f>IF(OR(F522="",G522=""),"",F522*G522)</f>
        <v/>
      </c>
      <c r="J522" s="36">
        <f>IF(OR(F522="",G522=""),"",ROUND(G522*(1+F522/30),1))</f>
        <v/>
      </c>
      <c r="K522" s="20" t="n"/>
    </row>
    <row r="523" ht="18" customHeight="1">
      <c r="A523" s="37" t="n">
        <v>46317</v>
      </c>
      <c r="B523" s="22">
        <f>IF(A523="","",IFERROR(INT((A523-DATE(2026,4,27))/7)+1,""))</f>
        <v/>
      </c>
      <c r="C523" s="22" t="inlineStr">
        <is>
          <t>Gym Upper</t>
        </is>
      </c>
      <c r="D523" s="23" t="inlineStr">
        <is>
          <t>Lat Pulldown</t>
        </is>
      </c>
      <c r="E523" s="22" t="n">
        <v>1</v>
      </c>
      <c r="F523" s="22" t="n">
        <v>10</v>
      </c>
      <c r="G523" s="38" t="n">
        <v>25</v>
      </c>
      <c r="H523" s="22" t="n">
        <v>5</v>
      </c>
      <c r="I523" s="25">
        <f>IF(OR(F523="",G523=""),"",F523*G523)</f>
        <v/>
      </c>
      <c r="J523" s="38">
        <f>IF(OR(F523="",G523=""),"",ROUND(G523*(1+F523/30),1))</f>
        <v/>
      </c>
      <c r="K523" s="26" t="inlineStr">
        <is>
          <t>Restored. Gate met -&gt; 27.5 4x10.</t>
        </is>
      </c>
    </row>
    <row r="524" ht="18" customHeight="1">
      <c r="A524" s="35" t="n">
        <v>46317</v>
      </c>
      <c r="B524" s="16">
        <f>IF(A524="","",IFERROR(INT((A524-DATE(2026,4,27))/7)+1,""))</f>
        <v/>
      </c>
      <c r="C524" s="16" t="inlineStr">
        <is>
          <t>Gym Upper</t>
        </is>
      </c>
      <c r="D524" s="17" t="inlineStr">
        <is>
          <t>Lat Pulldown</t>
        </is>
      </c>
      <c r="E524" s="16" t="n">
        <v>2</v>
      </c>
      <c r="F524" s="16" t="n">
        <v>10</v>
      </c>
      <c r="G524" s="36" t="n">
        <v>25</v>
      </c>
      <c r="H524" s="16" t="n">
        <v>5</v>
      </c>
      <c r="I524" s="19">
        <f>IF(OR(F524="",G524=""),"",F524*G524)</f>
        <v/>
      </c>
      <c r="J524" s="36">
        <f>IF(OR(F524="",G524=""),"",ROUND(G524*(1+F524/30),1))</f>
        <v/>
      </c>
      <c r="K524" s="20" t="n"/>
    </row>
    <row r="525" ht="18" customHeight="1">
      <c r="A525" s="37" t="n">
        <v>46317</v>
      </c>
      <c r="B525" s="22">
        <f>IF(A525="","",IFERROR(INT((A525-DATE(2026,4,27))/7)+1,""))</f>
        <v/>
      </c>
      <c r="C525" s="22" t="inlineStr">
        <is>
          <t>Gym Upper</t>
        </is>
      </c>
      <c r="D525" s="23" t="inlineStr">
        <is>
          <t>Lat Pulldown</t>
        </is>
      </c>
      <c r="E525" s="22" t="n">
        <v>3</v>
      </c>
      <c r="F525" s="22" t="n">
        <v>10</v>
      </c>
      <c r="G525" s="38" t="n">
        <v>25</v>
      </c>
      <c r="H525" s="22" t="n">
        <v>5</v>
      </c>
      <c r="I525" s="25">
        <f>IF(OR(F525="",G525=""),"",F525*G525)</f>
        <v/>
      </c>
      <c r="J525" s="38">
        <f>IF(OR(F525="",G525=""),"",ROUND(G525*(1+F525/30),1))</f>
        <v/>
      </c>
      <c r="K525" s="26" t="n"/>
    </row>
    <row r="526" ht="18" customHeight="1">
      <c r="A526" s="35" t="n">
        <v>46317</v>
      </c>
      <c r="B526" s="16">
        <f>IF(A526="","",IFERROR(INT((A526-DATE(2026,4,27))/7)+1,""))</f>
        <v/>
      </c>
      <c r="C526" s="16" t="inlineStr">
        <is>
          <t>Gym Upper</t>
        </is>
      </c>
      <c r="D526" s="17" t="inlineStr">
        <is>
          <t>Lat Pulldown</t>
        </is>
      </c>
      <c r="E526" s="16" t="n">
        <v>4</v>
      </c>
      <c r="F526" s="16" t="n">
        <v>10</v>
      </c>
      <c r="G526" s="36" t="n">
        <v>25</v>
      </c>
      <c r="H526" s="16" t="n">
        <v>5</v>
      </c>
      <c r="I526" s="19">
        <f>IF(OR(F526="",G526=""),"",F526*G526)</f>
        <v/>
      </c>
      <c r="J526" s="36">
        <f>IF(OR(F526="",G526=""),"",ROUND(G526*(1+F526/30),1))</f>
        <v/>
      </c>
      <c r="K526" s="20" t="n"/>
    </row>
    <row r="527" ht="18" customHeight="1">
      <c r="A527" s="37" t="n">
        <v>46317</v>
      </c>
      <c r="B527" s="22">
        <f>IF(A527="","",IFERROR(INT((A527-DATE(2026,4,27))/7)+1,""))</f>
        <v/>
      </c>
      <c r="C527" s="22" t="inlineStr">
        <is>
          <t>Gym Upper</t>
        </is>
      </c>
      <c r="D527" s="23" t="inlineStr">
        <is>
          <t>Incline DB Press</t>
        </is>
      </c>
      <c r="E527" s="22" t="n">
        <v>1</v>
      </c>
      <c r="F527" s="22" t="n">
        <v>10</v>
      </c>
      <c r="G527" s="38" t="n">
        <v>6</v>
      </c>
      <c r="H527" s="22" t="n">
        <v>6</v>
      </c>
      <c r="I527" s="25">
        <f>IF(OR(F527="",G527=""),"",F527*G527)</f>
        <v/>
      </c>
      <c r="J527" s="38">
        <f>IF(OR(F527="",G527=""),"",ROUND(G527*(1+F527/30),1))</f>
        <v/>
      </c>
      <c r="K527" s="26" t="inlineStr">
        <is>
          <t>6/DB. Gate met -&gt; 7/DB 3x10.</t>
        </is>
      </c>
    </row>
    <row r="528" ht="18" customHeight="1">
      <c r="A528" s="35" t="n">
        <v>46317</v>
      </c>
      <c r="B528" s="16">
        <f>IF(A528="","",IFERROR(INT((A528-DATE(2026,4,27))/7)+1,""))</f>
        <v/>
      </c>
      <c r="C528" s="16" t="inlineStr">
        <is>
          <t>Gym Upper</t>
        </is>
      </c>
      <c r="D528" s="17" t="inlineStr">
        <is>
          <t>Incline DB Press</t>
        </is>
      </c>
      <c r="E528" s="16" t="n">
        <v>2</v>
      </c>
      <c r="F528" s="16" t="n">
        <v>10</v>
      </c>
      <c r="G528" s="36" t="n">
        <v>6</v>
      </c>
      <c r="H528" s="16" t="n">
        <v>6</v>
      </c>
      <c r="I528" s="19">
        <f>IF(OR(F528="",G528=""),"",F528*G528)</f>
        <v/>
      </c>
      <c r="J528" s="36">
        <f>IF(OR(F528="",G528=""),"",ROUND(G528*(1+F528/30),1))</f>
        <v/>
      </c>
      <c r="K528" s="20" t="n"/>
    </row>
    <row r="529" ht="18" customHeight="1">
      <c r="A529" s="37" t="n">
        <v>46317</v>
      </c>
      <c r="B529" s="22">
        <f>IF(A529="","",IFERROR(INT((A529-DATE(2026,4,27))/7)+1,""))</f>
        <v/>
      </c>
      <c r="C529" s="22" t="inlineStr">
        <is>
          <t>Gym Upper</t>
        </is>
      </c>
      <c r="D529" s="23" t="inlineStr">
        <is>
          <t>Incline DB Press</t>
        </is>
      </c>
      <c r="E529" s="22" t="n">
        <v>3</v>
      </c>
      <c r="F529" s="22" t="n">
        <v>10</v>
      </c>
      <c r="G529" s="38" t="n">
        <v>6</v>
      </c>
      <c r="H529" s="22" t="n">
        <v>6</v>
      </c>
      <c r="I529" s="25">
        <f>IF(OR(F529="",G529=""),"",F529*G529)</f>
        <v/>
      </c>
      <c r="J529" s="38">
        <f>IF(OR(F529="",G529=""),"",ROUND(G529*(1+F529/30),1))</f>
        <v/>
      </c>
      <c r="K529" s="26" t="n"/>
    </row>
    <row r="530" ht="18" customHeight="1">
      <c r="A530" s="35" t="n">
        <v>46317</v>
      </c>
      <c r="B530" s="16">
        <f>IF(A530="","",IFERROR(INT((A530-DATE(2026,4,27))/7)+1,""))</f>
        <v/>
      </c>
      <c r="C530" s="16" t="inlineStr">
        <is>
          <t>Gym Upper</t>
        </is>
      </c>
      <c r="D530" s="17" t="inlineStr">
        <is>
          <t>Barbell Row</t>
        </is>
      </c>
      <c r="E530" s="16" t="n">
        <v>1</v>
      </c>
      <c r="F530" s="16" t="n">
        <v>12</v>
      </c>
      <c r="G530" s="36" t="n">
        <v>20</v>
      </c>
      <c r="H530" s="16" t="n">
        <v>7</v>
      </c>
      <c r="I530" s="19">
        <f>IF(OR(F530="",G530=""),"",F530*G530)</f>
        <v/>
      </c>
      <c r="J530" s="36">
        <f>IF(OR(F530="",G530=""),"",ROUND(G530*(1+F530/30),1))</f>
        <v/>
      </c>
      <c r="K530" s="20" t="inlineStr">
        <is>
          <t>Barbell Row 20 (staged Lying Row 32.5). Gate met -&gt; 22.5 3x12.</t>
        </is>
      </c>
    </row>
    <row r="531" ht="18" customHeight="1">
      <c r="A531" s="37" t="n">
        <v>46317</v>
      </c>
      <c r="B531" s="22">
        <f>IF(A531="","",IFERROR(INT((A531-DATE(2026,4,27))/7)+1,""))</f>
        <v/>
      </c>
      <c r="C531" s="22" t="inlineStr">
        <is>
          <t>Gym Upper</t>
        </is>
      </c>
      <c r="D531" s="23" t="inlineStr">
        <is>
          <t>Barbell Row</t>
        </is>
      </c>
      <c r="E531" s="22" t="n">
        <v>2</v>
      </c>
      <c r="F531" s="22" t="n">
        <v>12</v>
      </c>
      <c r="G531" s="38" t="n">
        <v>20</v>
      </c>
      <c r="H531" s="22" t="n">
        <v>6</v>
      </c>
      <c r="I531" s="25">
        <f>IF(OR(F531="",G531=""),"",F531*G531)</f>
        <v/>
      </c>
      <c r="J531" s="38">
        <f>IF(OR(F531="",G531=""),"",ROUND(G531*(1+F531/30),1))</f>
        <v/>
      </c>
      <c r="K531" s="26" t="n"/>
    </row>
    <row r="532" ht="18" customHeight="1">
      <c r="A532" s="35" t="n">
        <v>46317</v>
      </c>
      <c r="B532" s="16">
        <f>IF(A532="","",IFERROR(INT((A532-DATE(2026,4,27))/7)+1,""))</f>
        <v/>
      </c>
      <c r="C532" s="16" t="inlineStr">
        <is>
          <t>Gym Upper</t>
        </is>
      </c>
      <c r="D532" s="17" t="inlineStr">
        <is>
          <t>Barbell Row</t>
        </is>
      </c>
      <c r="E532" s="16" t="n">
        <v>3</v>
      </c>
      <c r="F532" s="16" t="n">
        <v>12</v>
      </c>
      <c r="G532" s="36" t="n">
        <v>20</v>
      </c>
      <c r="H532" s="16" t="n">
        <v>6</v>
      </c>
      <c r="I532" s="19">
        <f>IF(OR(F532="",G532=""),"",F532*G532)</f>
        <v/>
      </c>
      <c r="J532" s="36">
        <f>IF(OR(F532="",G532=""),"",ROUND(G532*(1+F532/30),1))</f>
        <v/>
      </c>
      <c r="K532" s="20" t="n"/>
    </row>
    <row r="533" ht="18" customHeight="1">
      <c r="A533" s="37" t="n">
        <v>46317</v>
      </c>
      <c r="B533" s="22">
        <f>IF(A533="","",IFERROR(INT((A533-DATE(2026,4,27))/7)+1,""))</f>
        <v/>
      </c>
      <c r="C533" s="22" t="inlineStr">
        <is>
          <t>Gym Upper</t>
        </is>
      </c>
      <c r="D533" s="23" t="inlineStr">
        <is>
          <t>Tibialis Raise</t>
        </is>
      </c>
      <c r="E533" s="22" t="n">
        <v>1</v>
      </c>
      <c r="F533" s="22" t="n">
        <v>15</v>
      </c>
      <c r="G533" s="38" t="n">
        <v>6.8</v>
      </c>
      <c r="H533" s="22" t="n">
        <v>6</v>
      </c>
      <c r="I533" s="25">
        <f>IF(OR(F533="",G533=""),"",F533*G533)</f>
        <v/>
      </c>
      <c r="J533" s="38">
        <f>IF(OR(F533="",G533=""),"",ROUND(G533*(1+F533/30),1))</f>
        <v/>
      </c>
      <c r="K533" s="26" t="inlineStr">
        <is>
          <t>Gate met 2nd session -&gt; reps first: 6.8 3x20.</t>
        </is>
      </c>
    </row>
    <row r="534" ht="18" customHeight="1">
      <c r="A534" s="35" t="n">
        <v>46317</v>
      </c>
      <c r="B534" s="16">
        <f>IF(A534="","",IFERROR(INT((A534-DATE(2026,4,27))/7)+1,""))</f>
        <v/>
      </c>
      <c r="C534" s="16" t="inlineStr">
        <is>
          <t>Gym Upper</t>
        </is>
      </c>
      <c r="D534" s="17" t="inlineStr">
        <is>
          <t>Tibialis Raise</t>
        </is>
      </c>
      <c r="E534" s="16" t="n">
        <v>2</v>
      </c>
      <c r="F534" s="16" t="n">
        <v>15</v>
      </c>
      <c r="G534" s="36" t="n">
        <v>6.8</v>
      </c>
      <c r="H534" s="16" t="n">
        <v>5</v>
      </c>
      <c r="I534" s="19">
        <f>IF(OR(F534="",G534=""),"",F534*G534)</f>
        <v/>
      </c>
      <c r="J534" s="36">
        <f>IF(OR(F534="",G534=""),"",ROUND(G534*(1+F534/30),1))</f>
        <v/>
      </c>
      <c r="K534" s="20" t="n"/>
    </row>
    <row r="535" ht="18" customHeight="1">
      <c r="A535" s="37" t="n">
        <v>46317</v>
      </c>
      <c r="B535" s="22">
        <f>IF(A535="","",IFERROR(INT((A535-DATE(2026,4,27))/7)+1,""))</f>
        <v/>
      </c>
      <c r="C535" s="22" t="inlineStr">
        <is>
          <t>Gym Upper</t>
        </is>
      </c>
      <c r="D535" s="23" t="inlineStr">
        <is>
          <t>Tibialis Raise</t>
        </is>
      </c>
      <c r="E535" s="22" t="n">
        <v>3</v>
      </c>
      <c r="F535" s="22" t="n">
        <v>15</v>
      </c>
      <c r="G535" s="38" t="n">
        <v>6.8</v>
      </c>
      <c r="H535" s="22" t="n">
        <v>5</v>
      </c>
      <c r="I535" s="25">
        <f>IF(OR(F535="",G535=""),"",F535*G535)</f>
        <v/>
      </c>
      <c r="J535" s="38">
        <f>IF(OR(F535="",G535=""),"",ROUND(G535*(1+F535/30),1))</f>
        <v/>
      </c>
      <c r="K535" s="26" t="n"/>
    </row>
    <row r="536" ht="18" customHeight="1">
      <c r="A536" s="35" t="n">
        <v>46317</v>
      </c>
      <c r="B536" s="16">
        <f>IF(A536="","",IFERROR(INT((A536-DATE(2026,4,27))/7)+1,""))</f>
        <v/>
      </c>
      <c r="C536" s="16" t="inlineStr">
        <is>
          <t>Gym Upper</t>
        </is>
      </c>
      <c r="D536" s="17" t="inlineStr">
        <is>
          <t>Hanging Knee Raise (BW)</t>
        </is>
      </c>
      <c r="E536" s="16" t="n">
        <v>1</v>
      </c>
      <c r="F536" s="16" t="n">
        <v>10</v>
      </c>
      <c r="G536" s="36" t="n"/>
      <c r="H536" s="16" t="n">
        <v>6</v>
      </c>
      <c r="I536" s="19">
        <f>IF(OR(F536="",G536=""),"",F536*G536)</f>
        <v/>
      </c>
      <c r="J536" s="36">
        <f>IF(OR(F536="",G536=""),"",ROUND(G536*(1+F536/30),1))</f>
        <v/>
      </c>
      <c r="K536" s="20" t="inlineStr">
        <is>
          <t>Gate met -&gt; 3x12.</t>
        </is>
      </c>
    </row>
    <row r="537" ht="18" customHeight="1">
      <c r="A537" s="37" t="n">
        <v>46317</v>
      </c>
      <c r="B537" s="22">
        <f>IF(A537="","",IFERROR(INT((A537-DATE(2026,4,27))/7)+1,""))</f>
        <v/>
      </c>
      <c r="C537" s="22" t="inlineStr">
        <is>
          <t>Gym Upper</t>
        </is>
      </c>
      <c r="D537" s="23" t="inlineStr">
        <is>
          <t>Hanging Knee Raise (BW)</t>
        </is>
      </c>
      <c r="E537" s="22" t="n">
        <v>2</v>
      </c>
      <c r="F537" s="22" t="n">
        <v>10</v>
      </c>
      <c r="G537" s="38" t="n"/>
      <c r="H537" s="22" t="n">
        <v>6</v>
      </c>
      <c r="I537" s="25">
        <f>IF(OR(F537="",G537=""),"",F537*G537)</f>
        <v/>
      </c>
      <c r="J537" s="38">
        <f>IF(OR(F537="",G537=""),"",ROUND(G537*(1+F537/30),1))</f>
        <v/>
      </c>
      <c r="K537" s="26" t="n"/>
    </row>
    <row r="538" ht="18" customHeight="1">
      <c r="A538" s="35" t="n">
        <v>46317</v>
      </c>
      <c r="B538" s="16">
        <f>IF(A538="","",IFERROR(INT((A538-DATE(2026,4,27))/7)+1,""))</f>
        <v/>
      </c>
      <c r="C538" s="16" t="inlineStr">
        <is>
          <t>Gym Upper</t>
        </is>
      </c>
      <c r="D538" s="17" t="inlineStr">
        <is>
          <t>Hanging Knee Raise (BW)</t>
        </is>
      </c>
      <c r="E538" s="16" t="n">
        <v>3</v>
      </c>
      <c r="F538" s="16" t="n">
        <v>10</v>
      </c>
      <c r="G538" s="36" t="n"/>
      <c r="H538" s="16" t="n">
        <v>6</v>
      </c>
      <c r="I538" s="19">
        <f>IF(OR(F538="",G538=""),"",F538*G538)</f>
        <v/>
      </c>
      <c r="J538" s="36">
        <f>IF(OR(F538="",G538=""),"",ROUND(G538*(1+F538/30),1))</f>
        <v/>
      </c>
      <c r="K538" s="20" t="n"/>
    </row>
    <row r="539" ht="18" customHeight="1">
      <c r="A539" s="35" t="n">
        <v>46319</v>
      </c>
      <c r="B539" s="16">
        <f>IF(A539="","",IFERROR(INT((A539-DATE(2026,4,27))/7)+1,""))</f>
        <v/>
      </c>
      <c r="C539" s="16" t="inlineStr">
        <is>
          <t>Gym Upper</t>
        </is>
      </c>
      <c r="D539" s="17" t="inlineStr">
        <is>
          <t>Bench Press</t>
        </is>
      </c>
      <c r="E539" s="16" t="n">
        <v>1</v>
      </c>
      <c r="F539" s="16" t="n">
        <v>8</v>
      </c>
      <c r="G539" s="36" t="n">
        <v>27.5</v>
      </c>
      <c r="H539" s="16" t="n">
        <v>6</v>
      </c>
      <c r="I539" s="19">
        <f>IF(OR(F539="",G539=""),"",F539*G539)</f>
        <v/>
      </c>
      <c r="J539" s="36">
        <f>IF(OR(F539="",G539=""),"",ROUND(G539*(1+F539/30),1))</f>
        <v/>
      </c>
      <c r="K539" s="20" t="inlineStr">
        <is>
          <t>Gym #4 upper. S4 RPE 8 -&gt; HOLD 27.5 4x8.</t>
        </is>
      </c>
    </row>
    <row r="540" ht="18" customHeight="1">
      <c r="A540" s="35" t="n">
        <v>46319</v>
      </c>
      <c r="B540" s="16">
        <f>IF(A540="","",IFERROR(INT((A540-DATE(2026,4,27))/7)+1,""))</f>
        <v/>
      </c>
      <c r="C540" s="16" t="inlineStr">
        <is>
          <t>Gym Upper</t>
        </is>
      </c>
      <c r="D540" s="17" t="inlineStr">
        <is>
          <t>Bench Press</t>
        </is>
      </c>
      <c r="E540" s="16" t="n">
        <v>2</v>
      </c>
      <c r="F540" s="16" t="n">
        <v>8</v>
      </c>
      <c r="G540" s="36" t="n">
        <v>27.5</v>
      </c>
      <c r="H540" s="16" t="n">
        <v>6</v>
      </c>
      <c r="I540" s="19">
        <f>IF(OR(F540="",G540=""),"",F540*G540)</f>
        <v/>
      </c>
      <c r="J540" s="36">
        <f>IF(OR(F540="",G540=""),"",ROUND(G540*(1+F540/30),1))</f>
        <v/>
      </c>
      <c r="K540" s="20" t="n"/>
    </row>
    <row r="541" ht="18" customHeight="1">
      <c r="A541" s="35" t="n">
        <v>46319</v>
      </c>
      <c r="B541" s="16">
        <f>IF(A541="","",IFERROR(INT((A541-DATE(2026,4,27))/7)+1,""))</f>
        <v/>
      </c>
      <c r="C541" s="16" t="inlineStr">
        <is>
          <t>Gym Upper</t>
        </is>
      </c>
      <c r="D541" s="17" t="inlineStr">
        <is>
          <t>Bench Press</t>
        </is>
      </c>
      <c r="E541" s="16" t="n">
        <v>3</v>
      </c>
      <c r="F541" s="16" t="n">
        <v>8</v>
      </c>
      <c r="G541" s="36" t="n">
        <v>27.5</v>
      </c>
      <c r="H541" s="16" t="n">
        <v>7</v>
      </c>
      <c r="I541" s="19">
        <f>IF(OR(F541="",G541=""),"",F541*G541)</f>
        <v/>
      </c>
      <c r="J541" s="36">
        <f>IF(OR(F541="",G541=""),"",ROUND(G541*(1+F541/30),1))</f>
        <v/>
      </c>
      <c r="K541" s="20" t="n"/>
    </row>
    <row r="542" ht="18" customHeight="1">
      <c r="A542" s="35" t="n">
        <v>46319</v>
      </c>
      <c r="B542" s="16">
        <f>IF(A542="","",IFERROR(INT((A542-DATE(2026,4,27))/7)+1,""))</f>
        <v/>
      </c>
      <c r="C542" s="16" t="inlineStr">
        <is>
          <t>Gym Upper</t>
        </is>
      </c>
      <c r="D542" s="17" t="inlineStr">
        <is>
          <t>Bench Press</t>
        </is>
      </c>
      <c r="E542" s="16" t="n">
        <v>4</v>
      </c>
      <c r="F542" s="16" t="n">
        <v>8</v>
      </c>
      <c r="G542" s="36" t="n">
        <v>27.5</v>
      </c>
      <c r="H542" s="16" t="n">
        <v>8</v>
      </c>
      <c r="I542" s="19">
        <f>IF(OR(F542="",G542=""),"",F542*G542)</f>
        <v/>
      </c>
      <c r="J542" s="36">
        <f>IF(OR(F542="",G542=""),"",ROUND(G542*(1+F542/30),1))</f>
        <v/>
      </c>
      <c r="K542" s="20" t="n"/>
    </row>
    <row r="543" ht="18" customHeight="1">
      <c r="A543" s="35" t="n">
        <v>46319</v>
      </c>
      <c r="B543" s="16">
        <f>IF(A543="","",IFERROR(INT((A543-DATE(2026,4,27))/7)+1,""))</f>
        <v/>
      </c>
      <c r="C543" s="16" t="inlineStr">
        <is>
          <t>Gym Upper</t>
        </is>
      </c>
      <c r="D543" s="17" t="inlineStr">
        <is>
          <t>Lat Pulldown</t>
        </is>
      </c>
      <c r="E543" s="16" t="n">
        <v>1</v>
      </c>
      <c r="F543" s="16" t="n">
        <v>10</v>
      </c>
      <c r="G543" s="36" t="n">
        <v>30</v>
      </c>
      <c r="H543" s="16" t="n">
        <v>6</v>
      </c>
      <c r="I543" s="19">
        <f>IF(OR(F543="",G543=""),"",F543*G543)</f>
        <v/>
      </c>
      <c r="J543" s="36">
        <f>IF(OR(F543="",G543=""),"",ROUND(G543*(1+F543/30),1))</f>
        <v/>
      </c>
      <c r="K543" s="20" t="inlineStr">
        <is>
          <t>Ran 30 (staged 27.5). Gate met -&gt; 32.5 4x10.</t>
        </is>
      </c>
    </row>
    <row r="544" ht="18" customHeight="1">
      <c r="A544" s="35" t="n">
        <v>46319</v>
      </c>
      <c r="B544" s="16">
        <f>IF(A544="","",IFERROR(INT((A544-DATE(2026,4,27))/7)+1,""))</f>
        <v/>
      </c>
      <c r="C544" s="16" t="inlineStr">
        <is>
          <t>Gym Upper</t>
        </is>
      </c>
      <c r="D544" s="17" t="inlineStr">
        <is>
          <t>Lat Pulldown</t>
        </is>
      </c>
      <c r="E544" s="16" t="n">
        <v>2</v>
      </c>
      <c r="F544" s="16" t="n">
        <v>10</v>
      </c>
      <c r="G544" s="36" t="n">
        <v>30</v>
      </c>
      <c r="H544" s="16" t="n">
        <v>6</v>
      </c>
      <c r="I544" s="19">
        <f>IF(OR(F544="",G544=""),"",F544*G544)</f>
        <v/>
      </c>
      <c r="J544" s="36">
        <f>IF(OR(F544="",G544=""),"",ROUND(G544*(1+F544/30),1))</f>
        <v/>
      </c>
      <c r="K544" s="20" t="n"/>
    </row>
    <row r="545" ht="18" customHeight="1">
      <c r="A545" s="35" t="n">
        <v>46319</v>
      </c>
      <c r="B545" s="16">
        <f>IF(A545="","",IFERROR(INT((A545-DATE(2026,4,27))/7)+1,""))</f>
        <v/>
      </c>
      <c r="C545" s="16" t="inlineStr">
        <is>
          <t>Gym Upper</t>
        </is>
      </c>
      <c r="D545" s="17" t="inlineStr">
        <is>
          <t>Lat Pulldown</t>
        </is>
      </c>
      <c r="E545" s="16" t="n">
        <v>3</v>
      </c>
      <c r="F545" s="16" t="n">
        <v>10</v>
      </c>
      <c r="G545" s="36" t="n">
        <v>30</v>
      </c>
      <c r="H545" s="16" t="n">
        <v>7</v>
      </c>
      <c r="I545" s="19">
        <f>IF(OR(F545="",G545=""),"",F545*G545)</f>
        <v/>
      </c>
      <c r="J545" s="36">
        <f>IF(OR(F545="",G545=""),"",ROUND(G545*(1+F545/30),1))</f>
        <v/>
      </c>
      <c r="K545" s="20" t="n"/>
    </row>
    <row r="546" ht="18" customHeight="1">
      <c r="A546" s="35" t="n">
        <v>46319</v>
      </c>
      <c r="B546" s="16">
        <f>IF(A546="","",IFERROR(INT((A546-DATE(2026,4,27))/7)+1,""))</f>
        <v/>
      </c>
      <c r="C546" s="16" t="inlineStr">
        <is>
          <t>Gym Upper</t>
        </is>
      </c>
      <c r="D546" s="17" t="inlineStr">
        <is>
          <t>Lat Pulldown</t>
        </is>
      </c>
      <c r="E546" s="16" t="n">
        <v>4</v>
      </c>
      <c r="F546" s="16" t="n">
        <v>10</v>
      </c>
      <c r="G546" s="36" t="n">
        <v>30</v>
      </c>
      <c r="H546" s="16" t="n">
        <v>7</v>
      </c>
      <c r="I546" s="19">
        <f>IF(OR(F546="",G546=""),"",F546*G546)</f>
        <v/>
      </c>
      <c r="J546" s="36">
        <f>IF(OR(F546="",G546=""),"",ROUND(G546*(1+F546/30),1))</f>
        <v/>
      </c>
      <c r="K546" s="20" t="n"/>
    </row>
    <row r="547" ht="18" customHeight="1">
      <c r="A547" s="35" t="n">
        <v>46319</v>
      </c>
      <c r="B547" s="16">
        <f>IF(A547="","",IFERROR(INT((A547-DATE(2026,4,27))/7)+1,""))</f>
        <v/>
      </c>
      <c r="C547" s="16" t="inlineStr">
        <is>
          <t>Gym Upper</t>
        </is>
      </c>
      <c r="D547" s="17" t="inlineStr">
        <is>
          <t>Incline DB Press</t>
        </is>
      </c>
      <c r="E547" s="16" t="n">
        <v>1</v>
      </c>
      <c r="F547" s="16" t="n">
        <v>10</v>
      </c>
      <c r="G547" s="36" t="n">
        <v>6</v>
      </c>
      <c r="H547" s="16" t="n">
        <v>6</v>
      </c>
      <c r="I547" s="19">
        <f>IF(OR(F547="",G547=""),"",F547*G547)</f>
        <v/>
      </c>
      <c r="J547" s="36">
        <f>IF(OR(F547="",G547=""),"",ROUND(G547*(1+F547/30),1))</f>
        <v/>
      </c>
      <c r="K547" s="20" t="inlineStr">
        <is>
          <t>6/DB (staged 7). Gate met -&gt; 7/DB 3x10.</t>
        </is>
      </c>
    </row>
    <row r="548" ht="18" customHeight="1">
      <c r="A548" s="35" t="n">
        <v>46319</v>
      </c>
      <c r="B548" s="16">
        <f>IF(A548="","",IFERROR(INT((A548-DATE(2026,4,27))/7)+1,""))</f>
        <v/>
      </c>
      <c r="C548" s="16" t="inlineStr">
        <is>
          <t>Gym Upper</t>
        </is>
      </c>
      <c r="D548" s="17" t="inlineStr">
        <is>
          <t>Incline DB Press</t>
        </is>
      </c>
      <c r="E548" s="16" t="n">
        <v>2</v>
      </c>
      <c r="F548" s="16" t="n">
        <v>10</v>
      </c>
      <c r="G548" s="36" t="n">
        <v>6</v>
      </c>
      <c r="H548" s="16" t="n">
        <v>6</v>
      </c>
      <c r="I548" s="19">
        <f>IF(OR(F548="",G548=""),"",F548*G548)</f>
        <v/>
      </c>
      <c r="J548" s="36">
        <f>IF(OR(F548="",G548=""),"",ROUND(G548*(1+F548/30),1))</f>
        <v/>
      </c>
      <c r="K548" s="20" t="n"/>
    </row>
    <row r="549" ht="18" customHeight="1">
      <c r="A549" s="35" t="n">
        <v>46319</v>
      </c>
      <c r="B549" s="16">
        <f>IF(A549="","",IFERROR(INT((A549-DATE(2026,4,27))/7)+1,""))</f>
        <v/>
      </c>
      <c r="C549" s="16" t="inlineStr">
        <is>
          <t>Gym Upper</t>
        </is>
      </c>
      <c r="D549" s="17" t="inlineStr">
        <is>
          <t>Incline DB Press</t>
        </is>
      </c>
      <c r="E549" s="16" t="n">
        <v>3</v>
      </c>
      <c r="F549" s="16" t="n">
        <v>10</v>
      </c>
      <c r="G549" s="36" t="n">
        <v>6</v>
      </c>
      <c r="H549" s="16" t="n">
        <v>5</v>
      </c>
      <c r="I549" s="19">
        <f>IF(OR(F549="",G549=""),"",F549*G549)</f>
        <v/>
      </c>
      <c r="J549" s="36">
        <f>IF(OR(F549="",G549=""),"",ROUND(G549*(1+F549/30),1))</f>
        <v/>
      </c>
      <c r="K549" s="20" t="n"/>
    </row>
    <row r="550" ht="18" customHeight="1">
      <c r="A550" s="35" t="n">
        <v>46319</v>
      </c>
      <c r="B550" s="16">
        <f>IF(A550="","",IFERROR(INT((A550-DATE(2026,4,27))/7)+1,""))</f>
        <v/>
      </c>
      <c r="C550" s="16" t="inlineStr">
        <is>
          <t>Gym Upper</t>
        </is>
      </c>
      <c r="D550" s="17" t="inlineStr">
        <is>
          <t>Barbell Row</t>
        </is>
      </c>
      <c r="E550" s="16" t="n">
        <v>1</v>
      </c>
      <c r="F550" s="16" t="n">
        <v>12</v>
      </c>
      <c r="G550" s="36" t="n">
        <v>22.5</v>
      </c>
      <c r="H550" s="16" t="n">
        <v>7</v>
      </c>
      <c r="I550" s="19">
        <f>IF(OR(F550="",G550=""),"",F550*G550)</f>
        <v/>
      </c>
      <c r="J550" s="36">
        <f>IF(OR(F550="",G550=""),"",ROUND(G550*(1+F550/30),1))</f>
        <v/>
      </c>
      <c r="K550" s="20" t="inlineStr">
        <is>
          <t>Gate met -&gt; 25 3x12.</t>
        </is>
      </c>
    </row>
    <row r="551" ht="18" customHeight="1">
      <c r="A551" s="35" t="n">
        <v>46319</v>
      </c>
      <c r="B551" s="16">
        <f>IF(A551="","",IFERROR(INT((A551-DATE(2026,4,27))/7)+1,""))</f>
        <v/>
      </c>
      <c r="C551" s="16" t="inlineStr">
        <is>
          <t>Gym Upper</t>
        </is>
      </c>
      <c r="D551" s="17" t="inlineStr">
        <is>
          <t>Barbell Row</t>
        </is>
      </c>
      <c r="E551" s="16" t="n">
        <v>2</v>
      </c>
      <c r="F551" s="16" t="n">
        <v>12</v>
      </c>
      <c r="G551" s="36" t="n">
        <v>22.5</v>
      </c>
      <c r="H551" s="16" t="n">
        <v>7</v>
      </c>
      <c r="I551" s="19">
        <f>IF(OR(F551="",G551=""),"",F551*G551)</f>
        <v/>
      </c>
      <c r="J551" s="36">
        <f>IF(OR(F551="",G551=""),"",ROUND(G551*(1+F551/30),1))</f>
        <v/>
      </c>
      <c r="K551" s="20" t="n"/>
    </row>
    <row r="552" ht="18" customHeight="1">
      <c r="A552" s="35" t="n">
        <v>46319</v>
      </c>
      <c r="B552" s="16">
        <f>IF(A552="","",IFERROR(INT((A552-DATE(2026,4,27))/7)+1,""))</f>
        <v/>
      </c>
      <c r="C552" s="16" t="inlineStr">
        <is>
          <t>Gym Upper</t>
        </is>
      </c>
      <c r="D552" s="17" t="inlineStr">
        <is>
          <t>Barbell Row</t>
        </is>
      </c>
      <c r="E552" s="16" t="n">
        <v>3</v>
      </c>
      <c r="F552" s="16" t="n">
        <v>12</v>
      </c>
      <c r="G552" s="36" t="n">
        <v>22.5</v>
      </c>
      <c r="H552" s="16" t="n">
        <v>7</v>
      </c>
      <c r="I552" s="19">
        <f>IF(OR(F552="",G552=""),"",F552*G552)</f>
        <v/>
      </c>
      <c r="J552" s="36">
        <f>IF(OR(F552="",G552=""),"",ROUND(G552*(1+F552/30),1))</f>
        <v/>
      </c>
      <c r="K552" s="20" t="n"/>
    </row>
    <row r="553" ht="18" customHeight="1">
      <c r="A553" s="35" t="n">
        <v>46319</v>
      </c>
      <c r="B553" s="16">
        <f>IF(A553="","",IFERROR(INT((A553-DATE(2026,4,27))/7)+1,""))</f>
        <v/>
      </c>
      <c r="C553" s="16" t="inlineStr">
        <is>
          <t>Gym Upper</t>
        </is>
      </c>
      <c r="D553" s="17" t="inlineStr">
        <is>
          <t>Tibialis Raise</t>
        </is>
      </c>
      <c r="E553" s="16" t="n">
        <v>1</v>
      </c>
      <c r="F553" s="16" t="n">
        <v>15</v>
      </c>
      <c r="G553" s="36" t="n">
        <v>6.8</v>
      </c>
      <c r="H553" s="16" t="n">
        <v>7</v>
      </c>
      <c r="I553" s="19">
        <f>IF(OR(F553="",G553=""),"",F553*G553)</f>
        <v/>
      </c>
      <c r="J553" s="36">
        <f>IF(OR(F553="",G553=""),"",ROUND(G553*(1+F553/30),1))</f>
        <v/>
      </c>
      <c r="K553" s="20" t="inlineStr">
        <is>
          <t>Held 3x15 (race wk, calf 3 AM). Post-race -&gt; 6.8 3x20.</t>
        </is>
      </c>
    </row>
    <row r="554" ht="18" customHeight="1">
      <c r="A554" s="35" t="n">
        <v>46319</v>
      </c>
      <c r="B554" s="16">
        <f>IF(A554="","",IFERROR(INT((A554-DATE(2026,4,27))/7)+1,""))</f>
        <v/>
      </c>
      <c r="C554" s="16" t="inlineStr">
        <is>
          <t>Gym Upper</t>
        </is>
      </c>
      <c r="D554" s="17" t="inlineStr">
        <is>
          <t>Tibialis Raise</t>
        </is>
      </c>
      <c r="E554" s="16" t="n">
        <v>2</v>
      </c>
      <c r="F554" s="16" t="n">
        <v>15</v>
      </c>
      <c r="G554" s="36" t="n">
        <v>6.8</v>
      </c>
      <c r="H554" s="16" t="n">
        <v>7</v>
      </c>
      <c r="I554" s="19">
        <f>IF(OR(F554="",G554=""),"",F554*G554)</f>
        <v/>
      </c>
      <c r="J554" s="36">
        <f>IF(OR(F554="",G554=""),"",ROUND(G554*(1+F554/30),1))</f>
        <v/>
      </c>
      <c r="K554" s="20" t="n"/>
    </row>
    <row r="555" ht="18" customHeight="1">
      <c r="A555" s="35" t="n">
        <v>46319</v>
      </c>
      <c r="B555" s="16">
        <f>IF(A555="","",IFERROR(INT((A555-DATE(2026,4,27))/7)+1,""))</f>
        <v/>
      </c>
      <c r="C555" s="16" t="inlineStr">
        <is>
          <t>Gym Upper</t>
        </is>
      </c>
      <c r="D555" s="17" t="inlineStr">
        <is>
          <t>Tibialis Raise</t>
        </is>
      </c>
      <c r="E555" s="16" t="n">
        <v>3</v>
      </c>
      <c r="F555" s="16" t="n">
        <v>15</v>
      </c>
      <c r="G555" s="36" t="n">
        <v>6.8</v>
      </c>
      <c r="H555" s="16" t="n">
        <v>7</v>
      </c>
      <c r="I555" s="19">
        <f>IF(OR(F555="",G555=""),"",F555*G555)</f>
        <v/>
      </c>
      <c r="J555" s="36">
        <f>IF(OR(F555="",G555=""),"",ROUND(G555*(1+F555/30),1))</f>
        <v/>
      </c>
      <c r="K555" s="20" t="n"/>
    </row>
    <row r="556" ht="18" customHeight="1">
      <c r="A556" s="35" t="n">
        <v>46319</v>
      </c>
      <c r="B556" s="16">
        <f>IF(A556="","",IFERROR(INT((A556-DATE(2026,4,27))/7)+1,""))</f>
        <v/>
      </c>
      <c r="C556" s="16" t="inlineStr">
        <is>
          <t>Gym Upper</t>
        </is>
      </c>
      <c r="D556" s="17" t="inlineStr">
        <is>
          <t>Hanging Knee Raise (BW)</t>
        </is>
      </c>
      <c r="E556" s="16" t="n">
        <v>1</v>
      </c>
      <c r="F556" s="16" t="n">
        <v>12</v>
      </c>
      <c r="G556" s="36" t="n"/>
      <c r="H556" s="16" t="n">
        <v>8</v>
      </c>
      <c r="I556" s="19">
        <f>IF(OR(F556="",G556=""),"",F556*G556)</f>
        <v/>
      </c>
      <c r="J556" s="36">
        <f>IF(OR(F556="",G556=""),"",ROUND(G556*(1+F556/30),1))</f>
        <v/>
      </c>
      <c r="K556" s="20" t="inlineStr">
        <is>
          <t>RPE 8/9/8 -&gt; HOLD 3x12.</t>
        </is>
      </c>
    </row>
    <row r="557" ht="18" customHeight="1">
      <c r="A557" s="35" t="n">
        <v>46319</v>
      </c>
      <c r="B557" s="16">
        <f>IF(A557="","",IFERROR(INT((A557-DATE(2026,4,27))/7)+1,""))</f>
        <v/>
      </c>
      <c r="C557" s="16" t="inlineStr">
        <is>
          <t>Gym Upper</t>
        </is>
      </c>
      <c r="D557" s="17" t="inlineStr">
        <is>
          <t>Hanging Knee Raise (BW)</t>
        </is>
      </c>
      <c r="E557" s="16" t="n">
        <v>2</v>
      </c>
      <c r="F557" s="16" t="n">
        <v>12</v>
      </c>
      <c r="G557" s="36" t="n"/>
      <c r="H557" s="16" t="n">
        <v>9</v>
      </c>
      <c r="I557" s="19">
        <f>IF(OR(F557="",G557=""),"",F557*G557)</f>
        <v/>
      </c>
      <c r="J557" s="36">
        <f>IF(OR(F557="",G557=""),"",ROUND(G557*(1+F557/30),1))</f>
        <v/>
      </c>
      <c r="K557" s="20" t="n"/>
    </row>
    <row r="558" ht="18" customHeight="1">
      <c r="A558" s="35" t="n">
        <v>46319</v>
      </c>
      <c r="B558" s="16">
        <f>IF(A558="","",IFERROR(INT((A558-DATE(2026,4,27))/7)+1,""))</f>
        <v/>
      </c>
      <c r="C558" s="16" t="inlineStr">
        <is>
          <t>Gym Upper</t>
        </is>
      </c>
      <c r="D558" s="17" t="inlineStr">
        <is>
          <t>Hanging Knee Raise (BW)</t>
        </is>
      </c>
      <c r="E558" s="16" t="n">
        <v>3</v>
      </c>
      <c r="F558" s="16" t="n">
        <v>12</v>
      </c>
      <c r="G558" s="36" t="n"/>
      <c r="H558" s="16" t="n">
        <v>8</v>
      </c>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5" t="n">
        <v>46310</v>
      </c>
      <c r="B31" s="16">
        <f>IF(A31="","",IFERROR(INT((A31-DATE(2026,4,27))/7)+1,""))</f>
        <v/>
      </c>
      <c r="C31" s="27" t="n">
        <v>4.02</v>
      </c>
      <c r="D31" s="36" t="n">
        <v>28.85</v>
      </c>
      <c r="E31" s="16">
        <f>IF(OR(C31="",D31=""),"",TEXT(D31/C31/1440,"m:ss"))</f>
        <v/>
      </c>
      <c r="F31" s="16" t="n">
        <v>142</v>
      </c>
      <c r="G31" s="16" t="n">
        <v>157</v>
      </c>
      <c r="H31" s="16" t="n"/>
      <c r="I31" s="16" t="inlineStr">
        <is>
          <t>Easy</t>
        </is>
      </c>
      <c r="J31" s="20" t="inlineStr">
        <is>
          <t>5K Wk 2 Thu - EASY 4 k, AM 07:49 (gym 19:45). Moving 28:51 (7:11), elapsed 29:36. Laps 7:05@124 / 7:00@147 / 7:34@146 / 7:05@151. Cadence ~160-163 (under floor). No pain - SHIN CLEAN #47.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v>6</v>
      </c>
      <c r="I32" s="16" t="inlineStr">
        <is>
          <t>Threshold</t>
        </is>
      </c>
      <c r="J32" s="20" t="inlineStr">
        <is>
          <t>5K Wk 2 Sat - THRESHOLD 2x2 k, 13:51 Sonderborg flat road. Moving 42:30, elapsed 45:23. WU ~2.4 k + 3 strides. Rep 1 ~5:27, rep 2 ~5:29 (stream est., moving; ~35 s pause in each) vs 5:35-5:40 = RAN HOT. HR 177-184 vs cap 175 (~10 bpm over 10/6 at similar pace). CD skipped. Cadence reps 164-168. RPE 6, felt good. SHIN CLEAN #49. Strava 20620965276. | 10/21 stream re-read: rep 1 ~5:26-5:31, rep 2 ~5:33 avg, faded last ~750 m; +10 bpm vs 10/6 closed by 10/21 TT.</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7" t="n">
        <v>46318</v>
      </c>
      <c r="B34" s="16">
        <f>IF(A34="","",IFERROR(INT((A34-DATE(2026,4,27))/7)+1,""))</f>
        <v/>
      </c>
      <c r="C34" s="28" t="n">
        <v>7.01</v>
      </c>
      <c r="D34" s="38" t="n">
        <v>48.85</v>
      </c>
      <c r="E34" s="22">
        <f>IF(OR(C34="",D34=""),"",TEXT(D34/C34/1440,"m:ss"))</f>
        <v/>
      </c>
      <c r="F34" s="22" t="n">
        <v>155</v>
      </c>
      <c r="G34" s="22" t="n">
        <v>191</v>
      </c>
      <c r="H34" s="22" t="n">
        <v>10</v>
      </c>
      <c r="I34" s="22" t="inlineStr">
        <is>
          <t>4x1 k PR decider</t>
        </is>
      </c>
      <c r="J34" s="26" t="inlineStr">
        <is>
          <t>5K Wk 3 Fri - 4x1 k PR DECIDER, PARTIAL (3 of 4). Road, Ballerup, AM 08:18 (plan was PM; ~40 h post-TT). Moving 48:51 / elapsed 49:23. WU ~2.1 k 7:41@139 (cad 159-160), 3 strides ~5:10-5:50. Rep 1 5:21 (HR 171/184) · Rep 2 5:00 (HR 184/191, 8 s/km under the 5:08 ceiling) · Rep 3 ~980 m 5:35 (680 m @ 5:24 then 6:02 fade), stopped · Rep 4 not run. Jogs 2:54/2:59, HR ~170. CD walked. RPE 10, no pain. VERDICT: PR CLOSED -&gt; race sub-26:40 (laps 2:08). SHIN CLEAN #54. Strava 20697205297.</t>
        </is>
      </c>
      <c r="K34" t="n">
        <v>0</v>
      </c>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#50. BW 77.35 (+0.75 vs 10/15) single point after 6-day hole + travel weekend, no kcal change. 10/16-10/20: only Sat 10/17 run logged; Sun long, Mon gym, Tue 3 K TT not on Strava. Gates green -&gt; 3 K TT today PM or Thu. PM: 3 K TT 15:00 moving / 15:42 elapsed (5:00/5:00/5:01), RPE 8, max HR 198, shin clean #51; bike 0, kcal 2272, protein 150, creatine Y, alcohol 0.</t>
        </is>
      </c>
    </row>
    <row r="63" ht="18" customHeight="1">
      <c r="A63" s="37" t="n">
        <v>46317</v>
      </c>
      <c r="B63" s="22">
        <f>IF(A63="","",IFERROR(INT((A63-DATE(2026,4,27))/7)+1,""))</f>
        <v/>
      </c>
      <c r="C63" s="38" t="n">
        <v>77.34999999999999</v>
      </c>
      <c r="D63" s="38" t="n">
        <v>7.58</v>
      </c>
      <c r="E63" s="38" t="n"/>
      <c r="F63" s="38" t="n"/>
      <c r="G63" s="38" t="n"/>
      <c r="H63" s="38" t="n"/>
      <c r="I63" s="26" t="inlineStr">
        <is>
          <t>5K Wk 3 Thu (TT +1) - AM: sleep 7:35 (00:05-07:40) q9, RHR 44 (-2 vs 7d), mot 10/energy 10/stress 2, DOMS upper 0, quad 2/ham 2/glute 1/calf 3, joints clean, shin not reported (asked). BW 77.35 = 10/21, flat 2nd post-travel reading, no kcal change. Calf 3 = TT cost -&gt; 4x1 k leans Sat 10/24 (Fri AM gate rules). Gym #3 upper moved Fri -&gt; today. PM: Gym #3 upper DONE 20 sets / 3006 kg / avg RPE 5.8, all gates met; shin clean #52; bike 0, kcal 2344, protein 176, creatine Y.</t>
        </is>
      </c>
    </row>
    <row r="64" ht="18" customHeight="1">
      <c r="A64" s="37" t="n">
        <v>46318</v>
      </c>
      <c r="B64" s="16">
        <f>IF(A64="","",IFERROR(INT((A64-DATE(2026,4,27))/7)+1,""))</f>
        <v/>
      </c>
      <c r="C64" s="38" t="n">
        <v>76.90000000000001</v>
      </c>
      <c r="D64" s="38" t="n">
        <v>8.130000000000001</v>
      </c>
      <c r="E64" s="36" t="n"/>
      <c r="F64" s="36" t="n"/>
      <c r="G64" s="36" t="n"/>
      <c r="H64" s="36" t="n"/>
      <c r="I64" s="26" t="inlineStr">
        <is>
          <t>5K Wk 3 Fri (TT +2) - AM: sleep 8:08 (23:35-07:43) q8, RHR 44 (-1 vs 7d), mot 10/energy 10/stress 3, DOMS chest 3/shldr 3/back 2/arm 0 (Gym #3), quad 1/ham 1/glute 1/calf 1, tendons clean, SHIN CLEAN #53. BW 76.90 (-0.45 vs 77.35x2) water, no kcal change. Gate green -&gt; 4x1 k PR decider Fri PM, Sat fallback. PM: 4x1 k PR decider ran 08:18 road - 5:21/5:00/5:35 fade/DNF, RPE 10, shin clean #54 -&gt; PR CLOSED, race sub-26:40; bike 0, kcal 2567, protein 175, creatine Y, alcohol 0.</t>
        </is>
      </c>
    </row>
    <row r="65" ht="18" customHeight="1">
      <c r="A65" s="37" t="n">
        <v>46319</v>
      </c>
      <c r="B65" s="22">
        <f>IF(A65="","",IFERROR(INT((A65-DATE(2026,4,27))/7)+1,""))</f>
        <v/>
      </c>
      <c r="C65" s="38" t="n">
        <v>76.09999999999999</v>
      </c>
      <c r="D65" s="38" t="n">
        <v>8.050000000000001</v>
      </c>
      <c r="E65" s="38" t="n"/>
      <c r="F65" s="38" t="n"/>
      <c r="G65" s="38" t="n"/>
      <c r="H65" s="38" t="n"/>
      <c r="I65" s="26" t="inlineStr">
        <is>
          <t>5K Wk 3 Sat (4x1 k +1) - AM: sleep 8:03 (23:45-07:50) q10, RHR 44 (-1 vs 7d), mot 10/energy 10/stress 2, DOMS chest 1/back 0/shldr 1/arm 0, quad 1/ham 2/glute 1/calf 3 (4x1 k cost, same as post-TT), joints clean, SHIN CLEAN #55. BW 76.10 (-0.80) travel water gone, 7-reading avg 76.70 flat, no kcal change. Rest MOVED -&gt; Gym #4 upper. PM: Gym #4 upper DONE 20 sets / 3376 kg / avg RPE 6.85 (LPD ran 30, incline 6/DB); shin clean #56; bike 0, kcal/protein/creatine not tracked.</t>
        </is>
      </c>
    </row>
    <row r="66" ht="18" customHeight="1">
      <c r="A66" s="37" t="n">
        <v>46320</v>
      </c>
      <c r="B66" s="22">
        <f>IF(A66="","",IFERROR(INT((A66-DATE(2026,4,27))/7)+1,""))</f>
        <v/>
      </c>
      <c r="C66" s="38" t="n"/>
      <c r="D66" s="38" t="n"/>
      <c r="E66" s="38" t="n"/>
      <c r="F66" s="38" t="n"/>
      <c r="G66" s="38" t="n"/>
      <c r="H66" s="38" t="n"/>
      <c r="I66" s="26" t="inlineStr">
        <is>
          <t>5K Wk 3 Sun - easy 8 k MOVED -&gt; REST (user's call), no make-up. No AM check reported. Wk 3 = 2 runs / 13.18 km + Gym #3 + Gym #4. Mon 10/26 easy 5 k AM added (Tue reps off a 4-day gap otherwise; calf &gt;=2 -&gt; rest).</t>
        </is>
      </c>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2026-10-25T19:09:19Z</dcterms:modified>
</cp:coreProperties>
</file>