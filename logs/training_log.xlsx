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/>
      <c r="B178" s="16">
        <f>IF(A178="","",IFERROR(INT((A178-DATE(2026,4,27))/7)+1,""))</f>
        <v/>
      </c>
      <c r="C178" s="16" t="n"/>
      <c r="D178" s="17" t="n"/>
      <c r="E178" s="16" t="n"/>
      <c r="F178" s="16" t="n"/>
      <c r="G178" s="18" t="n"/>
      <c r="H178" s="16" t="n"/>
      <c r="I178" s="19">
        <f>IF(OR(F178="",G178=""),"",F178*G178)</f>
        <v/>
      </c>
      <c r="J178" s="18">
        <f>IF(OR(F178="",G178=""),"",ROUND(G178*(1+F178/30),1))</f>
        <v/>
      </c>
      <c r="K178" s="20" t="n"/>
    </row>
    <row r="179" ht="18" customHeight="1">
      <c r="A179" s="21" t="n"/>
      <c r="B179" s="22">
        <f>IF(A179="","",IFERROR(INT((A179-DATE(2026,4,27))/7)+1,""))</f>
        <v/>
      </c>
      <c r="C179" s="22" t="n"/>
      <c r="D179" s="23" t="n"/>
      <c r="E179" s="22" t="n"/>
      <c r="F179" s="22" t="n"/>
      <c r="G179" s="24" t="n"/>
      <c r="H179" s="22" t="n"/>
      <c r="I179" s="25">
        <f>IF(OR(F179="",G179=""),"",F179*G179)</f>
        <v/>
      </c>
      <c r="J179" s="24">
        <f>IF(OR(F179="",G179=""),"",ROUND(G179*(1+F179/30),1))</f>
        <v/>
      </c>
      <c r="K179" s="26" t="n"/>
    </row>
    <row r="180" ht="18" customHeight="1">
      <c r="A180" s="15" t="n"/>
      <c r="B180" s="16">
        <f>IF(A180="","",IFERROR(INT((A180-DATE(2026,4,27))/7)+1,""))</f>
        <v/>
      </c>
      <c r="C180" s="16" t="n"/>
      <c r="D180" s="17" t="n"/>
      <c r="E180" s="16" t="n"/>
      <c r="F180" s="16" t="n"/>
      <c r="G180" s="18" t="n"/>
      <c r="H180" s="16" t="n"/>
      <c r="I180" s="19">
        <f>IF(OR(F180="",G180=""),"",F180*G180)</f>
        <v/>
      </c>
      <c r="J180" s="18">
        <f>IF(OR(F180="",G180=""),"",ROUND(G180*(1+F180/30),1))</f>
        <v/>
      </c>
      <c r="K180" s="20" t="n"/>
    </row>
    <row r="181" ht="18" customHeight="1">
      <c r="A181" s="21" t="n"/>
      <c r="B181" s="22">
        <f>IF(A181="","",IFERROR(INT((A181-DATE(2026,4,27))/7)+1,""))</f>
        <v/>
      </c>
      <c r="C181" s="22" t="n"/>
      <c r="D181" s="23" t="n"/>
      <c r="E181" s="22" t="n"/>
      <c r="F181" s="22" t="n"/>
      <c r="G181" s="24" t="n"/>
      <c r="H181" s="22" t="n"/>
      <c r="I181" s="25">
        <f>IF(OR(F181="",G181=""),"",F181*G181)</f>
        <v/>
      </c>
      <c r="J181" s="24">
        <f>IF(OR(F181="",G181=""),"",ROUND(G181*(1+F181/30),1))</f>
        <v/>
      </c>
      <c r="K181" s="26" t="n"/>
    </row>
    <row r="182" ht="18" customHeight="1">
      <c r="A182" s="15" t="n"/>
      <c r="B182" s="16">
        <f>IF(A182="","",IFERROR(INT((A182-DATE(2026,4,27))/7)+1,""))</f>
        <v/>
      </c>
      <c r="C182" s="16" t="n"/>
      <c r="D182" s="17" t="n"/>
      <c r="E182" s="16" t="n"/>
      <c r="F182" s="16" t="n"/>
      <c r="G182" s="18" t="n"/>
      <c r="H182" s="16" t="n"/>
      <c r="I182" s="19">
        <f>IF(OR(F182="",G182=""),"",F182*G182)</f>
        <v/>
      </c>
      <c r="J182" s="18">
        <f>IF(OR(F182="",G182=""),"",ROUND(G182*(1+F182/30),1))</f>
        <v/>
      </c>
      <c r="K182" s="20" t="n"/>
    </row>
    <row r="183" ht="18" customHeight="1">
      <c r="A183" s="21" t="n"/>
      <c r="B183" s="22">
        <f>IF(A183="","",IFERROR(INT((A183-DATE(2026,4,27))/7)+1,""))</f>
        <v/>
      </c>
      <c r="C183" s="22" t="n"/>
      <c r="D183" s="23" t="n"/>
      <c r="E183" s="22" t="n"/>
      <c r="F183" s="22" t="n"/>
      <c r="G183" s="24" t="n"/>
      <c r="H183" s="22" t="n"/>
      <c r="I183" s="25">
        <f>IF(OR(F183="",G183=""),"",F183*G183)</f>
        <v/>
      </c>
      <c r="J183" s="24">
        <f>IF(OR(F183="",G183=""),"",ROUND(G183*(1+F183/30),1))</f>
        <v/>
      </c>
      <c r="K183" s="26" t="n"/>
    </row>
    <row r="184" ht="18" customHeight="1">
      <c r="A184" s="15" t="n"/>
      <c r="B184" s="16">
        <f>IF(A184="","",IFERROR(INT((A184-DATE(2026,4,27))/7)+1,""))</f>
        <v/>
      </c>
      <c r="C184" s="16" t="n"/>
      <c r="D184" s="17" t="n"/>
      <c r="E184" s="16" t="n"/>
      <c r="F184" s="16" t="n"/>
      <c r="G184" s="18" t="n"/>
      <c r="H184" s="16" t="n"/>
      <c r="I184" s="19">
        <f>IF(OR(F184="",G184=""),"",F184*G184)</f>
        <v/>
      </c>
      <c r="J184" s="18">
        <f>IF(OR(F184="",G184=""),"",ROUND(G184*(1+F184/30),1))</f>
        <v/>
      </c>
      <c r="K184" s="20" t="n"/>
    </row>
    <row r="185" ht="18" customHeight="1">
      <c r="A185" s="21" t="n"/>
      <c r="B185" s="22">
        <f>IF(A185="","",IFERROR(INT((A185-DATE(2026,4,27))/7)+1,""))</f>
        <v/>
      </c>
      <c r="C185" s="22" t="n"/>
      <c r="D185" s="23" t="n"/>
      <c r="E185" s="22" t="n"/>
      <c r="F185" s="22" t="n"/>
      <c r="G185" s="24" t="n"/>
      <c r="H185" s="22" t="n"/>
      <c r="I185" s="25">
        <f>IF(OR(F185="",G185=""),"",F185*G185)</f>
        <v/>
      </c>
      <c r="J185" s="24">
        <f>IF(OR(F185="",G185=""),"",ROUND(G185*(1+F185/30),1))</f>
        <v/>
      </c>
      <c r="K185" s="26" t="n"/>
    </row>
    <row r="186" ht="18" customHeight="1">
      <c r="A186" s="15" t="n"/>
      <c r="B186" s="16">
        <f>IF(A186="","",IFERROR(INT((A186-DATE(2026,4,27))/7)+1,""))</f>
        <v/>
      </c>
      <c r="C186" s="16" t="n"/>
      <c r="D186" s="17" t="n"/>
      <c r="E186" s="16" t="n"/>
      <c r="F186" s="16" t="n"/>
      <c r="G186" s="18" t="n"/>
      <c r="H186" s="16" t="n"/>
      <c r="I186" s="19">
        <f>IF(OR(F186="",G186=""),"",F186*G186)</f>
        <v/>
      </c>
      <c r="J186" s="18">
        <f>IF(OR(F186="",G186=""),"",ROUND(G186*(1+F186/30),1))</f>
        <v/>
      </c>
      <c r="K186" s="20" t="n"/>
    </row>
    <row r="187" ht="18" customHeight="1">
      <c r="A187" s="21" t="n"/>
      <c r="B187" s="22">
        <f>IF(A187="","",IFERROR(INT((A187-DATE(2026,4,27))/7)+1,""))</f>
        <v/>
      </c>
      <c r="C187" s="22" t="n"/>
      <c r="D187" s="23" t="n"/>
      <c r="E187" s="22" t="n"/>
      <c r="F187" s="22" t="n"/>
      <c r="G187" s="24" t="n"/>
      <c r="H187" s="22" t="n"/>
      <c r="I187" s="25">
        <f>IF(OR(F187="",G187=""),"",F187*G187)</f>
        <v/>
      </c>
      <c r="J187" s="24">
        <f>IF(OR(F187="",G187=""),"",ROUND(G187*(1+F187/30),1))</f>
        <v/>
      </c>
      <c r="K187" s="26" t="n"/>
    </row>
    <row r="188" ht="18" customHeight="1">
      <c r="A188" s="15" t="n"/>
      <c r="B188" s="16">
        <f>IF(A188="","",IFERROR(INT((A188-DATE(2026,4,27))/7)+1,""))</f>
        <v/>
      </c>
      <c r="C188" s="16" t="n"/>
      <c r="D188" s="17" t="n"/>
      <c r="E188" s="16" t="n"/>
      <c r="F188" s="16" t="n"/>
      <c r="G188" s="18" t="n"/>
      <c r="H188" s="16" t="n"/>
      <c r="I188" s="19">
        <f>IF(OR(F188="",G188=""),"",F188*G188)</f>
        <v/>
      </c>
      <c r="J188" s="18">
        <f>IF(OR(F188="",G188=""),"",ROUND(G188*(1+F188/30),1))</f>
        <v/>
      </c>
      <c r="K188" s="20" t="n"/>
    </row>
    <row r="189" ht="18" customHeight="1">
      <c r="A189" s="21" t="n"/>
      <c r="B189" s="22">
        <f>IF(A189="","",IFERROR(INT((A189-DATE(2026,4,27))/7)+1,""))</f>
        <v/>
      </c>
      <c r="C189" s="22" t="n"/>
      <c r="D189" s="23" t="n"/>
      <c r="E189" s="22" t="n"/>
      <c r="F189" s="22" t="n"/>
      <c r="G189" s="24" t="n"/>
      <c r="H189" s="22" t="n"/>
      <c r="I189" s="25">
        <f>IF(OR(F189="",G189=""),"",F189*G189)</f>
        <v/>
      </c>
      <c r="J189" s="24">
        <f>IF(OR(F189="",G189=""),"",ROUND(G189*(1+F189/30),1))</f>
        <v/>
      </c>
      <c r="K189" s="26" t="n"/>
    </row>
    <row r="190" ht="18" customHeight="1">
      <c r="A190" s="15" t="n"/>
      <c r="B190" s="16">
        <f>IF(A190="","",IFERROR(INT((A190-DATE(2026,4,27))/7)+1,""))</f>
        <v/>
      </c>
      <c r="C190" s="16" t="n"/>
      <c r="D190" s="17" t="n"/>
      <c r="E190" s="16" t="n"/>
      <c r="F190" s="16" t="n"/>
      <c r="G190" s="18" t="n"/>
      <c r="H190" s="16" t="n"/>
      <c r="I190" s="19">
        <f>IF(OR(F190="",G190=""),"",F190*G190)</f>
        <v/>
      </c>
      <c r="J190" s="18">
        <f>IF(OR(F190="",G190=""),"",ROUND(G190*(1+F190/30),1))</f>
        <v/>
      </c>
      <c r="K190" s="20" t="n"/>
    </row>
    <row r="191" ht="18" customHeight="1">
      <c r="A191" s="21" t="n"/>
      <c r="B191" s="22">
        <f>IF(A191="","",IFERROR(INT((A191-DATE(2026,4,27))/7)+1,""))</f>
        <v/>
      </c>
      <c r="C191" s="22" t="n"/>
      <c r="D191" s="23" t="n"/>
      <c r="E191" s="22" t="n"/>
      <c r="F191" s="22" t="n"/>
      <c r="G191" s="24" t="n"/>
      <c r="H191" s="22" t="n"/>
      <c r="I191" s="25">
        <f>IF(OR(F191="",G191=""),"",F191*G191)</f>
        <v/>
      </c>
      <c r="J191" s="24">
        <f>IF(OR(F191="",G191=""),"",ROUND(G191*(1+F191/30),1))</f>
        <v/>
      </c>
      <c r="K191" s="26" t="n"/>
    </row>
    <row r="192" ht="18" customHeight="1">
      <c r="A192" s="15" t="n"/>
      <c r="B192" s="16">
        <f>IF(A192="","",IFERROR(INT((A192-DATE(2026,4,27))/7)+1,""))</f>
        <v/>
      </c>
      <c r="C192" s="16" t="n"/>
      <c r="D192" s="17" t="n"/>
      <c r="E192" s="16" t="n"/>
      <c r="F192" s="16" t="n"/>
      <c r="G192" s="18" t="n"/>
      <c r="H192" s="16" t="n"/>
      <c r="I192" s="19">
        <f>IF(OR(F192="",G192=""),"",F192*G192)</f>
        <v/>
      </c>
      <c r="J192" s="18">
        <f>IF(OR(F192="",G192=""),"",ROUND(G192*(1+F192/30),1))</f>
        <v/>
      </c>
      <c r="K192" s="20" t="n"/>
    </row>
    <row r="193" ht="18" customHeight="1">
      <c r="A193" s="21" t="n"/>
      <c r="B193" s="22">
        <f>IF(A193="","",IFERROR(INT((A193-DATE(2026,4,27))/7)+1,""))</f>
        <v/>
      </c>
      <c r="C193" s="22" t="n"/>
      <c r="D193" s="23" t="n"/>
      <c r="E193" s="22" t="n"/>
      <c r="F193" s="22" t="n"/>
      <c r="G193" s="24" t="n"/>
      <c r="H193" s="22" t="n"/>
      <c r="I193" s="25">
        <f>IF(OR(F193="",G193=""),"",F193*G193)</f>
        <v/>
      </c>
      <c r="J193" s="24">
        <f>IF(OR(F193="",G193=""),"",ROUND(G193*(1+F193/30),1))</f>
        <v/>
      </c>
      <c r="K193" s="26" t="n"/>
    </row>
    <row r="194" ht="18" customHeight="1">
      <c r="A194" s="15" t="n"/>
      <c r="B194" s="16">
        <f>IF(A194="","",IFERROR(INT((A194-DATE(2026,4,27))/7)+1,""))</f>
        <v/>
      </c>
      <c r="C194" s="16" t="n"/>
      <c r="D194" s="17" t="n"/>
      <c r="E194" s="16" t="n"/>
      <c r="F194" s="16" t="n"/>
      <c r="G194" s="18" t="n"/>
      <c r="H194" s="16" t="n"/>
      <c r="I194" s="19">
        <f>IF(OR(F194="",G194=""),"",F194*G194)</f>
        <v/>
      </c>
      <c r="J194" s="18">
        <f>IF(OR(F194="",G194=""),"",ROUND(G194*(1+F194/30),1))</f>
        <v/>
      </c>
      <c r="K194" s="20" t="n"/>
    </row>
    <row r="195" ht="18" customHeight="1">
      <c r="A195" s="21" t="n"/>
      <c r="B195" s="22">
        <f>IF(A195="","",IFERROR(INT((A195-DATE(2026,4,27))/7)+1,""))</f>
        <v/>
      </c>
      <c r="C195" s="22" t="n"/>
      <c r="D195" s="23" t="n"/>
      <c r="E195" s="22" t="n"/>
      <c r="F195" s="22" t="n"/>
      <c r="G195" s="24" t="n"/>
      <c r="H195" s="22" t="n"/>
      <c r="I195" s="25">
        <f>IF(OR(F195="",G195=""),"",F195*G195)</f>
        <v/>
      </c>
      <c r="J195" s="24">
        <f>IF(OR(F195="",G195=""),"",ROUND(G195*(1+F195/30),1))</f>
        <v/>
      </c>
      <c r="K195" s="26" t="n"/>
    </row>
    <row r="196" ht="18" customHeight="1">
      <c r="A196" s="15" t="n"/>
      <c r="B196" s="16">
        <f>IF(A196="","",IFERROR(INT((A196-DATE(2026,4,27))/7)+1,""))</f>
        <v/>
      </c>
      <c r="C196" s="16" t="n"/>
      <c r="D196" s="17" t="n"/>
      <c r="E196" s="16" t="n"/>
      <c r="F196" s="16" t="n"/>
      <c r="G196" s="18" t="n"/>
      <c r="H196" s="16" t="n"/>
      <c r="I196" s="19">
        <f>IF(OR(F196="",G196=""),"",F196*G196)</f>
        <v/>
      </c>
      <c r="J196" s="18">
        <f>IF(OR(F196="",G196=""),"",ROUND(G196*(1+F196/30),1))</f>
        <v/>
      </c>
      <c r="K196" s="20" t="n"/>
    </row>
    <row r="197" ht="18" customHeight="1">
      <c r="A197" s="21" t="n"/>
      <c r="B197" s="22">
        <f>IF(A197="","",IFERROR(INT((A197-DATE(2026,4,27))/7)+1,""))</f>
        <v/>
      </c>
      <c r="C197" s="22" t="n"/>
      <c r="D197" s="23" t="n"/>
      <c r="E197" s="22" t="n"/>
      <c r="F197" s="22" t="n"/>
      <c r="G197" s="24" t="n"/>
      <c r="H197" s="22" t="n"/>
      <c r="I197" s="25">
        <f>IF(OR(F197="",G197=""),"",F197*G197)</f>
        <v/>
      </c>
      <c r="J197" s="24">
        <f>IF(OR(F197="",G197=""),"",ROUND(G197*(1+F197/30),1))</f>
        <v/>
      </c>
      <c r="K197" s="26" t="n"/>
    </row>
    <row r="198" ht="18" customHeight="1">
      <c r="A198" s="15" t="n"/>
      <c r="B198" s="16">
        <f>IF(A198="","",IFERROR(INT((A198-DATE(2026,4,27))/7)+1,""))</f>
        <v/>
      </c>
      <c r="C198" s="16" t="n"/>
      <c r="D198" s="17" t="n"/>
      <c r="E198" s="16" t="n"/>
      <c r="F198" s="16" t="n"/>
      <c r="G198" s="18" t="n"/>
      <c r="H198" s="16" t="n"/>
      <c r="I198" s="19">
        <f>IF(OR(F198="",G198=""),"",F198*G198)</f>
        <v/>
      </c>
      <c r="J198" s="18">
        <f>IF(OR(F198="",G198=""),"",ROUND(G198*(1+F198/30),1))</f>
        <v/>
      </c>
      <c r="K198" s="20" t="n"/>
    </row>
    <row r="199" ht="18" customHeight="1">
      <c r="A199" s="21" t="n"/>
      <c r="B199" s="22">
        <f>IF(A199="","",IFERROR(INT((A199-DATE(2026,4,27))/7)+1,""))</f>
        <v/>
      </c>
      <c r="C199" s="22" t="n"/>
      <c r="D199" s="23" t="n"/>
      <c r="E199" s="22" t="n"/>
      <c r="F199" s="22" t="n"/>
      <c r="G199" s="24" t="n"/>
      <c r="H199" s="22" t="n"/>
      <c r="I199" s="25">
        <f>IF(OR(F199="",G199=""),"",F199*G199)</f>
        <v/>
      </c>
      <c r="J199" s="24">
        <f>IF(OR(F199="",G199=""),"",ROUND(G199*(1+F199/30),1))</f>
        <v/>
      </c>
      <c r="K199" s="26" t="n"/>
    </row>
    <row r="200" ht="18" customHeight="1">
      <c r="A200" s="15" t="n"/>
      <c r="B200" s="16">
        <f>IF(A200="","",IFERROR(INT((A200-DATE(2026,4,27))/7)+1,""))</f>
        <v/>
      </c>
      <c r="C200" s="16" t="n"/>
      <c r="D200" s="17" t="n"/>
      <c r="E200" s="16" t="n"/>
      <c r="F200" s="16" t="n"/>
      <c r="G200" s="18" t="n"/>
      <c r="H200" s="16" t="n"/>
      <c r="I200" s="19">
        <f>IF(OR(F200="",G200=""),"",F200*G200)</f>
        <v/>
      </c>
      <c r="J200" s="18">
        <f>IF(OR(F200="",G200=""),"",ROUND(G200*(1+F200/30),1))</f>
        <v/>
      </c>
      <c r="K200" s="20" t="n"/>
    </row>
    <row r="201" ht="18" customHeight="1">
      <c r="A201" s="21" t="n"/>
      <c r="B201" s="22">
        <f>IF(A201="","",IFERROR(INT((A201-DATE(2026,4,27))/7)+1,""))</f>
        <v/>
      </c>
      <c r="C201" s="22" t="n"/>
      <c r="D201" s="23" t="n"/>
      <c r="E201" s="22" t="n"/>
      <c r="F201" s="22" t="n"/>
      <c r="G201" s="24" t="n"/>
      <c r="H201" s="22" t="n"/>
      <c r="I201" s="25">
        <f>IF(OR(F201="",G201=""),"",F201*G201)</f>
        <v/>
      </c>
      <c r="J201" s="24">
        <f>IF(OR(F201="",G201=""),"",ROUND(G201*(1+F201/30),1))</f>
        <v/>
      </c>
      <c r="K201" s="26" t="n"/>
    </row>
    <row r="202" ht="18" customHeight="1">
      <c r="A202" s="15" t="n"/>
      <c r="B202" s="16">
        <f>IF(A202="","",IFERROR(INT((A202-DATE(2026,4,27))/7)+1,""))</f>
        <v/>
      </c>
      <c r="C202" s="16" t="n"/>
      <c r="D202" s="17" t="n"/>
      <c r="E202" s="16" t="n"/>
      <c r="F202" s="16" t="n"/>
      <c r="G202" s="18" t="n"/>
      <c r="H202" s="16" t="n"/>
      <c r="I202" s="19">
        <f>IF(OR(F202="",G202=""),"",F202*G202)</f>
        <v/>
      </c>
      <c r="J202" s="18">
        <f>IF(OR(F202="",G202=""),"",ROUND(G202*(1+F202/30),1))</f>
        <v/>
      </c>
      <c r="K202" s="20" t="n"/>
    </row>
    <row r="203" ht="18" customHeight="1">
      <c r="A203" s="21" t="n"/>
      <c r="B203" s="22">
        <f>IF(A203="","",IFERROR(INT((A203-DATE(2026,4,27))/7)+1,""))</f>
        <v/>
      </c>
      <c r="C203" s="22" t="n"/>
      <c r="D203" s="23" t="n"/>
      <c r="E203" s="22" t="n"/>
      <c r="F203" s="22" t="n"/>
      <c r="G203" s="24" t="n"/>
      <c r="H203" s="22" t="n"/>
      <c r="I203" s="25">
        <f>IF(OR(F203="",G203=""),"",F203*G203)</f>
        <v/>
      </c>
      <c r="J203" s="24">
        <f>IF(OR(F203="",G203=""),"",ROUND(G203*(1+F203/30),1))</f>
        <v/>
      </c>
      <c r="K203" s="26" t="n"/>
    </row>
    <row r="204" ht="18" customHeight="1">
      <c r="A204" s="15" t="n"/>
      <c r="B204" s="16">
        <f>IF(A204="","",IFERROR(INT((A204-DATE(2026,4,27))/7)+1,""))</f>
        <v/>
      </c>
      <c r="C204" s="16" t="n"/>
      <c r="D204" s="17" t="n"/>
      <c r="E204" s="16" t="n"/>
      <c r="F204" s="16" t="n"/>
      <c r="G204" s="18" t="n"/>
      <c r="H204" s="16" t="n"/>
      <c r="I204" s="19">
        <f>IF(OR(F204="",G204=""),"",F204*G204)</f>
        <v/>
      </c>
      <c r="J204" s="18">
        <f>IF(OR(F204="",G204=""),"",ROUND(G204*(1+F204/30),1))</f>
        <v/>
      </c>
      <c r="K204" s="20" t="n"/>
    </row>
    <row r="205" ht="18" customHeight="1">
      <c r="A205" s="21" t="n"/>
      <c r="B205" s="22">
        <f>IF(A205="","",IFERROR(INT((A205-DATE(2026,4,27))/7)+1,""))</f>
        <v/>
      </c>
      <c r="C205" s="22" t="n"/>
      <c r="D205" s="23" t="n"/>
      <c r="E205" s="22" t="n"/>
      <c r="F205" s="22" t="n"/>
      <c r="G205" s="24" t="n"/>
      <c r="H205" s="22" t="n"/>
      <c r="I205" s="25">
        <f>IF(OR(F205="",G205=""),"",F205*G205)</f>
        <v/>
      </c>
      <c r="J205" s="24">
        <f>IF(OR(F205="",G205=""),"",ROUND(G205*(1+F205/30),1))</f>
        <v/>
      </c>
      <c r="K205" s="26" t="n"/>
    </row>
    <row r="206" ht="18" customHeight="1">
      <c r="A206" s="15" t="n"/>
      <c r="B206" s="16">
        <f>IF(A206="","",IFERROR(INT((A206-DATE(2026,4,27))/7)+1,""))</f>
        <v/>
      </c>
      <c r="C206" s="16" t="n"/>
      <c r="D206" s="17" t="n"/>
      <c r="E206" s="16" t="n"/>
      <c r="F206" s="16" t="n"/>
      <c r="G206" s="18" t="n"/>
      <c r="H206" s="16" t="n"/>
      <c r="I206" s="19">
        <f>IF(OR(F206="",G206=""),"",F206*G206)</f>
        <v/>
      </c>
      <c r="J206" s="18">
        <f>IF(OR(F206="",G206=""),"",ROUND(G206*(1+F206/30),1))</f>
        <v/>
      </c>
      <c r="K206" s="20" t="n"/>
    </row>
    <row r="207" ht="18" customHeight="1">
      <c r="A207" s="21" t="n"/>
      <c r="B207" s="22">
        <f>IF(A207="","",IFERROR(INT((A207-DATE(2026,4,27))/7)+1,""))</f>
        <v/>
      </c>
      <c r="C207" s="22" t="n"/>
      <c r="D207" s="23" t="n"/>
      <c r="E207" s="22" t="n"/>
      <c r="F207" s="22" t="n"/>
      <c r="G207" s="24" t="n"/>
      <c r="H207" s="22" t="n"/>
      <c r="I207" s="25">
        <f>IF(OR(F207="",G207=""),"",F207*G207)</f>
        <v/>
      </c>
      <c r="J207" s="24">
        <f>IF(OR(F207="",G207=""),"",ROUND(G207*(1+F207/30),1))</f>
        <v/>
      </c>
      <c r="K207" s="26" t="n"/>
    </row>
    <row r="208" ht="18" customHeight="1">
      <c r="A208" s="15" t="n"/>
      <c r="B208" s="16">
        <f>IF(A208="","",IFERROR(INT((A208-DATE(2026,4,27))/7)+1,""))</f>
        <v/>
      </c>
      <c r="C208" s="16" t="n"/>
      <c r="D208" s="17" t="n"/>
      <c r="E208" s="16" t="n"/>
      <c r="F208" s="16" t="n"/>
      <c r="G208" s="18" t="n"/>
      <c r="H208" s="16" t="n"/>
      <c r="I208" s="19">
        <f>IF(OR(F208="",G208=""),"",F208*G208)</f>
        <v/>
      </c>
      <c r="J208" s="18">
        <f>IF(OR(F208="",G208=""),"",ROUND(G208*(1+F208/30),1))</f>
        <v/>
      </c>
      <c r="K208" s="20" t="n"/>
    </row>
    <row r="209" ht="18" customHeight="1">
      <c r="A209" s="21" t="n"/>
      <c r="B209" s="22">
        <f>IF(A209="","",IFERROR(INT((A209-DATE(2026,4,27))/7)+1,""))</f>
        <v/>
      </c>
      <c r="C209" s="22" t="n"/>
      <c r="D209" s="23" t="n"/>
      <c r="E209" s="22" t="n"/>
      <c r="F209" s="22" t="n"/>
      <c r="G209" s="24" t="n"/>
      <c r="H209" s="22" t="n"/>
      <c r="I209" s="25">
        <f>IF(OR(F209="",G209=""),"",F209*G209)</f>
        <v/>
      </c>
      <c r="J209" s="24">
        <f>IF(OR(F209="",G209=""),"",ROUND(G209*(1+F209/30),1))</f>
        <v/>
      </c>
      <c r="K209" s="26" t="n"/>
    </row>
    <row r="210" ht="18" customHeight="1">
      <c r="A210" s="15" t="n"/>
      <c r="B210" s="16">
        <f>IF(A210="","",IFERROR(INT((A210-DATE(2026,4,27))/7)+1,""))</f>
        <v/>
      </c>
      <c r="C210" s="16" t="n"/>
      <c r="D210" s="17" t="n"/>
      <c r="E210" s="16" t="n"/>
      <c r="F210" s="16" t="n"/>
      <c r="G210" s="18" t="n"/>
      <c r="H210" s="16" t="n"/>
      <c r="I210" s="19">
        <f>IF(OR(F210="",G210=""),"",F210*G210)</f>
        <v/>
      </c>
      <c r="J210" s="18">
        <f>IF(OR(F210="",G210=""),"",ROUND(G210*(1+F210/30),1))</f>
        <v/>
      </c>
      <c r="K210" s="20" t="n"/>
    </row>
    <row r="211" ht="18" customHeight="1">
      <c r="A211" s="21" t="n"/>
      <c r="B211" s="22">
        <f>IF(A211="","",IFERROR(INT((A211-DATE(2026,4,27))/7)+1,""))</f>
        <v/>
      </c>
      <c r="C211" s="22" t="n"/>
      <c r="D211" s="23" t="n"/>
      <c r="E211" s="22" t="n"/>
      <c r="F211" s="22" t="n"/>
      <c r="G211" s="24" t="n"/>
      <c r="H211" s="22" t="n"/>
      <c r="I211" s="25">
        <f>IF(OR(F211="",G211=""),"",F211*G211)</f>
        <v/>
      </c>
      <c r="J211" s="24">
        <f>IF(OR(F211="",G211=""),"",ROUND(G211*(1+F211/30),1))</f>
        <v/>
      </c>
      <c r="K211" s="26" t="n"/>
    </row>
    <row r="212" ht="18" customHeight="1">
      <c r="A212" s="15" t="n"/>
      <c r="B212" s="16">
        <f>IF(A212="","",IFERROR(INT((A212-DATE(2026,4,27))/7)+1,""))</f>
        <v/>
      </c>
      <c r="C212" s="16" t="n"/>
      <c r="D212" s="17" t="n"/>
      <c r="E212" s="16" t="n"/>
      <c r="F212" s="16" t="n"/>
      <c r="G212" s="18" t="n"/>
      <c r="H212" s="16" t="n"/>
      <c r="I212" s="19">
        <f>IF(OR(F212="",G212=""),"",F212*G212)</f>
        <v/>
      </c>
      <c r="J212" s="18">
        <f>IF(OR(F212="",G212=""),"",ROUND(G212*(1+F212/30),1))</f>
        <v/>
      </c>
      <c r="K212" s="20" t="n"/>
    </row>
    <row r="213" ht="18" customHeight="1">
      <c r="A213" s="21" t="n"/>
      <c r="B213" s="22">
        <f>IF(A213="","",IFERROR(INT((A213-DATE(2026,4,27))/7)+1,""))</f>
        <v/>
      </c>
      <c r="C213" s="22" t="n"/>
      <c r="D213" s="23" t="n"/>
      <c r="E213" s="22" t="n"/>
      <c r="F213" s="22" t="n"/>
      <c r="G213" s="24" t="n"/>
      <c r="H213" s="22" t="n"/>
      <c r="I213" s="25">
        <f>IF(OR(F213="",G213=""),"",F213*G213)</f>
        <v/>
      </c>
      <c r="J213" s="24">
        <f>IF(OR(F213="",G213=""),"",ROUND(G213*(1+F213/30),1))</f>
        <v/>
      </c>
      <c r="K213" s="26" t="n"/>
    </row>
    <row r="214" ht="18" customHeight="1">
      <c r="A214" s="15" t="n"/>
      <c r="B214" s="16">
        <f>IF(A214="","",IFERROR(INT((A214-DATE(2026,4,27))/7)+1,""))</f>
        <v/>
      </c>
      <c r="C214" s="16" t="n"/>
      <c r="D214" s="17" t="n"/>
      <c r="E214" s="16" t="n"/>
      <c r="F214" s="16" t="n"/>
      <c r="G214" s="18" t="n"/>
      <c r="H214" s="16" t="n"/>
      <c r="I214" s="19">
        <f>IF(OR(F214="",G214=""),"",F214*G214)</f>
        <v/>
      </c>
      <c r="J214" s="18">
        <f>IF(OR(F214="",G214=""),"",ROUND(G214*(1+F214/30),1))</f>
        <v/>
      </c>
      <c r="K214" s="20" t="n"/>
    </row>
    <row r="215" ht="18" customHeight="1">
      <c r="A215" s="21" t="n"/>
      <c r="B215" s="22">
        <f>IF(A215="","",IFERROR(INT((A215-DATE(2026,4,27))/7)+1,""))</f>
        <v/>
      </c>
      <c r="C215" s="22" t="n"/>
      <c r="D215" s="23" t="n"/>
      <c r="E215" s="22" t="n"/>
      <c r="F215" s="22" t="n"/>
      <c r="G215" s="24" t="n"/>
      <c r="H215" s="22" t="n"/>
      <c r="I215" s="25">
        <f>IF(OR(F215="",G215=""),"",F215*G215)</f>
        <v/>
      </c>
      <c r="J215" s="24">
        <f>IF(OR(F215="",G215=""),"",ROUND(G215*(1+F215/30),1))</f>
        <v/>
      </c>
      <c r="K215" s="26" t="n"/>
    </row>
    <row r="216" ht="18" customHeight="1">
      <c r="A216" s="15" t="n"/>
      <c r="B216" s="16">
        <f>IF(A216="","",IFERROR(INT((A216-DATE(2026,4,27))/7)+1,""))</f>
        <v/>
      </c>
      <c r="C216" s="16" t="n"/>
      <c r="D216" s="17" t="n"/>
      <c r="E216" s="16" t="n"/>
      <c r="F216" s="16" t="n"/>
      <c r="G216" s="18" t="n"/>
      <c r="H216" s="16" t="n"/>
      <c r="I216" s="19">
        <f>IF(OR(F216="",G216=""),"",F216*G216)</f>
        <v/>
      </c>
      <c r="J216" s="18">
        <f>IF(OR(F216="",G216=""),"",ROUND(G216*(1+F216/30),1))</f>
        <v/>
      </c>
      <c r="K216" s="20" t="n"/>
    </row>
    <row r="217" ht="18" customHeight="1">
      <c r="A217" s="21" t="n"/>
      <c r="B217" s="22">
        <f>IF(A217="","",IFERROR(INT((A217-DATE(2026,4,27))/7)+1,""))</f>
        <v/>
      </c>
      <c r="C217" s="22" t="n"/>
      <c r="D217" s="23" t="n"/>
      <c r="E217" s="22" t="n"/>
      <c r="F217" s="22" t="n"/>
      <c r="G217" s="24" t="n"/>
      <c r="H217" s="22" t="n"/>
      <c r="I217" s="25">
        <f>IF(OR(F217="",G217=""),"",F217*G217)</f>
        <v/>
      </c>
      <c r="J217" s="24">
        <f>IF(OR(F217="",G217=""),"",ROUND(G217*(1+F217/30),1))</f>
        <v/>
      </c>
      <c r="K217" s="26" t="n"/>
    </row>
    <row r="218" ht="18" customHeight="1">
      <c r="A218" s="15" t="n"/>
      <c r="B218" s="16">
        <f>IF(A218="","",IFERROR(INT((A218-DATE(2026,4,27))/7)+1,""))</f>
        <v/>
      </c>
      <c r="C218" s="16" t="n"/>
      <c r="D218" s="17" t="n"/>
      <c r="E218" s="16" t="n"/>
      <c r="F218" s="16" t="n"/>
      <c r="G218" s="18" t="n"/>
      <c r="H218" s="16" t="n"/>
      <c r="I218" s="19">
        <f>IF(OR(F218="",G218=""),"",F218*G218)</f>
        <v/>
      </c>
      <c r="J218" s="18">
        <f>IF(OR(F218="",G218=""),"",ROUND(G218*(1+F218/30),1))</f>
        <v/>
      </c>
      <c r="K218" s="20" t="n"/>
    </row>
    <row r="219" ht="18" customHeight="1">
      <c r="A219" s="21" t="n"/>
      <c r="B219" s="22">
        <f>IF(A219="","",IFERROR(INT((A219-DATE(2026,4,27))/7)+1,""))</f>
        <v/>
      </c>
      <c r="C219" s="22" t="n"/>
      <c r="D219" s="23" t="n"/>
      <c r="E219" s="22" t="n"/>
      <c r="F219" s="22" t="n"/>
      <c r="G219" s="24" t="n"/>
      <c r="H219" s="22" t="n"/>
      <c r="I219" s="25">
        <f>IF(OR(F219="",G219=""),"",F219*G219)</f>
        <v/>
      </c>
      <c r="J219" s="24">
        <f>IF(OR(F219="",G219=""),"",ROUND(G219*(1+F219/30),1))</f>
        <v/>
      </c>
      <c r="K219" s="26" t="n"/>
    </row>
    <row r="220" ht="18" customHeight="1">
      <c r="A220" s="15" t="n"/>
      <c r="B220" s="16">
        <f>IF(A220="","",IFERROR(INT((A220-DATE(2026,4,27))/7)+1,""))</f>
        <v/>
      </c>
      <c r="C220" s="16" t="n"/>
      <c r="D220" s="17" t="n"/>
      <c r="E220" s="16" t="n"/>
      <c r="F220" s="16" t="n"/>
      <c r="G220" s="18" t="n"/>
      <c r="H220" s="16" t="n"/>
      <c r="I220" s="19">
        <f>IF(OR(F220="",G220=""),"",F220*G220)</f>
        <v/>
      </c>
      <c r="J220" s="18">
        <f>IF(OR(F220="",G220=""),"",ROUND(G220*(1+F220/30),1))</f>
        <v/>
      </c>
      <c r="K220" s="20" t="n"/>
    </row>
    <row r="221" ht="18" customHeight="1">
      <c r="A221" s="21" t="n"/>
      <c r="B221" s="22">
        <f>IF(A221="","",IFERROR(INT((A221-DATE(2026,4,27))/7)+1,""))</f>
        <v/>
      </c>
      <c r="C221" s="22" t="n"/>
      <c r="D221" s="23" t="n"/>
      <c r="E221" s="22" t="n"/>
      <c r="F221" s="22" t="n"/>
      <c r="G221" s="24" t="n"/>
      <c r="H221" s="22" t="n"/>
      <c r="I221" s="25">
        <f>IF(OR(F221="",G221=""),"",F221*G221)</f>
        <v/>
      </c>
      <c r="J221" s="24">
        <f>IF(OR(F221="",G221=""),"",ROUND(G221*(1+F221/30),1))</f>
        <v/>
      </c>
      <c r="K221" s="26" t="n"/>
    </row>
    <row r="222" ht="18" customHeight="1">
      <c r="A222" s="15" t="n"/>
      <c r="B222" s="16">
        <f>IF(A222="","",IFERROR(INT((A222-DATE(2026,4,27))/7)+1,""))</f>
        <v/>
      </c>
      <c r="C222" s="16" t="n"/>
      <c r="D222" s="17" t="n"/>
      <c r="E222" s="16" t="n"/>
      <c r="F222" s="16" t="n"/>
      <c r="G222" s="18" t="n"/>
      <c r="H222" s="16" t="n"/>
      <c r="I222" s="19">
        <f>IF(OR(F222="",G222=""),"",F222*G222)</f>
        <v/>
      </c>
      <c r="J222" s="18">
        <f>IF(OR(F222="",G222=""),"",ROUND(G222*(1+F222/30),1))</f>
        <v/>
      </c>
      <c r="K222" s="20" t="n"/>
    </row>
    <row r="223" ht="18" customHeight="1">
      <c r="A223" s="21" t="n"/>
      <c r="B223" s="22">
        <f>IF(A223="","",IFERROR(INT((A223-DATE(2026,4,27))/7)+1,""))</f>
        <v/>
      </c>
      <c r="C223" s="22" t="n"/>
      <c r="D223" s="23" t="n"/>
      <c r="E223" s="22" t="n"/>
      <c r="F223" s="22" t="n"/>
      <c r="G223" s="24" t="n"/>
      <c r="H223" s="22" t="n"/>
      <c r="I223" s="25">
        <f>IF(OR(F223="",G223=""),"",F223*G223)</f>
        <v/>
      </c>
      <c r="J223" s="24">
        <f>IF(OR(F223="",G223=""),"",ROUND(G223*(1+F223/30),1))</f>
        <v/>
      </c>
      <c r="K223" s="26" t="n"/>
    </row>
    <row r="224" ht="18" customHeight="1">
      <c r="A224" s="15" t="n"/>
      <c r="B224" s="16">
        <f>IF(A224="","",IFERROR(INT((A224-DATE(2026,4,27))/7)+1,""))</f>
        <v/>
      </c>
      <c r="C224" s="16" t="n"/>
      <c r="D224" s="17" t="n"/>
      <c r="E224" s="16" t="n"/>
      <c r="F224" s="16" t="n"/>
      <c r="G224" s="18" t="n"/>
      <c r="H224" s="16" t="n"/>
      <c r="I224" s="19">
        <f>IF(OR(F224="",G224=""),"",F224*G224)</f>
        <v/>
      </c>
      <c r="J224" s="18">
        <f>IF(OR(F224="",G224=""),"",ROUND(G224*(1+F224/30),1))</f>
        <v/>
      </c>
      <c r="K224" s="20" t="n"/>
    </row>
    <row r="225" ht="18" customHeight="1">
      <c r="A225" s="21" t="n"/>
      <c r="B225" s="22">
        <f>IF(A225="","",IFERROR(INT((A225-DATE(2026,4,27))/7)+1,""))</f>
        <v/>
      </c>
      <c r="C225" s="22" t="n"/>
      <c r="D225" s="23" t="n"/>
      <c r="E225" s="22" t="n"/>
      <c r="F225" s="22" t="n"/>
      <c r="G225" s="24" t="n"/>
      <c r="H225" s="22" t="n"/>
      <c r="I225" s="25">
        <f>IF(OR(F225="",G225=""),"",F225*G225)</f>
        <v/>
      </c>
      <c r="J225" s="24">
        <f>IF(OR(F225="",G225=""),"",ROUND(G225*(1+F225/30),1))</f>
        <v/>
      </c>
      <c r="K225" s="26" t="n"/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/>
      <c r="B13" s="22">
        <f>IF(A13="","",IFERROR(INT((A13-DATE(2026,4,27))/7)+1,""))</f>
        <v/>
      </c>
      <c r="C13" s="24" t="n"/>
      <c r="D13" s="24" t="n"/>
      <c r="E13" s="24" t="n"/>
      <c r="F13" s="24" t="n"/>
      <c r="G13" s="24" t="n"/>
      <c r="H13" s="24" t="n"/>
      <c r="I13" s="26" t="n"/>
    </row>
    <row r="14" ht="18" customHeight="1">
      <c r="A14" s="15" t="n"/>
      <c r="B14" s="16">
        <f>IF(A14="","",IFERROR(INT((A14-DATE(2026,4,27))/7)+1,""))</f>
        <v/>
      </c>
      <c r="C14" s="18" t="n"/>
      <c r="D14" s="18" t="n"/>
      <c r="E14" s="18" t="n"/>
      <c r="F14" s="18" t="n"/>
      <c r="G14" s="18" t="n"/>
      <c r="H14" s="18" t="n"/>
      <c r="I14" s="20" t="n"/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2026-05-18T08:29:43Z</dcterms:created>
  <dcterms:modified xmlns:dcterms="http://purl.org/dc/terms/" xmlns:xsi="http://www.w3.org/2001/XMLSchema-instance" xsi:type="dcterms:W3CDTF">2026-05-18T08:29:44Z</dcterms:modified>
</cp:coreProperties>
</file>