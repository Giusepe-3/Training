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/>
      <c r="B75" s="22">
        <f>IF(A75="","",IFERROR(INT((A75-DATE(2026,4,27))/7)+1,""))</f>
        <v/>
      </c>
      <c r="C75" s="22" t="n"/>
      <c r="D75" s="23" t="n"/>
      <c r="E75" s="22" t="n"/>
      <c r="F75" s="22" t="n"/>
      <c r="G75" s="24" t="n"/>
      <c r="H75" s="22" t="n"/>
      <c r="I75" s="25">
        <f>IF(OR(F75="",G75=""),"",F75*G75)</f>
        <v/>
      </c>
      <c r="J75" s="24">
        <f>IF(OR(F75="",G75=""),"",ROUND(G75*(1+F75/30),1))</f>
        <v/>
      </c>
      <c r="K75" s="26" t="n"/>
    </row>
    <row r="76" ht="18" customHeight="1">
      <c r="A76" s="15" t="n"/>
      <c r="B76" s="16">
        <f>IF(A76="","",IFERROR(INT((A76-DATE(2026,4,27))/7)+1,""))</f>
        <v/>
      </c>
      <c r="C76" s="16" t="n"/>
      <c r="D76" s="17" t="n"/>
      <c r="E76" s="16" t="n"/>
      <c r="F76" s="16" t="n"/>
      <c r="G76" s="18" t="n"/>
      <c r="H76" s="16" t="n"/>
      <c r="I76" s="19">
        <f>IF(OR(F76="",G76=""),"",F76*G76)</f>
        <v/>
      </c>
      <c r="J76" s="18">
        <f>IF(OR(F76="",G76=""),"",ROUND(G76*(1+F76/30),1))</f>
        <v/>
      </c>
      <c r="K76" s="20" t="n"/>
    </row>
    <row r="77" ht="18" customHeight="1">
      <c r="A77" s="21" t="n"/>
      <c r="B77" s="22">
        <f>IF(A77="","",IFERROR(INT((A77-DATE(2026,4,27))/7)+1,""))</f>
        <v/>
      </c>
      <c r="C77" s="22" t="n"/>
      <c r="D77" s="23" t="n"/>
      <c r="E77" s="22" t="n"/>
      <c r="F77" s="22" t="n"/>
      <c r="G77" s="24" t="n"/>
      <c r="H77" s="22" t="n"/>
      <c r="I77" s="25">
        <f>IF(OR(F77="",G77=""),"",F77*G77)</f>
        <v/>
      </c>
      <c r="J77" s="24">
        <f>IF(OR(F77="",G77=""),"",ROUND(G77*(1+F77/30),1))</f>
        <v/>
      </c>
      <c r="K77" s="26" t="n"/>
    </row>
    <row r="78" ht="18" customHeight="1">
      <c r="A78" s="15" t="n"/>
      <c r="B78" s="16">
        <f>IF(A78="","",IFERROR(INT((A78-DATE(2026,4,27))/7)+1,""))</f>
        <v/>
      </c>
      <c r="C78" s="16" t="n"/>
      <c r="D78" s="17" t="n"/>
      <c r="E78" s="16" t="n"/>
      <c r="F78" s="16" t="n"/>
      <c r="G78" s="18" t="n"/>
      <c r="H78" s="16" t="n"/>
      <c r="I78" s="19">
        <f>IF(OR(F78="",G78=""),"",F78*G78)</f>
        <v/>
      </c>
      <c r="J78" s="18">
        <f>IF(OR(F78="",G78=""),"",ROUND(G78*(1+F78/30),1))</f>
        <v/>
      </c>
      <c r="K78" s="20" t="n"/>
    </row>
    <row r="79" ht="18" customHeight="1">
      <c r="A79" s="21" t="n"/>
      <c r="B79" s="22">
        <f>IF(A79="","",IFERROR(INT((A79-DATE(2026,4,27))/7)+1,""))</f>
        <v/>
      </c>
      <c r="C79" s="22" t="n"/>
      <c r="D79" s="23" t="n"/>
      <c r="E79" s="22" t="n"/>
      <c r="F79" s="22" t="n"/>
      <c r="G79" s="24" t="n"/>
      <c r="H79" s="22" t="n"/>
      <c r="I79" s="25">
        <f>IF(OR(F79="",G79=""),"",F79*G79)</f>
        <v/>
      </c>
      <c r="J79" s="24">
        <f>IF(OR(F79="",G79=""),"",ROUND(G79*(1+F79/30),1))</f>
        <v/>
      </c>
      <c r="K79" s="26" t="n"/>
    </row>
    <row r="80" ht="18" customHeight="1">
      <c r="A80" s="15" t="n"/>
      <c r="B80" s="16">
        <f>IF(A80="","",IFERROR(INT((A80-DATE(2026,4,27))/7)+1,""))</f>
        <v/>
      </c>
      <c r="C80" s="16" t="n"/>
      <c r="D80" s="17" t="n"/>
      <c r="E80" s="16" t="n"/>
      <c r="F80" s="16" t="n"/>
      <c r="G80" s="18" t="n"/>
      <c r="H80" s="16" t="n"/>
      <c r="I80" s="19">
        <f>IF(OR(F80="",G80=""),"",F80*G80)</f>
        <v/>
      </c>
      <c r="J80" s="18">
        <f>IF(OR(F80="",G80=""),"",ROUND(G80*(1+F80/30),1))</f>
        <v/>
      </c>
      <c r="K80" s="20" t="n"/>
    </row>
    <row r="81" ht="18" customHeight="1">
      <c r="A81" s="21" t="n"/>
      <c r="B81" s="22">
        <f>IF(A81="","",IFERROR(INT((A81-DATE(2026,4,27))/7)+1,""))</f>
        <v/>
      </c>
      <c r="C81" s="22" t="n"/>
      <c r="D81" s="23" t="n"/>
      <c r="E81" s="22" t="n"/>
      <c r="F81" s="22" t="n"/>
      <c r="G81" s="24" t="n"/>
      <c r="H81" s="22" t="n"/>
      <c r="I81" s="25">
        <f>IF(OR(F81="",G81=""),"",F81*G81)</f>
        <v/>
      </c>
      <c r="J81" s="24">
        <f>IF(OR(F81="",G81=""),"",ROUND(G81*(1+F81/30),1))</f>
        <v/>
      </c>
      <c r="K81" s="26" t="n"/>
    </row>
    <row r="82" ht="18" customHeight="1">
      <c r="A82" s="15" t="n"/>
      <c r="B82" s="16">
        <f>IF(A82="","",IFERROR(INT((A82-DATE(2026,4,27))/7)+1,""))</f>
        <v/>
      </c>
      <c r="C82" s="16" t="n"/>
      <c r="D82" s="17" t="n"/>
      <c r="E82" s="16" t="n"/>
      <c r="F82" s="16" t="n"/>
      <c r="G82" s="18" t="n"/>
      <c r="H82" s="16" t="n"/>
      <c r="I82" s="19">
        <f>IF(OR(F82="",G82=""),"",F82*G82)</f>
        <v/>
      </c>
      <c r="J82" s="18">
        <f>IF(OR(F82="",G82=""),"",ROUND(G82*(1+F82/30),1))</f>
        <v/>
      </c>
      <c r="K82" s="20" t="n"/>
    </row>
    <row r="83" ht="18" customHeight="1">
      <c r="A83" s="21" t="n"/>
      <c r="B83" s="22">
        <f>IF(A83="","",IFERROR(INT((A83-DATE(2026,4,27))/7)+1,""))</f>
        <v/>
      </c>
      <c r="C83" s="22" t="n"/>
      <c r="D83" s="23" t="n"/>
      <c r="E83" s="22" t="n"/>
      <c r="F83" s="22" t="n"/>
      <c r="G83" s="24" t="n"/>
      <c r="H83" s="22" t="n"/>
      <c r="I83" s="25">
        <f>IF(OR(F83="",G83=""),"",F83*G83)</f>
        <v/>
      </c>
      <c r="J83" s="24">
        <f>IF(OR(F83="",G83=""),"",ROUND(G83*(1+F83/30),1))</f>
        <v/>
      </c>
      <c r="K83" s="26" t="n"/>
    </row>
    <row r="84" ht="18" customHeight="1">
      <c r="A84" s="15" t="n"/>
      <c r="B84" s="16">
        <f>IF(A84="","",IFERROR(INT((A84-DATE(2026,4,27))/7)+1,""))</f>
        <v/>
      </c>
      <c r="C84" s="16" t="n"/>
      <c r="D84" s="17" t="n"/>
      <c r="E84" s="16" t="n"/>
      <c r="F84" s="16" t="n"/>
      <c r="G84" s="18" t="n"/>
      <c r="H84" s="16" t="n"/>
      <c r="I84" s="19">
        <f>IF(OR(F84="",G84=""),"",F84*G84)</f>
        <v/>
      </c>
      <c r="J84" s="18">
        <f>IF(OR(F84="",G84=""),"",ROUND(G84*(1+F84/30),1))</f>
        <v/>
      </c>
      <c r="K84" s="20" t="n"/>
    </row>
    <row r="85" ht="18" customHeight="1">
      <c r="A85" s="21" t="n"/>
      <c r="B85" s="22">
        <f>IF(A85="","",IFERROR(INT((A85-DATE(2026,4,27))/7)+1,""))</f>
        <v/>
      </c>
      <c r="C85" s="22" t="n"/>
      <c r="D85" s="23" t="n"/>
      <c r="E85" s="22" t="n"/>
      <c r="F85" s="22" t="n"/>
      <c r="G85" s="24" t="n"/>
      <c r="H85" s="22" t="n"/>
      <c r="I85" s="25">
        <f>IF(OR(F85="",G85=""),"",F85*G85)</f>
        <v/>
      </c>
      <c r="J85" s="24">
        <f>IF(OR(F85="",G85=""),"",ROUND(G85*(1+F85/30),1))</f>
        <v/>
      </c>
      <c r="K85" s="26" t="n"/>
    </row>
    <row r="86" ht="18" customHeight="1">
      <c r="A86" s="15" t="n"/>
      <c r="B86" s="16">
        <f>IF(A86="","",IFERROR(INT((A86-DATE(2026,4,27))/7)+1,""))</f>
        <v/>
      </c>
      <c r="C86" s="16" t="n"/>
      <c r="D86" s="17" t="n"/>
      <c r="E86" s="16" t="n"/>
      <c r="F86" s="16" t="n"/>
      <c r="G86" s="18" t="n"/>
      <c r="H86" s="16" t="n"/>
      <c r="I86" s="19">
        <f>IF(OR(F86="",G86=""),"",F86*G86)</f>
        <v/>
      </c>
      <c r="J86" s="18">
        <f>IF(OR(F86="",G86=""),"",ROUND(G86*(1+F86/30),1))</f>
        <v/>
      </c>
      <c r="K86" s="20" t="n"/>
    </row>
    <row r="87" ht="18" customHeight="1">
      <c r="A87" s="21" t="n"/>
      <c r="B87" s="22">
        <f>IF(A87="","",IFERROR(INT((A87-DATE(2026,4,27))/7)+1,""))</f>
        <v/>
      </c>
      <c r="C87" s="22" t="n"/>
      <c r="D87" s="23" t="n"/>
      <c r="E87" s="22" t="n"/>
      <c r="F87" s="22" t="n"/>
      <c r="G87" s="24" t="n"/>
      <c r="H87" s="22" t="n"/>
      <c r="I87" s="25">
        <f>IF(OR(F87="",G87=""),"",F87*G87)</f>
        <v/>
      </c>
      <c r="J87" s="24">
        <f>IF(OR(F87="",G87=""),"",ROUND(G87*(1+F87/30),1))</f>
        <v/>
      </c>
      <c r="K87" s="26" t="n"/>
    </row>
    <row r="88" ht="18" customHeight="1">
      <c r="A88" s="15" t="n"/>
      <c r="B88" s="16">
        <f>IF(A88="","",IFERROR(INT((A88-DATE(2026,4,27))/7)+1,""))</f>
        <v/>
      </c>
      <c r="C88" s="16" t="n"/>
      <c r="D88" s="17" t="n"/>
      <c r="E88" s="16" t="n"/>
      <c r="F88" s="16" t="n"/>
      <c r="G88" s="18" t="n"/>
      <c r="H88" s="16" t="n"/>
      <c r="I88" s="19">
        <f>IF(OR(F88="",G88=""),"",F88*G88)</f>
        <v/>
      </c>
      <c r="J88" s="18">
        <f>IF(OR(F88="",G88=""),"",ROUND(G88*(1+F88/30),1))</f>
        <v/>
      </c>
      <c r="K88" s="20" t="n"/>
    </row>
    <row r="89" ht="18" customHeight="1">
      <c r="A89" s="21" t="n"/>
      <c r="B89" s="22">
        <f>IF(A89="","",IFERROR(INT((A89-DATE(2026,4,27))/7)+1,""))</f>
        <v/>
      </c>
      <c r="C89" s="22" t="n"/>
      <c r="D89" s="23" t="n"/>
      <c r="E89" s="22" t="n"/>
      <c r="F89" s="22" t="n"/>
      <c r="G89" s="24" t="n"/>
      <c r="H89" s="22" t="n"/>
      <c r="I89" s="25">
        <f>IF(OR(F89="",G89=""),"",F89*G89)</f>
        <v/>
      </c>
      <c r="J89" s="24">
        <f>IF(OR(F89="",G89=""),"",ROUND(G89*(1+F89/30),1))</f>
        <v/>
      </c>
      <c r="K89" s="26" t="n"/>
    </row>
    <row r="90" ht="18" customHeight="1">
      <c r="A90" s="15" t="n"/>
      <c r="B90" s="16">
        <f>IF(A90="","",IFERROR(INT((A90-DATE(2026,4,27))/7)+1,""))</f>
        <v/>
      </c>
      <c r="C90" s="16" t="n"/>
      <c r="D90" s="17" t="n"/>
      <c r="E90" s="16" t="n"/>
      <c r="F90" s="16" t="n"/>
      <c r="G90" s="18" t="n"/>
      <c r="H90" s="16" t="n"/>
      <c r="I90" s="19">
        <f>IF(OR(F90="",G90=""),"",F90*G90)</f>
        <v/>
      </c>
      <c r="J90" s="18">
        <f>IF(OR(F90="",G90=""),"",ROUND(G90*(1+F90/30),1))</f>
        <v/>
      </c>
      <c r="K90" s="20" t="n"/>
    </row>
    <row r="91" ht="18" customHeight="1">
      <c r="A91" s="21" t="n"/>
      <c r="B91" s="22">
        <f>IF(A91="","",IFERROR(INT((A91-DATE(2026,4,27))/7)+1,""))</f>
        <v/>
      </c>
      <c r="C91" s="22" t="n"/>
      <c r="D91" s="23" t="n"/>
      <c r="E91" s="22" t="n"/>
      <c r="F91" s="22" t="n"/>
      <c r="G91" s="24" t="n"/>
      <c r="H91" s="22" t="n"/>
      <c r="I91" s="25">
        <f>IF(OR(F91="",G91=""),"",F91*G91)</f>
        <v/>
      </c>
      <c r="J91" s="24">
        <f>IF(OR(F91="",G91=""),"",ROUND(G91*(1+F91/30),1))</f>
        <v/>
      </c>
      <c r="K91" s="26" t="n"/>
    </row>
    <row r="92" ht="18" customHeight="1">
      <c r="A92" s="15" t="n"/>
      <c r="B92" s="16">
        <f>IF(A92="","",IFERROR(INT((A92-DATE(2026,4,27))/7)+1,""))</f>
        <v/>
      </c>
      <c r="C92" s="16" t="n"/>
      <c r="D92" s="17" t="n"/>
      <c r="E92" s="16" t="n"/>
      <c r="F92" s="16" t="n"/>
      <c r="G92" s="18" t="n"/>
      <c r="H92" s="16" t="n"/>
      <c r="I92" s="19">
        <f>IF(OR(F92="",G92=""),"",F92*G92)</f>
        <v/>
      </c>
      <c r="J92" s="18">
        <f>IF(OR(F92="",G92=""),"",ROUND(G92*(1+F92/30),1))</f>
        <v/>
      </c>
      <c r="K92" s="20" t="n"/>
    </row>
    <row r="93" ht="18" customHeight="1">
      <c r="A93" s="21" t="n"/>
      <c r="B93" s="22">
        <f>IF(A93="","",IFERROR(INT((A93-DATE(2026,4,27))/7)+1,""))</f>
        <v/>
      </c>
      <c r="C93" s="22" t="n"/>
      <c r="D93" s="23" t="n"/>
      <c r="E93" s="22" t="n"/>
      <c r="F93" s="22" t="n"/>
      <c r="G93" s="24" t="n"/>
      <c r="H93" s="22" t="n"/>
      <c r="I93" s="25">
        <f>IF(OR(F93="",G93=""),"",F93*G93)</f>
        <v/>
      </c>
      <c r="J93" s="24">
        <f>IF(OR(F93="",G93=""),"",ROUND(G93*(1+F93/30),1))</f>
        <v/>
      </c>
      <c r="K93" s="26" t="n"/>
    </row>
    <row r="94" ht="18" customHeight="1">
      <c r="A94" s="15" t="n"/>
      <c r="B94" s="16">
        <f>IF(A94="","",IFERROR(INT((A94-DATE(2026,4,27))/7)+1,""))</f>
        <v/>
      </c>
      <c r="C94" s="16" t="n"/>
      <c r="D94" s="17" t="n"/>
      <c r="E94" s="16" t="n"/>
      <c r="F94" s="16" t="n"/>
      <c r="G94" s="18" t="n"/>
      <c r="H94" s="16" t="n"/>
      <c r="I94" s="19">
        <f>IF(OR(F94="",G94=""),"",F94*G94)</f>
        <v/>
      </c>
      <c r="J94" s="18">
        <f>IF(OR(F94="",G94=""),"",ROUND(G94*(1+F94/30),1))</f>
        <v/>
      </c>
      <c r="K94" s="20" t="n"/>
    </row>
    <row r="95" ht="18" customHeight="1">
      <c r="A95" s="21" t="n"/>
      <c r="B95" s="22">
        <f>IF(A95="","",IFERROR(INT((A95-DATE(2026,4,27))/7)+1,""))</f>
        <v/>
      </c>
      <c r="C95" s="22" t="n"/>
      <c r="D95" s="23" t="n"/>
      <c r="E95" s="22" t="n"/>
      <c r="F95" s="22" t="n"/>
      <c r="G95" s="24" t="n"/>
      <c r="H95" s="22" t="n"/>
      <c r="I95" s="25">
        <f>IF(OR(F95="",G95=""),"",F95*G95)</f>
        <v/>
      </c>
      <c r="J95" s="24">
        <f>IF(OR(F95="",G95=""),"",ROUND(G95*(1+F95/30),1))</f>
        <v/>
      </c>
      <c r="K95" s="26" t="n"/>
    </row>
    <row r="96" ht="18" customHeight="1">
      <c r="A96" s="15" t="n"/>
      <c r="B96" s="16">
        <f>IF(A96="","",IFERROR(INT((A96-DATE(2026,4,27))/7)+1,""))</f>
        <v/>
      </c>
      <c r="C96" s="16" t="n"/>
      <c r="D96" s="17" t="n"/>
      <c r="E96" s="16" t="n"/>
      <c r="F96" s="16" t="n"/>
      <c r="G96" s="18" t="n"/>
      <c r="H96" s="16" t="n"/>
      <c r="I96" s="19">
        <f>IF(OR(F96="",G96=""),"",F96*G96)</f>
        <v/>
      </c>
      <c r="J96" s="18">
        <f>IF(OR(F96="",G96=""),"",ROUND(G96*(1+F96/30),1))</f>
        <v/>
      </c>
      <c r="K96" s="20" t="n"/>
    </row>
    <row r="97" ht="18" customHeight="1">
      <c r="A97" s="21" t="n"/>
      <c r="B97" s="22">
        <f>IF(A97="","",IFERROR(INT((A97-DATE(2026,4,27))/7)+1,""))</f>
        <v/>
      </c>
      <c r="C97" s="22" t="n"/>
      <c r="D97" s="23" t="n"/>
      <c r="E97" s="22" t="n"/>
      <c r="F97" s="22" t="n"/>
      <c r="G97" s="24" t="n"/>
      <c r="H97" s="22" t="n"/>
      <c r="I97" s="25">
        <f>IF(OR(F97="",G97=""),"",F97*G97)</f>
        <v/>
      </c>
      <c r="J97" s="24">
        <f>IF(OR(F97="",G97=""),"",ROUND(G97*(1+F97/30),1))</f>
        <v/>
      </c>
      <c r="K97" s="26" t="n"/>
    </row>
    <row r="98" ht="18" customHeight="1">
      <c r="A98" s="15" t="n"/>
      <c r="B98" s="16">
        <f>IF(A98="","",IFERROR(INT((A98-DATE(2026,4,27))/7)+1,""))</f>
        <v/>
      </c>
      <c r="C98" s="16" t="n"/>
      <c r="D98" s="17" t="n"/>
      <c r="E98" s="16" t="n"/>
      <c r="F98" s="16" t="n"/>
      <c r="G98" s="18" t="n"/>
      <c r="H98" s="16" t="n"/>
      <c r="I98" s="19">
        <f>IF(OR(F98="",G98=""),"",F98*G98)</f>
        <v/>
      </c>
      <c r="J98" s="18">
        <f>IF(OR(F98="",G98=""),"",ROUND(G98*(1+F98/30),1))</f>
        <v/>
      </c>
      <c r="K98" s="20" t="n"/>
    </row>
    <row r="99" ht="18" customHeight="1">
      <c r="A99" s="21" t="n"/>
      <c r="B99" s="22">
        <f>IF(A99="","",IFERROR(INT((A99-DATE(2026,4,27))/7)+1,""))</f>
        <v/>
      </c>
      <c r="C99" s="22" t="n"/>
      <c r="D99" s="23" t="n"/>
      <c r="E99" s="22" t="n"/>
      <c r="F99" s="22" t="n"/>
      <c r="G99" s="24" t="n"/>
      <c r="H99" s="22" t="n"/>
      <c r="I99" s="25">
        <f>IF(OR(F99="",G99=""),"",F99*G99)</f>
        <v/>
      </c>
      <c r="J99" s="24">
        <f>IF(OR(F99="",G99=""),"",ROUND(G99*(1+F99/30),1))</f>
        <v/>
      </c>
      <c r="K99" s="26" t="n"/>
    </row>
    <row r="100" ht="18" customHeight="1">
      <c r="A100" s="15" t="n"/>
      <c r="B100" s="16">
        <f>IF(A100="","",IFERROR(INT((A100-DATE(2026,4,27))/7)+1,""))</f>
        <v/>
      </c>
      <c r="C100" s="16" t="n"/>
      <c r="D100" s="17" t="n"/>
      <c r="E100" s="16" t="n"/>
      <c r="F100" s="16" t="n"/>
      <c r="G100" s="18" t="n"/>
      <c r="H100" s="16" t="n"/>
      <c r="I100" s="19">
        <f>IF(OR(F100="",G100=""),"",F100*G100)</f>
        <v/>
      </c>
      <c r="J100" s="18">
        <f>IF(OR(F100="",G100=""),"",ROUND(G100*(1+F100/30),1))</f>
        <v/>
      </c>
      <c r="K100" s="20" t="n"/>
    </row>
    <row r="101" ht="18" customHeight="1">
      <c r="A101" s="21" t="n"/>
      <c r="B101" s="22">
        <f>IF(A101="","",IFERROR(INT((A101-DATE(2026,4,27))/7)+1,""))</f>
        <v/>
      </c>
      <c r="C101" s="22" t="n"/>
      <c r="D101" s="23" t="n"/>
      <c r="E101" s="22" t="n"/>
      <c r="F101" s="22" t="n"/>
      <c r="G101" s="24" t="n"/>
      <c r="H101" s="22" t="n"/>
      <c r="I101" s="25">
        <f>IF(OR(F101="",G101=""),"",F101*G101)</f>
        <v/>
      </c>
      <c r="J101" s="24">
        <f>IF(OR(F101="",G101=""),"",ROUND(G101*(1+F101/30),1))</f>
        <v/>
      </c>
      <c r="K101" s="26" t="n"/>
    </row>
    <row r="102" ht="18" customHeight="1">
      <c r="A102" s="15" t="n"/>
      <c r="B102" s="16">
        <f>IF(A102="","",IFERROR(INT((A102-DATE(2026,4,27))/7)+1,""))</f>
        <v/>
      </c>
      <c r="C102" s="16" t="n"/>
      <c r="D102" s="17" t="n"/>
      <c r="E102" s="16" t="n"/>
      <c r="F102" s="16" t="n"/>
      <c r="G102" s="18" t="n"/>
      <c r="H102" s="16" t="n"/>
      <c r="I102" s="19">
        <f>IF(OR(F102="",G102=""),"",F102*G102)</f>
        <v/>
      </c>
      <c r="J102" s="18">
        <f>IF(OR(F102="",G102=""),"",ROUND(G102*(1+F102/30),1))</f>
        <v/>
      </c>
      <c r="K102" s="20" t="n"/>
    </row>
    <row r="103" ht="18" customHeight="1">
      <c r="A103" s="21" t="n"/>
      <c r="B103" s="22">
        <f>IF(A103="","",IFERROR(INT((A103-DATE(2026,4,27))/7)+1,""))</f>
        <v/>
      </c>
      <c r="C103" s="22" t="n"/>
      <c r="D103" s="23" t="n"/>
      <c r="E103" s="22" t="n"/>
      <c r="F103" s="22" t="n"/>
      <c r="G103" s="24" t="n"/>
      <c r="H103" s="22" t="n"/>
      <c r="I103" s="25">
        <f>IF(OR(F103="",G103=""),"",F103*G103)</f>
        <v/>
      </c>
      <c r="J103" s="24">
        <f>IF(OR(F103="",G103=""),"",ROUND(G103*(1+F103/30),1))</f>
        <v/>
      </c>
      <c r="K103" s="26" t="n"/>
    </row>
    <row r="104" ht="18" customHeight="1">
      <c r="A104" s="15" t="n"/>
      <c r="B104" s="16">
        <f>IF(A104="","",IFERROR(INT((A104-DATE(2026,4,27))/7)+1,""))</f>
        <v/>
      </c>
      <c r="C104" s="16" t="n"/>
      <c r="D104" s="17" t="n"/>
      <c r="E104" s="16" t="n"/>
      <c r="F104" s="16" t="n"/>
      <c r="G104" s="18" t="n"/>
      <c r="H104" s="16" t="n"/>
      <c r="I104" s="19">
        <f>IF(OR(F104="",G104=""),"",F104*G104)</f>
        <v/>
      </c>
      <c r="J104" s="18">
        <f>IF(OR(F104="",G104=""),"",ROUND(G104*(1+F104/30),1))</f>
        <v/>
      </c>
      <c r="K104" s="20" t="n"/>
    </row>
    <row r="105" ht="18" customHeight="1">
      <c r="A105" s="21" t="n"/>
      <c r="B105" s="22">
        <f>IF(A105="","",IFERROR(INT((A105-DATE(2026,4,27))/7)+1,""))</f>
        <v/>
      </c>
      <c r="C105" s="22" t="n"/>
      <c r="D105" s="23" t="n"/>
      <c r="E105" s="22" t="n"/>
      <c r="F105" s="22" t="n"/>
      <c r="G105" s="24" t="n"/>
      <c r="H105" s="22" t="n"/>
      <c r="I105" s="25">
        <f>IF(OR(F105="",G105=""),"",F105*G105)</f>
        <v/>
      </c>
      <c r="J105" s="24">
        <f>IF(OR(F105="",G105=""),"",ROUND(G105*(1+F105/30),1))</f>
        <v/>
      </c>
      <c r="K105" s="26" t="n"/>
    </row>
    <row r="106" ht="18" customHeight="1">
      <c r="A106" s="15" t="n"/>
      <c r="B106" s="16">
        <f>IF(A106="","",IFERROR(INT((A106-DATE(2026,4,27))/7)+1,""))</f>
        <v/>
      </c>
      <c r="C106" s="16" t="n"/>
      <c r="D106" s="17" t="n"/>
      <c r="E106" s="16" t="n"/>
      <c r="F106" s="16" t="n"/>
      <c r="G106" s="18" t="n"/>
      <c r="H106" s="16" t="n"/>
      <c r="I106" s="19">
        <f>IF(OR(F106="",G106=""),"",F106*G106)</f>
        <v/>
      </c>
      <c r="J106" s="18">
        <f>IF(OR(F106="",G106=""),"",ROUND(G106*(1+F106/30),1))</f>
        <v/>
      </c>
      <c r="K106" s="20" t="n"/>
    </row>
    <row r="107" ht="18" customHeight="1">
      <c r="A107" s="21" t="n"/>
      <c r="B107" s="22">
        <f>IF(A107="","",IFERROR(INT((A107-DATE(2026,4,27))/7)+1,""))</f>
        <v/>
      </c>
      <c r="C107" s="22" t="n"/>
      <c r="D107" s="23" t="n"/>
      <c r="E107" s="22" t="n"/>
      <c r="F107" s="22" t="n"/>
      <c r="G107" s="24" t="n"/>
      <c r="H107" s="22" t="n"/>
      <c r="I107" s="25">
        <f>IF(OR(F107="",G107=""),"",F107*G107)</f>
        <v/>
      </c>
      <c r="J107" s="24">
        <f>IF(OR(F107="",G107=""),"",ROUND(G107*(1+F107/30),1))</f>
        <v/>
      </c>
      <c r="K107" s="26" t="n"/>
    </row>
    <row r="108" ht="18" customHeight="1">
      <c r="A108" s="15" t="n"/>
      <c r="B108" s="16">
        <f>IF(A108="","",IFERROR(INT((A108-DATE(2026,4,27))/7)+1,""))</f>
        <v/>
      </c>
      <c r="C108" s="16" t="n"/>
      <c r="D108" s="17" t="n"/>
      <c r="E108" s="16" t="n"/>
      <c r="F108" s="16" t="n"/>
      <c r="G108" s="18" t="n"/>
      <c r="H108" s="16" t="n"/>
      <c r="I108" s="19">
        <f>IF(OR(F108="",G108=""),"",F108*G108)</f>
        <v/>
      </c>
      <c r="J108" s="18">
        <f>IF(OR(F108="",G108=""),"",ROUND(G108*(1+F108/30),1))</f>
        <v/>
      </c>
      <c r="K108" s="20" t="n"/>
    </row>
    <row r="109" ht="18" customHeight="1">
      <c r="A109" s="21" t="n"/>
      <c r="B109" s="22">
        <f>IF(A109="","",IFERROR(INT((A109-DATE(2026,4,27))/7)+1,""))</f>
        <v/>
      </c>
      <c r="C109" s="22" t="n"/>
      <c r="D109" s="23" t="n"/>
      <c r="E109" s="22" t="n"/>
      <c r="F109" s="22" t="n"/>
      <c r="G109" s="24" t="n"/>
      <c r="H109" s="22" t="n"/>
      <c r="I109" s="25">
        <f>IF(OR(F109="",G109=""),"",F109*G109)</f>
        <v/>
      </c>
      <c r="J109" s="24">
        <f>IF(OR(F109="",G109=""),"",ROUND(G109*(1+F109/30),1))</f>
        <v/>
      </c>
      <c r="K109" s="26" t="n"/>
    </row>
    <row r="110" ht="18" customHeight="1">
      <c r="A110" s="15" t="n"/>
      <c r="B110" s="16">
        <f>IF(A110="","",IFERROR(INT((A110-DATE(2026,4,27))/7)+1,""))</f>
        <v/>
      </c>
      <c r="C110" s="16" t="n"/>
      <c r="D110" s="17" t="n"/>
      <c r="E110" s="16" t="n"/>
      <c r="F110" s="16" t="n"/>
      <c r="G110" s="18" t="n"/>
      <c r="H110" s="16" t="n"/>
      <c r="I110" s="19">
        <f>IF(OR(F110="",G110=""),"",F110*G110)</f>
        <v/>
      </c>
      <c r="J110" s="18">
        <f>IF(OR(F110="",G110=""),"",ROUND(G110*(1+F110/30),1))</f>
        <v/>
      </c>
      <c r="K110" s="20" t="n"/>
    </row>
    <row r="111" ht="18" customHeight="1">
      <c r="A111" s="21" t="n"/>
      <c r="B111" s="22">
        <f>IF(A111="","",IFERROR(INT((A111-DATE(2026,4,27))/7)+1,""))</f>
        <v/>
      </c>
      <c r="C111" s="22" t="n"/>
      <c r="D111" s="23" t="n"/>
      <c r="E111" s="22" t="n"/>
      <c r="F111" s="22" t="n"/>
      <c r="G111" s="24" t="n"/>
      <c r="H111" s="22" t="n"/>
      <c r="I111" s="25">
        <f>IF(OR(F111="",G111=""),"",F111*G111)</f>
        <v/>
      </c>
      <c r="J111" s="24">
        <f>IF(OR(F111="",G111=""),"",ROUND(G111*(1+F111/30),1))</f>
        <v/>
      </c>
      <c r="K111" s="26" t="n"/>
    </row>
    <row r="112" ht="18" customHeight="1">
      <c r="A112" s="15" t="n"/>
      <c r="B112" s="16">
        <f>IF(A112="","",IFERROR(INT((A112-DATE(2026,4,27))/7)+1,""))</f>
        <v/>
      </c>
      <c r="C112" s="16" t="n"/>
      <c r="D112" s="17" t="n"/>
      <c r="E112" s="16" t="n"/>
      <c r="F112" s="16" t="n"/>
      <c r="G112" s="18" t="n"/>
      <c r="H112" s="16" t="n"/>
      <c r="I112" s="19">
        <f>IF(OR(F112="",G112=""),"",F112*G112)</f>
        <v/>
      </c>
      <c r="J112" s="18">
        <f>IF(OR(F112="",G112=""),"",ROUND(G112*(1+F112/30),1))</f>
        <v/>
      </c>
      <c r="K112" s="20" t="n"/>
    </row>
    <row r="113" ht="18" customHeight="1">
      <c r="A113" s="21" t="n"/>
      <c r="B113" s="22">
        <f>IF(A113="","",IFERROR(INT((A113-DATE(2026,4,27))/7)+1,""))</f>
        <v/>
      </c>
      <c r="C113" s="22" t="n"/>
      <c r="D113" s="23" t="n"/>
      <c r="E113" s="22" t="n"/>
      <c r="F113" s="22" t="n"/>
      <c r="G113" s="24" t="n"/>
      <c r="H113" s="22" t="n"/>
      <c r="I113" s="25">
        <f>IF(OR(F113="",G113=""),"",F113*G113)</f>
        <v/>
      </c>
      <c r="J113" s="24">
        <f>IF(OR(F113="",G113=""),"",ROUND(G113*(1+F113/30),1))</f>
        <v/>
      </c>
      <c r="K113" s="26" t="n"/>
    </row>
    <row r="114" ht="18" customHeight="1">
      <c r="A114" s="15" t="n"/>
      <c r="B114" s="16">
        <f>IF(A114="","",IFERROR(INT((A114-DATE(2026,4,27))/7)+1,""))</f>
        <v/>
      </c>
      <c r="C114" s="16" t="n"/>
      <c r="D114" s="17" t="n"/>
      <c r="E114" s="16" t="n"/>
      <c r="F114" s="16" t="n"/>
      <c r="G114" s="18" t="n"/>
      <c r="H114" s="16" t="n"/>
      <c r="I114" s="19">
        <f>IF(OR(F114="",G114=""),"",F114*G114)</f>
        <v/>
      </c>
      <c r="J114" s="18">
        <f>IF(OR(F114="",G114=""),"",ROUND(G114*(1+F114/30),1))</f>
        <v/>
      </c>
      <c r="K114" s="20" t="n"/>
    </row>
    <row r="115" ht="18" customHeight="1">
      <c r="A115" s="21" t="n"/>
      <c r="B115" s="22">
        <f>IF(A115="","",IFERROR(INT((A115-DATE(2026,4,27))/7)+1,""))</f>
        <v/>
      </c>
      <c r="C115" s="22" t="n"/>
      <c r="D115" s="23" t="n"/>
      <c r="E115" s="22" t="n"/>
      <c r="F115" s="22" t="n"/>
      <c r="G115" s="24" t="n"/>
      <c r="H115" s="22" t="n"/>
      <c r="I115" s="25">
        <f>IF(OR(F115="",G115=""),"",F115*G115)</f>
        <v/>
      </c>
      <c r="J115" s="24">
        <f>IF(OR(F115="",G115=""),"",ROUND(G115*(1+F115/30),1))</f>
        <v/>
      </c>
      <c r="K115" s="26" t="n"/>
    </row>
    <row r="116" ht="18" customHeight="1">
      <c r="A116" s="15" t="n"/>
      <c r="B116" s="16">
        <f>IF(A116="","",IFERROR(INT((A116-DATE(2026,4,27))/7)+1,""))</f>
        <v/>
      </c>
      <c r="C116" s="16" t="n"/>
      <c r="D116" s="17" t="n"/>
      <c r="E116" s="16" t="n"/>
      <c r="F116" s="16" t="n"/>
      <c r="G116" s="18" t="n"/>
      <c r="H116" s="16" t="n"/>
      <c r="I116" s="19">
        <f>IF(OR(F116="",G116=""),"",F116*G116)</f>
        <v/>
      </c>
      <c r="J116" s="18">
        <f>IF(OR(F116="",G116=""),"",ROUND(G116*(1+F116/30),1))</f>
        <v/>
      </c>
      <c r="K116" s="20" t="n"/>
    </row>
    <row r="117" ht="18" customHeight="1">
      <c r="A117" s="21" t="n"/>
      <c r="B117" s="22">
        <f>IF(A117="","",IFERROR(INT((A117-DATE(2026,4,27))/7)+1,""))</f>
        <v/>
      </c>
      <c r="C117" s="22" t="n"/>
      <c r="D117" s="23" t="n"/>
      <c r="E117" s="22" t="n"/>
      <c r="F117" s="22" t="n"/>
      <c r="G117" s="24" t="n"/>
      <c r="H117" s="22" t="n"/>
      <c r="I117" s="25">
        <f>IF(OR(F117="",G117=""),"",F117*G117)</f>
        <v/>
      </c>
      <c r="J117" s="24">
        <f>IF(OR(F117="",G117=""),"",ROUND(G117*(1+F117/30),1))</f>
        <v/>
      </c>
      <c r="K117" s="26" t="n"/>
    </row>
    <row r="118" ht="18" customHeight="1">
      <c r="A118" s="15" t="n"/>
      <c r="B118" s="16">
        <f>IF(A118="","",IFERROR(INT((A118-DATE(2026,4,27))/7)+1,""))</f>
        <v/>
      </c>
      <c r="C118" s="16" t="n"/>
      <c r="D118" s="17" t="n"/>
      <c r="E118" s="16" t="n"/>
      <c r="F118" s="16" t="n"/>
      <c r="G118" s="18" t="n"/>
      <c r="H118" s="16" t="n"/>
      <c r="I118" s="19">
        <f>IF(OR(F118="",G118=""),"",F118*G118)</f>
        <v/>
      </c>
      <c r="J118" s="18">
        <f>IF(OR(F118="",G118=""),"",ROUND(G118*(1+F118/30),1))</f>
        <v/>
      </c>
      <c r="K118" s="20" t="n"/>
    </row>
    <row r="119" ht="18" customHeight="1">
      <c r="A119" s="21" t="n"/>
      <c r="B119" s="22">
        <f>IF(A119="","",IFERROR(INT((A119-DATE(2026,4,27))/7)+1,""))</f>
        <v/>
      </c>
      <c r="C119" s="22" t="n"/>
      <c r="D119" s="23" t="n"/>
      <c r="E119" s="22" t="n"/>
      <c r="F119" s="22" t="n"/>
      <c r="G119" s="24" t="n"/>
      <c r="H119" s="22" t="n"/>
      <c r="I119" s="25">
        <f>IF(OR(F119="",G119=""),"",F119*G119)</f>
        <v/>
      </c>
      <c r="J119" s="24">
        <f>IF(OR(F119="",G119=""),"",ROUND(G119*(1+F119/30),1))</f>
        <v/>
      </c>
      <c r="K119" s="26" t="n"/>
    </row>
    <row r="120" ht="18" customHeight="1">
      <c r="A120" s="15" t="n"/>
      <c r="B120" s="16">
        <f>IF(A120="","",IFERROR(INT((A120-DATE(2026,4,27))/7)+1,""))</f>
        <v/>
      </c>
      <c r="C120" s="16" t="n"/>
      <c r="D120" s="17" t="n"/>
      <c r="E120" s="16" t="n"/>
      <c r="F120" s="16" t="n"/>
      <c r="G120" s="18" t="n"/>
      <c r="H120" s="16" t="n"/>
      <c r="I120" s="19">
        <f>IF(OR(F120="",G120=""),"",F120*G120)</f>
        <v/>
      </c>
      <c r="J120" s="18">
        <f>IF(OR(F120="",G120=""),"",ROUND(G120*(1+F120/30),1))</f>
        <v/>
      </c>
      <c r="K120" s="20" t="n"/>
    </row>
    <row r="121" ht="18" customHeight="1">
      <c r="A121" s="21" t="n"/>
      <c r="B121" s="22">
        <f>IF(A121="","",IFERROR(INT((A121-DATE(2026,4,27))/7)+1,""))</f>
        <v/>
      </c>
      <c r="C121" s="22" t="n"/>
      <c r="D121" s="23" t="n"/>
      <c r="E121" s="22" t="n"/>
      <c r="F121" s="22" t="n"/>
      <c r="G121" s="24" t="n"/>
      <c r="H121" s="22" t="n"/>
      <c r="I121" s="25">
        <f>IF(OR(F121="",G121=""),"",F121*G121)</f>
        <v/>
      </c>
      <c r="J121" s="24">
        <f>IF(OR(F121="",G121=""),"",ROUND(G121*(1+F121/30),1))</f>
        <v/>
      </c>
      <c r="K121" s="26" t="n"/>
    </row>
    <row r="122" ht="18" customHeight="1">
      <c r="A122" s="15" t="n"/>
      <c r="B122" s="16">
        <f>IF(A122="","",IFERROR(INT((A122-DATE(2026,4,27))/7)+1,""))</f>
        <v/>
      </c>
      <c r="C122" s="16" t="n"/>
      <c r="D122" s="17" t="n"/>
      <c r="E122" s="16" t="n"/>
      <c r="F122" s="16" t="n"/>
      <c r="G122" s="18" t="n"/>
      <c r="H122" s="16" t="n"/>
      <c r="I122" s="19">
        <f>IF(OR(F122="",G122=""),"",F122*G122)</f>
        <v/>
      </c>
      <c r="J122" s="18">
        <f>IF(OR(F122="",G122=""),"",ROUND(G122*(1+F122/30),1))</f>
        <v/>
      </c>
      <c r="K122" s="20" t="n"/>
    </row>
    <row r="123" ht="18" customHeight="1">
      <c r="A123" s="21" t="n"/>
      <c r="B123" s="22">
        <f>IF(A123="","",IFERROR(INT((A123-DATE(2026,4,27))/7)+1,""))</f>
        <v/>
      </c>
      <c r="C123" s="22" t="n"/>
      <c r="D123" s="23" t="n"/>
      <c r="E123" s="22" t="n"/>
      <c r="F123" s="22" t="n"/>
      <c r="G123" s="24" t="n"/>
      <c r="H123" s="22" t="n"/>
      <c r="I123" s="25">
        <f>IF(OR(F123="",G123=""),"",F123*G123)</f>
        <v/>
      </c>
      <c r="J123" s="24">
        <f>IF(OR(F123="",G123=""),"",ROUND(G123*(1+F123/30),1))</f>
        <v/>
      </c>
      <c r="K123" s="26" t="n"/>
    </row>
    <row r="124" ht="18" customHeight="1">
      <c r="A124" s="15" t="n"/>
      <c r="B124" s="16">
        <f>IF(A124="","",IFERROR(INT((A124-DATE(2026,4,27))/7)+1,""))</f>
        <v/>
      </c>
      <c r="C124" s="16" t="n"/>
      <c r="D124" s="17" t="n"/>
      <c r="E124" s="16" t="n"/>
      <c r="F124" s="16" t="n"/>
      <c r="G124" s="18" t="n"/>
      <c r="H124" s="16" t="n"/>
      <c r="I124" s="19">
        <f>IF(OR(F124="",G124=""),"",F124*G124)</f>
        <v/>
      </c>
      <c r="J124" s="18">
        <f>IF(OR(F124="",G124=""),"",ROUND(G124*(1+F124/30),1))</f>
        <v/>
      </c>
      <c r="K124" s="20" t="n"/>
    </row>
    <row r="125" ht="18" customHeight="1">
      <c r="A125" s="21" t="n"/>
      <c r="B125" s="22">
        <f>IF(A125="","",IFERROR(INT((A125-DATE(2026,4,27))/7)+1,""))</f>
        <v/>
      </c>
      <c r="C125" s="22" t="n"/>
      <c r="D125" s="23" t="n"/>
      <c r="E125" s="22" t="n"/>
      <c r="F125" s="22" t="n"/>
      <c r="G125" s="24" t="n"/>
      <c r="H125" s="22" t="n"/>
      <c r="I125" s="25">
        <f>IF(OR(F125="",G125=""),"",F125*G125)</f>
        <v/>
      </c>
      <c r="J125" s="24">
        <f>IF(OR(F125="",G125=""),"",ROUND(G125*(1+F125/30),1))</f>
        <v/>
      </c>
      <c r="K125" s="26" t="n"/>
    </row>
    <row r="126" ht="18" customHeight="1">
      <c r="A126" s="15" t="n"/>
      <c r="B126" s="16">
        <f>IF(A126="","",IFERROR(INT((A126-DATE(2026,4,27))/7)+1,""))</f>
        <v/>
      </c>
      <c r="C126" s="16" t="n"/>
      <c r="D126" s="17" t="n"/>
      <c r="E126" s="16" t="n"/>
      <c r="F126" s="16" t="n"/>
      <c r="G126" s="18" t="n"/>
      <c r="H126" s="16" t="n"/>
      <c r="I126" s="19">
        <f>IF(OR(F126="",G126=""),"",F126*G126)</f>
        <v/>
      </c>
      <c r="J126" s="18">
        <f>IF(OR(F126="",G126=""),"",ROUND(G126*(1+F126/30),1))</f>
        <v/>
      </c>
      <c r="K126" s="20" t="n"/>
    </row>
    <row r="127" ht="18" customHeight="1">
      <c r="A127" s="21" t="n"/>
      <c r="B127" s="22">
        <f>IF(A127="","",IFERROR(INT((A127-DATE(2026,4,27))/7)+1,""))</f>
        <v/>
      </c>
      <c r="C127" s="22" t="n"/>
      <c r="D127" s="23" t="n"/>
      <c r="E127" s="22" t="n"/>
      <c r="F127" s="22" t="n"/>
      <c r="G127" s="24" t="n"/>
      <c r="H127" s="22" t="n"/>
      <c r="I127" s="25">
        <f>IF(OR(F127="",G127=""),"",F127*G127)</f>
        <v/>
      </c>
      <c r="J127" s="24">
        <f>IF(OR(F127="",G127=""),"",ROUND(G127*(1+F127/30),1))</f>
        <v/>
      </c>
      <c r="K127" s="26" t="n"/>
    </row>
    <row r="128" ht="18" customHeight="1">
      <c r="A128" s="15" t="n"/>
      <c r="B128" s="16">
        <f>IF(A128="","",IFERROR(INT((A128-DATE(2026,4,27))/7)+1,""))</f>
        <v/>
      </c>
      <c r="C128" s="16" t="n"/>
      <c r="D128" s="17" t="n"/>
      <c r="E128" s="16" t="n"/>
      <c r="F128" s="16" t="n"/>
      <c r="G128" s="18" t="n"/>
      <c r="H128" s="16" t="n"/>
      <c r="I128" s="19">
        <f>IF(OR(F128="",G128=""),"",F128*G128)</f>
        <v/>
      </c>
      <c r="J128" s="18">
        <f>IF(OR(F128="",G128=""),"",ROUND(G128*(1+F128/30),1))</f>
        <v/>
      </c>
      <c r="K128" s="20" t="n"/>
    </row>
    <row r="129" ht="18" customHeight="1">
      <c r="A129" s="21" t="n"/>
      <c r="B129" s="22">
        <f>IF(A129="","",IFERROR(INT((A129-DATE(2026,4,27))/7)+1,""))</f>
        <v/>
      </c>
      <c r="C129" s="22" t="n"/>
      <c r="D129" s="23" t="n"/>
      <c r="E129" s="22" t="n"/>
      <c r="F129" s="22" t="n"/>
      <c r="G129" s="24" t="n"/>
      <c r="H129" s="22" t="n"/>
      <c r="I129" s="25">
        <f>IF(OR(F129="",G129=""),"",F129*G129)</f>
        <v/>
      </c>
      <c r="J129" s="24">
        <f>IF(OR(F129="",G129=""),"",ROUND(G129*(1+F129/30),1))</f>
        <v/>
      </c>
      <c r="K129" s="26" t="n"/>
    </row>
    <row r="130" ht="18" customHeight="1">
      <c r="A130" s="15" t="n"/>
      <c r="B130" s="16">
        <f>IF(A130="","",IFERROR(INT((A130-DATE(2026,4,27))/7)+1,""))</f>
        <v/>
      </c>
      <c r="C130" s="16" t="n"/>
      <c r="D130" s="17" t="n"/>
      <c r="E130" s="16" t="n"/>
      <c r="F130" s="16" t="n"/>
      <c r="G130" s="18" t="n"/>
      <c r="H130" s="16" t="n"/>
      <c r="I130" s="19">
        <f>IF(OR(F130="",G130=""),"",F130*G130)</f>
        <v/>
      </c>
      <c r="J130" s="18">
        <f>IF(OR(F130="",G130=""),"",ROUND(G130*(1+F130/30),1))</f>
        <v/>
      </c>
      <c r="K130" s="20" t="n"/>
    </row>
    <row r="131" ht="18" customHeight="1">
      <c r="A131" s="21" t="n"/>
      <c r="B131" s="22">
        <f>IF(A131="","",IFERROR(INT((A131-DATE(2026,4,27))/7)+1,""))</f>
        <v/>
      </c>
      <c r="C131" s="22" t="n"/>
      <c r="D131" s="23" t="n"/>
      <c r="E131" s="22" t="n"/>
      <c r="F131" s="22" t="n"/>
      <c r="G131" s="24" t="n"/>
      <c r="H131" s="22" t="n"/>
      <c r="I131" s="25">
        <f>IF(OR(F131="",G131=""),"",F131*G131)</f>
        <v/>
      </c>
      <c r="J131" s="24">
        <f>IF(OR(F131="",G131=""),"",ROUND(G131*(1+F131/30),1))</f>
        <v/>
      </c>
      <c r="K131" s="26" t="n"/>
    </row>
    <row r="132" ht="18" customHeight="1">
      <c r="A132" s="15" t="n"/>
      <c r="B132" s="16">
        <f>IF(A132="","",IFERROR(INT((A132-DATE(2026,4,27))/7)+1,""))</f>
        <v/>
      </c>
      <c r="C132" s="16" t="n"/>
      <c r="D132" s="17" t="n"/>
      <c r="E132" s="16" t="n"/>
      <c r="F132" s="16" t="n"/>
      <c r="G132" s="18" t="n"/>
      <c r="H132" s="16" t="n"/>
      <c r="I132" s="19">
        <f>IF(OR(F132="",G132=""),"",F132*G132)</f>
        <v/>
      </c>
      <c r="J132" s="18">
        <f>IF(OR(F132="",G132=""),"",ROUND(G132*(1+F132/30),1))</f>
        <v/>
      </c>
      <c r="K132" s="20" t="n"/>
    </row>
    <row r="133" ht="18" customHeight="1">
      <c r="A133" s="21" t="n"/>
      <c r="B133" s="22">
        <f>IF(A133="","",IFERROR(INT((A133-DATE(2026,4,27))/7)+1,""))</f>
        <v/>
      </c>
      <c r="C133" s="22" t="n"/>
      <c r="D133" s="23" t="n"/>
      <c r="E133" s="22" t="n"/>
      <c r="F133" s="22" t="n"/>
      <c r="G133" s="24" t="n"/>
      <c r="H133" s="22" t="n"/>
      <c r="I133" s="25">
        <f>IF(OR(F133="",G133=""),"",F133*G133)</f>
        <v/>
      </c>
      <c r="J133" s="24">
        <f>IF(OR(F133="",G133=""),"",ROUND(G133*(1+F133/30),1))</f>
        <v/>
      </c>
      <c r="K133" s="26" t="n"/>
    </row>
    <row r="134" ht="18" customHeight="1">
      <c r="A134" s="15" t="n"/>
      <c r="B134" s="16">
        <f>IF(A134="","",IFERROR(INT((A134-DATE(2026,4,27))/7)+1,""))</f>
        <v/>
      </c>
      <c r="C134" s="16" t="n"/>
      <c r="D134" s="17" t="n"/>
      <c r="E134" s="16" t="n"/>
      <c r="F134" s="16" t="n"/>
      <c r="G134" s="18" t="n"/>
      <c r="H134" s="16" t="n"/>
      <c r="I134" s="19">
        <f>IF(OR(F134="",G134=""),"",F134*G134)</f>
        <v/>
      </c>
      <c r="J134" s="18">
        <f>IF(OR(F134="",G134=""),"",ROUND(G134*(1+F134/30),1))</f>
        <v/>
      </c>
      <c r="K134" s="20" t="n"/>
    </row>
    <row r="135" ht="18" customHeight="1">
      <c r="A135" s="21" t="n"/>
      <c r="B135" s="22">
        <f>IF(A135="","",IFERROR(INT((A135-DATE(2026,4,27))/7)+1,""))</f>
        <v/>
      </c>
      <c r="C135" s="22" t="n"/>
      <c r="D135" s="23" t="n"/>
      <c r="E135" s="22" t="n"/>
      <c r="F135" s="22" t="n"/>
      <c r="G135" s="24" t="n"/>
      <c r="H135" s="22" t="n"/>
      <c r="I135" s="25">
        <f>IF(OR(F135="",G135=""),"",F135*G135)</f>
        <v/>
      </c>
      <c r="J135" s="24">
        <f>IF(OR(F135="",G135=""),"",ROUND(G135*(1+F135/30),1))</f>
        <v/>
      </c>
      <c r="K135" s="26" t="n"/>
    </row>
    <row r="136" ht="18" customHeight="1">
      <c r="A136" s="15" t="n"/>
      <c r="B136" s="16">
        <f>IF(A136="","",IFERROR(INT((A136-DATE(2026,4,27))/7)+1,""))</f>
        <v/>
      </c>
      <c r="C136" s="16" t="n"/>
      <c r="D136" s="17" t="n"/>
      <c r="E136" s="16" t="n"/>
      <c r="F136" s="16" t="n"/>
      <c r="G136" s="18" t="n"/>
      <c r="H136" s="16" t="n"/>
      <c r="I136" s="19">
        <f>IF(OR(F136="",G136=""),"",F136*G136)</f>
        <v/>
      </c>
      <c r="J136" s="18">
        <f>IF(OR(F136="",G136=""),"",ROUND(G136*(1+F136/30),1))</f>
        <v/>
      </c>
      <c r="K136" s="20" t="n"/>
    </row>
    <row r="137" ht="18" customHeight="1">
      <c r="A137" s="21" t="n"/>
      <c r="B137" s="22">
        <f>IF(A137="","",IFERROR(INT((A137-DATE(2026,4,27))/7)+1,""))</f>
        <v/>
      </c>
      <c r="C137" s="22" t="n"/>
      <c r="D137" s="23" t="n"/>
      <c r="E137" s="22" t="n"/>
      <c r="F137" s="22" t="n"/>
      <c r="G137" s="24" t="n"/>
      <c r="H137" s="22" t="n"/>
      <c r="I137" s="25">
        <f>IF(OR(F137="",G137=""),"",F137*G137)</f>
        <v/>
      </c>
      <c r="J137" s="24">
        <f>IF(OR(F137="",G137=""),"",ROUND(G137*(1+F137/30),1))</f>
        <v/>
      </c>
      <c r="K137" s="26" t="n"/>
    </row>
    <row r="138" ht="18" customHeight="1">
      <c r="A138" s="15" t="n"/>
      <c r="B138" s="16">
        <f>IF(A138="","",IFERROR(INT((A138-DATE(2026,4,27))/7)+1,""))</f>
        <v/>
      </c>
      <c r="C138" s="16" t="n"/>
      <c r="D138" s="17" t="n"/>
      <c r="E138" s="16" t="n"/>
      <c r="F138" s="16" t="n"/>
      <c r="G138" s="18" t="n"/>
      <c r="H138" s="16" t="n"/>
      <c r="I138" s="19">
        <f>IF(OR(F138="",G138=""),"",F138*G138)</f>
        <v/>
      </c>
      <c r="J138" s="18">
        <f>IF(OR(F138="",G138=""),"",ROUND(G138*(1+F138/30),1))</f>
        <v/>
      </c>
      <c r="K138" s="20" t="n"/>
    </row>
    <row r="139" ht="18" customHeight="1">
      <c r="A139" s="21" t="n"/>
      <c r="B139" s="22">
        <f>IF(A139="","",IFERROR(INT((A139-DATE(2026,4,27))/7)+1,""))</f>
        <v/>
      </c>
      <c r="C139" s="22" t="n"/>
      <c r="D139" s="23" t="n"/>
      <c r="E139" s="22" t="n"/>
      <c r="F139" s="22" t="n"/>
      <c r="G139" s="24" t="n"/>
      <c r="H139" s="22" t="n"/>
      <c r="I139" s="25">
        <f>IF(OR(F139="",G139=""),"",F139*G139)</f>
        <v/>
      </c>
      <c r="J139" s="24">
        <f>IF(OR(F139="",G139=""),"",ROUND(G139*(1+F139/30),1))</f>
        <v/>
      </c>
      <c r="K139" s="26" t="n"/>
    </row>
    <row r="140" ht="18" customHeight="1">
      <c r="A140" s="15" t="n"/>
      <c r="B140" s="16">
        <f>IF(A140="","",IFERROR(INT((A140-DATE(2026,4,27))/7)+1,""))</f>
        <v/>
      </c>
      <c r="C140" s="16" t="n"/>
      <c r="D140" s="17" t="n"/>
      <c r="E140" s="16" t="n"/>
      <c r="F140" s="16" t="n"/>
      <c r="G140" s="18" t="n"/>
      <c r="H140" s="16" t="n"/>
      <c r="I140" s="19">
        <f>IF(OR(F140="",G140=""),"",F140*G140)</f>
        <v/>
      </c>
      <c r="J140" s="18">
        <f>IF(OR(F140="",G140=""),"",ROUND(G140*(1+F140/30),1))</f>
        <v/>
      </c>
      <c r="K140" s="20" t="n"/>
    </row>
    <row r="141" ht="18" customHeight="1">
      <c r="A141" s="21" t="n"/>
      <c r="B141" s="22">
        <f>IF(A141="","",IFERROR(INT((A141-DATE(2026,4,27))/7)+1,""))</f>
        <v/>
      </c>
      <c r="C141" s="22" t="n"/>
      <c r="D141" s="23" t="n"/>
      <c r="E141" s="22" t="n"/>
      <c r="F141" s="22" t="n"/>
      <c r="G141" s="24" t="n"/>
      <c r="H141" s="22" t="n"/>
      <c r="I141" s="25">
        <f>IF(OR(F141="",G141=""),"",F141*G141)</f>
        <v/>
      </c>
      <c r="J141" s="24">
        <f>IF(OR(F141="",G141=""),"",ROUND(G141*(1+F141/30),1))</f>
        <v/>
      </c>
      <c r="K141" s="26" t="n"/>
    </row>
    <row r="142" ht="18" customHeight="1">
      <c r="A142" s="15" t="n"/>
      <c r="B142" s="16">
        <f>IF(A142="","",IFERROR(INT((A142-DATE(2026,4,27))/7)+1,""))</f>
        <v/>
      </c>
      <c r="C142" s="16" t="n"/>
      <c r="D142" s="17" t="n"/>
      <c r="E142" s="16" t="n"/>
      <c r="F142" s="16" t="n"/>
      <c r="G142" s="18" t="n"/>
      <c r="H142" s="16" t="n"/>
      <c r="I142" s="19">
        <f>IF(OR(F142="",G142=""),"",F142*G142)</f>
        <v/>
      </c>
      <c r="J142" s="18">
        <f>IF(OR(F142="",G142=""),"",ROUND(G142*(1+F142/30),1))</f>
        <v/>
      </c>
      <c r="K142" s="20" t="n"/>
    </row>
    <row r="143" ht="18" customHeight="1">
      <c r="A143" s="21" t="n"/>
      <c r="B143" s="22">
        <f>IF(A143="","",IFERROR(INT((A143-DATE(2026,4,27))/7)+1,""))</f>
        <v/>
      </c>
      <c r="C143" s="22" t="n"/>
      <c r="D143" s="23" t="n"/>
      <c r="E143" s="22" t="n"/>
      <c r="F143" s="22" t="n"/>
      <c r="G143" s="24" t="n"/>
      <c r="H143" s="22" t="n"/>
      <c r="I143" s="25">
        <f>IF(OR(F143="",G143=""),"",F143*G143)</f>
        <v/>
      </c>
      <c r="J143" s="24">
        <f>IF(OR(F143="",G143=""),"",ROUND(G143*(1+F143/30),1))</f>
        <v/>
      </c>
      <c r="K143" s="26" t="n"/>
    </row>
    <row r="144" ht="18" customHeight="1">
      <c r="A144" s="15" t="n"/>
      <c r="B144" s="16">
        <f>IF(A144="","",IFERROR(INT((A144-DATE(2026,4,27))/7)+1,""))</f>
        <v/>
      </c>
      <c r="C144" s="16" t="n"/>
      <c r="D144" s="17" t="n"/>
      <c r="E144" s="16" t="n"/>
      <c r="F144" s="16" t="n"/>
      <c r="G144" s="18" t="n"/>
      <c r="H144" s="16" t="n"/>
      <c r="I144" s="19">
        <f>IF(OR(F144="",G144=""),"",F144*G144)</f>
        <v/>
      </c>
      <c r="J144" s="18">
        <f>IF(OR(F144="",G144=""),"",ROUND(G144*(1+F144/30),1))</f>
        <v/>
      </c>
      <c r="K144" s="20" t="n"/>
    </row>
    <row r="145" ht="18" customHeight="1">
      <c r="A145" s="21" t="n"/>
      <c r="B145" s="22">
        <f>IF(A145="","",IFERROR(INT((A145-DATE(2026,4,27))/7)+1,""))</f>
        <v/>
      </c>
      <c r="C145" s="22" t="n"/>
      <c r="D145" s="23" t="n"/>
      <c r="E145" s="22" t="n"/>
      <c r="F145" s="22" t="n"/>
      <c r="G145" s="24" t="n"/>
      <c r="H145" s="22" t="n"/>
      <c r="I145" s="25">
        <f>IF(OR(F145="",G145=""),"",F145*G145)</f>
        <v/>
      </c>
      <c r="J145" s="24">
        <f>IF(OR(F145="",G145=""),"",ROUND(G145*(1+F145/30),1))</f>
        <v/>
      </c>
      <c r="K145" s="26" t="n"/>
    </row>
    <row r="146" ht="18" customHeight="1">
      <c r="A146" s="15" t="n"/>
      <c r="B146" s="16">
        <f>IF(A146="","",IFERROR(INT((A146-DATE(2026,4,27))/7)+1,""))</f>
        <v/>
      </c>
      <c r="C146" s="16" t="n"/>
      <c r="D146" s="17" t="n"/>
      <c r="E146" s="16" t="n"/>
      <c r="F146" s="16" t="n"/>
      <c r="G146" s="18" t="n"/>
      <c r="H146" s="16" t="n"/>
      <c r="I146" s="19">
        <f>IF(OR(F146="",G146=""),"",F146*G146)</f>
        <v/>
      </c>
      <c r="J146" s="18">
        <f>IF(OR(F146="",G146=""),"",ROUND(G146*(1+F146/30),1))</f>
        <v/>
      </c>
      <c r="K146" s="20" t="n"/>
    </row>
    <row r="147" ht="18" customHeight="1">
      <c r="A147" s="21" t="n"/>
      <c r="B147" s="22">
        <f>IF(A147="","",IFERROR(INT((A147-DATE(2026,4,27))/7)+1,""))</f>
        <v/>
      </c>
      <c r="C147" s="22" t="n"/>
      <c r="D147" s="23" t="n"/>
      <c r="E147" s="22" t="n"/>
      <c r="F147" s="22" t="n"/>
      <c r="G147" s="24" t="n"/>
      <c r="H147" s="22" t="n"/>
      <c r="I147" s="25">
        <f>IF(OR(F147="",G147=""),"",F147*G147)</f>
        <v/>
      </c>
      <c r="J147" s="24">
        <f>IF(OR(F147="",G147=""),"",ROUND(G147*(1+F147/30),1))</f>
        <v/>
      </c>
      <c r="K147" s="26" t="n"/>
    </row>
    <row r="148" ht="18" customHeight="1">
      <c r="A148" s="15" t="n"/>
      <c r="B148" s="16">
        <f>IF(A148="","",IFERROR(INT((A148-DATE(2026,4,27))/7)+1,""))</f>
        <v/>
      </c>
      <c r="C148" s="16" t="n"/>
      <c r="D148" s="17" t="n"/>
      <c r="E148" s="16" t="n"/>
      <c r="F148" s="16" t="n"/>
      <c r="G148" s="18" t="n"/>
      <c r="H148" s="16" t="n"/>
      <c r="I148" s="19">
        <f>IF(OR(F148="",G148=""),"",F148*G148)</f>
        <v/>
      </c>
      <c r="J148" s="18">
        <f>IF(OR(F148="",G148=""),"",ROUND(G148*(1+F148/30),1))</f>
        <v/>
      </c>
      <c r="K148" s="20" t="n"/>
    </row>
    <row r="149" ht="18" customHeight="1">
      <c r="A149" s="21" t="n"/>
      <c r="B149" s="22">
        <f>IF(A149="","",IFERROR(INT((A149-DATE(2026,4,27))/7)+1,""))</f>
        <v/>
      </c>
      <c r="C149" s="22" t="n"/>
      <c r="D149" s="23" t="n"/>
      <c r="E149" s="22" t="n"/>
      <c r="F149" s="22" t="n"/>
      <c r="G149" s="24" t="n"/>
      <c r="H149" s="22" t="n"/>
      <c r="I149" s="25">
        <f>IF(OR(F149="",G149=""),"",F149*G149)</f>
        <v/>
      </c>
      <c r="J149" s="24">
        <f>IF(OR(F149="",G149=""),"",ROUND(G149*(1+F149/30),1))</f>
        <v/>
      </c>
      <c r="K149" s="26" t="n"/>
    </row>
    <row r="150" ht="18" customHeight="1">
      <c r="A150" s="15" t="n"/>
      <c r="B150" s="16">
        <f>IF(A150="","",IFERROR(INT((A150-DATE(2026,4,27))/7)+1,""))</f>
        <v/>
      </c>
      <c r="C150" s="16" t="n"/>
      <c r="D150" s="17" t="n"/>
      <c r="E150" s="16" t="n"/>
      <c r="F150" s="16" t="n"/>
      <c r="G150" s="18" t="n"/>
      <c r="H150" s="16" t="n"/>
      <c r="I150" s="19">
        <f>IF(OR(F150="",G150=""),"",F150*G150)</f>
        <v/>
      </c>
      <c r="J150" s="18">
        <f>IF(OR(F150="",G150=""),"",ROUND(G150*(1+F150/30),1))</f>
        <v/>
      </c>
      <c r="K150" s="20" t="n"/>
    </row>
    <row r="151" ht="18" customHeight="1">
      <c r="A151" s="21" t="n"/>
      <c r="B151" s="22">
        <f>IF(A151="","",IFERROR(INT((A151-DATE(2026,4,27))/7)+1,""))</f>
        <v/>
      </c>
      <c r="C151" s="22" t="n"/>
      <c r="D151" s="23" t="n"/>
      <c r="E151" s="22" t="n"/>
      <c r="F151" s="22" t="n"/>
      <c r="G151" s="24" t="n"/>
      <c r="H151" s="22" t="n"/>
      <c r="I151" s="25">
        <f>IF(OR(F151="",G151=""),"",F151*G151)</f>
        <v/>
      </c>
      <c r="J151" s="24">
        <f>IF(OR(F151="",G151=""),"",ROUND(G151*(1+F151/30),1))</f>
        <v/>
      </c>
      <c r="K151" s="26" t="n"/>
    </row>
    <row r="152" ht="18" customHeight="1">
      <c r="A152" s="15" t="n"/>
      <c r="B152" s="16">
        <f>IF(A152="","",IFERROR(INT((A152-DATE(2026,4,27))/7)+1,""))</f>
        <v/>
      </c>
      <c r="C152" s="16" t="n"/>
      <c r="D152" s="17" t="n"/>
      <c r="E152" s="16" t="n"/>
      <c r="F152" s="16" t="n"/>
      <c r="G152" s="18" t="n"/>
      <c r="H152" s="16" t="n"/>
      <c r="I152" s="19">
        <f>IF(OR(F152="",G152=""),"",F152*G152)</f>
        <v/>
      </c>
      <c r="J152" s="18">
        <f>IF(OR(F152="",G152=""),"",ROUND(G152*(1+F152/30),1))</f>
        <v/>
      </c>
      <c r="K152" s="20" t="n"/>
    </row>
    <row r="153" ht="18" customHeight="1">
      <c r="A153" s="21" t="n"/>
      <c r="B153" s="22">
        <f>IF(A153="","",IFERROR(INT((A153-DATE(2026,4,27))/7)+1,""))</f>
        <v/>
      </c>
      <c r="C153" s="22" t="n"/>
      <c r="D153" s="23" t="n"/>
      <c r="E153" s="22" t="n"/>
      <c r="F153" s="22" t="n"/>
      <c r="G153" s="24" t="n"/>
      <c r="H153" s="22" t="n"/>
      <c r="I153" s="25">
        <f>IF(OR(F153="",G153=""),"",F153*G153)</f>
        <v/>
      </c>
      <c r="J153" s="24">
        <f>IF(OR(F153="",G153=""),"",ROUND(G153*(1+F153/30),1))</f>
        <v/>
      </c>
      <c r="K153" s="26" t="n"/>
    </row>
    <row r="154" ht="18" customHeight="1">
      <c r="A154" s="15" t="n"/>
      <c r="B154" s="16">
        <f>IF(A154="","",IFERROR(INT((A154-DATE(2026,4,27))/7)+1,""))</f>
        <v/>
      </c>
      <c r="C154" s="16" t="n"/>
      <c r="D154" s="17" t="n"/>
      <c r="E154" s="16" t="n"/>
      <c r="F154" s="16" t="n"/>
      <c r="G154" s="18" t="n"/>
      <c r="H154" s="16" t="n"/>
      <c r="I154" s="19">
        <f>IF(OR(F154="",G154=""),"",F154*G154)</f>
        <v/>
      </c>
      <c r="J154" s="18">
        <f>IF(OR(F154="",G154=""),"",ROUND(G154*(1+F154/30),1))</f>
        <v/>
      </c>
      <c r="K154" s="20" t="n"/>
    </row>
    <row r="155" ht="18" customHeight="1">
      <c r="A155" s="21" t="n"/>
      <c r="B155" s="22">
        <f>IF(A155="","",IFERROR(INT((A155-DATE(2026,4,27))/7)+1,""))</f>
        <v/>
      </c>
      <c r="C155" s="22" t="n"/>
      <c r="D155" s="23" t="n"/>
      <c r="E155" s="22" t="n"/>
      <c r="F155" s="22" t="n"/>
      <c r="G155" s="24" t="n"/>
      <c r="H155" s="22" t="n"/>
      <c r="I155" s="25">
        <f>IF(OR(F155="",G155=""),"",F155*G155)</f>
        <v/>
      </c>
      <c r="J155" s="24">
        <f>IF(OR(F155="",G155=""),"",ROUND(G155*(1+F155/30),1))</f>
        <v/>
      </c>
      <c r="K155" s="26" t="n"/>
    </row>
    <row r="156" ht="18" customHeight="1">
      <c r="A156" s="15" t="n"/>
      <c r="B156" s="16">
        <f>IF(A156="","",IFERROR(INT((A156-DATE(2026,4,27))/7)+1,""))</f>
        <v/>
      </c>
      <c r="C156" s="16" t="n"/>
      <c r="D156" s="17" t="n"/>
      <c r="E156" s="16" t="n"/>
      <c r="F156" s="16" t="n"/>
      <c r="G156" s="18" t="n"/>
      <c r="H156" s="16" t="n"/>
      <c r="I156" s="19">
        <f>IF(OR(F156="",G156=""),"",F156*G156)</f>
        <v/>
      </c>
      <c r="J156" s="18">
        <f>IF(OR(F156="",G156=""),"",ROUND(G156*(1+F156/30),1))</f>
        <v/>
      </c>
      <c r="K156" s="20" t="n"/>
    </row>
    <row r="157" ht="18" customHeight="1">
      <c r="A157" s="21" t="n"/>
      <c r="B157" s="22">
        <f>IF(A157="","",IFERROR(INT((A157-DATE(2026,4,27))/7)+1,""))</f>
        <v/>
      </c>
      <c r="C157" s="22" t="n"/>
      <c r="D157" s="23" t="n"/>
      <c r="E157" s="22" t="n"/>
      <c r="F157" s="22" t="n"/>
      <c r="G157" s="24" t="n"/>
      <c r="H157" s="22" t="n"/>
      <c r="I157" s="25">
        <f>IF(OR(F157="",G157=""),"",F157*G157)</f>
        <v/>
      </c>
      <c r="J157" s="24">
        <f>IF(OR(F157="",G157=""),"",ROUND(G157*(1+F157/30),1))</f>
        <v/>
      </c>
      <c r="K157" s="26" t="n"/>
    </row>
    <row r="158" ht="18" customHeight="1">
      <c r="A158" s="15" t="n"/>
      <c r="B158" s="16">
        <f>IF(A158="","",IFERROR(INT((A158-DATE(2026,4,27))/7)+1,""))</f>
        <v/>
      </c>
      <c r="C158" s="16" t="n"/>
      <c r="D158" s="17" t="n"/>
      <c r="E158" s="16" t="n"/>
      <c r="F158" s="16" t="n"/>
      <c r="G158" s="18" t="n"/>
      <c r="H158" s="16" t="n"/>
      <c r="I158" s="19">
        <f>IF(OR(F158="",G158=""),"",F158*G158)</f>
        <v/>
      </c>
      <c r="J158" s="18">
        <f>IF(OR(F158="",G158=""),"",ROUND(G158*(1+F158/30),1))</f>
        <v/>
      </c>
      <c r="K158" s="20" t="n"/>
    </row>
    <row r="159" ht="18" customHeight="1">
      <c r="A159" s="21" t="n"/>
      <c r="B159" s="22">
        <f>IF(A159="","",IFERROR(INT((A159-DATE(2026,4,27))/7)+1,""))</f>
        <v/>
      </c>
      <c r="C159" s="22" t="n"/>
      <c r="D159" s="23" t="n"/>
      <c r="E159" s="22" t="n"/>
      <c r="F159" s="22" t="n"/>
      <c r="G159" s="24" t="n"/>
      <c r="H159" s="22" t="n"/>
      <c r="I159" s="25">
        <f>IF(OR(F159="",G159=""),"",F159*G159)</f>
        <v/>
      </c>
      <c r="J159" s="24">
        <f>IF(OR(F159="",G159=""),"",ROUND(G159*(1+F159/30),1))</f>
        <v/>
      </c>
      <c r="K159" s="26" t="n"/>
    </row>
    <row r="160" ht="18" customHeight="1">
      <c r="A160" s="15" t="n"/>
      <c r="B160" s="16">
        <f>IF(A160="","",IFERROR(INT((A160-DATE(2026,4,27))/7)+1,""))</f>
        <v/>
      </c>
      <c r="C160" s="16" t="n"/>
      <c r="D160" s="17" t="n"/>
      <c r="E160" s="16" t="n"/>
      <c r="F160" s="16" t="n"/>
      <c r="G160" s="18" t="n"/>
      <c r="H160" s="16" t="n"/>
      <c r="I160" s="19">
        <f>IF(OR(F160="",G160=""),"",F160*G160)</f>
        <v/>
      </c>
      <c r="J160" s="18">
        <f>IF(OR(F160="",G160=""),"",ROUND(G160*(1+F160/30),1))</f>
        <v/>
      </c>
      <c r="K160" s="20" t="n"/>
    </row>
    <row r="161" ht="18" customHeight="1">
      <c r="A161" s="21" t="n"/>
      <c r="B161" s="22">
        <f>IF(A161="","",IFERROR(INT((A161-DATE(2026,4,27))/7)+1,""))</f>
        <v/>
      </c>
      <c r="C161" s="22" t="n"/>
      <c r="D161" s="23" t="n"/>
      <c r="E161" s="22" t="n"/>
      <c r="F161" s="22" t="n"/>
      <c r="G161" s="24" t="n"/>
      <c r="H161" s="22" t="n"/>
      <c r="I161" s="25">
        <f>IF(OR(F161="",G161=""),"",F161*G161)</f>
        <v/>
      </c>
      <c r="J161" s="24">
        <f>IF(OR(F161="",G161=""),"",ROUND(G161*(1+F161/30),1))</f>
        <v/>
      </c>
      <c r="K161" s="26" t="n"/>
    </row>
    <row r="162" ht="18" customHeight="1">
      <c r="A162" s="15" t="n"/>
      <c r="B162" s="16">
        <f>IF(A162="","",IFERROR(INT((A162-DATE(2026,4,27))/7)+1,""))</f>
        <v/>
      </c>
      <c r="C162" s="16" t="n"/>
      <c r="D162" s="17" t="n"/>
      <c r="E162" s="16" t="n"/>
      <c r="F162" s="16" t="n"/>
      <c r="G162" s="18" t="n"/>
      <c r="H162" s="16" t="n"/>
      <c r="I162" s="19">
        <f>IF(OR(F162="",G162=""),"",F162*G162)</f>
        <v/>
      </c>
      <c r="J162" s="18">
        <f>IF(OR(F162="",G162=""),"",ROUND(G162*(1+F162/30),1))</f>
        <v/>
      </c>
      <c r="K162" s="20" t="n"/>
    </row>
    <row r="163" ht="18" customHeight="1">
      <c r="A163" s="21" t="n"/>
      <c r="B163" s="22">
        <f>IF(A163="","",IFERROR(INT((A163-DATE(2026,4,27))/7)+1,""))</f>
        <v/>
      </c>
      <c r="C163" s="22" t="n"/>
      <c r="D163" s="23" t="n"/>
      <c r="E163" s="22" t="n"/>
      <c r="F163" s="22" t="n"/>
      <c r="G163" s="24" t="n"/>
      <c r="H163" s="22" t="n"/>
      <c r="I163" s="25">
        <f>IF(OR(F163="",G163=""),"",F163*G163)</f>
        <v/>
      </c>
      <c r="J163" s="24">
        <f>IF(OR(F163="",G163=""),"",ROUND(G163*(1+F163/30),1))</f>
        <v/>
      </c>
      <c r="K163" s="26" t="n"/>
    </row>
    <row r="164" ht="18" customHeight="1">
      <c r="A164" s="15" t="n"/>
      <c r="B164" s="16">
        <f>IF(A164="","",IFERROR(INT((A164-DATE(2026,4,27))/7)+1,""))</f>
        <v/>
      </c>
      <c r="C164" s="16" t="n"/>
      <c r="D164" s="17" t="n"/>
      <c r="E164" s="16" t="n"/>
      <c r="F164" s="16" t="n"/>
      <c r="G164" s="18" t="n"/>
      <c r="H164" s="16" t="n"/>
      <c r="I164" s="19">
        <f>IF(OR(F164="",G164=""),"",F164*G164)</f>
        <v/>
      </c>
      <c r="J164" s="18">
        <f>IF(OR(F164="",G164=""),"",ROUND(G164*(1+F164/30),1))</f>
        <v/>
      </c>
      <c r="K164" s="20" t="n"/>
    </row>
    <row r="165" ht="18" customHeight="1">
      <c r="A165" s="21" t="n"/>
      <c r="B165" s="22">
        <f>IF(A165="","",IFERROR(INT((A165-DATE(2026,4,27))/7)+1,""))</f>
        <v/>
      </c>
      <c r="C165" s="22" t="n"/>
      <c r="D165" s="23" t="n"/>
      <c r="E165" s="22" t="n"/>
      <c r="F165" s="22" t="n"/>
      <c r="G165" s="24" t="n"/>
      <c r="H165" s="22" t="n"/>
      <c r="I165" s="25">
        <f>IF(OR(F165="",G165=""),"",F165*G165)</f>
        <v/>
      </c>
      <c r="J165" s="24">
        <f>IF(OR(F165="",G165=""),"",ROUND(G165*(1+F165/30),1))</f>
        <v/>
      </c>
      <c r="K165" s="26" t="n"/>
    </row>
    <row r="166" ht="18" customHeight="1">
      <c r="A166" s="15" t="n"/>
      <c r="B166" s="16">
        <f>IF(A166="","",IFERROR(INT((A166-DATE(2026,4,27))/7)+1,""))</f>
        <v/>
      </c>
      <c r="C166" s="16" t="n"/>
      <c r="D166" s="17" t="n"/>
      <c r="E166" s="16" t="n"/>
      <c r="F166" s="16" t="n"/>
      <c r="G166" s="18" t="n"/>
      <c r="H166" s="16" t="n"/>
      <c r="I166" s="19">
        <f>IF(OR(F166="",G166=""),"",F166*G166)</f>
        <v/>
      </c>
      <c r="J166" s="18">
        <f>IF(OR(F166="",G166=""),"",ROUND(G166*(1+F166/30),1))</f>
        <v/>
      </c>
      <c r="K166" s="20" t="n"/>
    </row>
    <row r="167" ht="18" customHeight="1">
      <c r="A167" s="21" t="n"/>
      <c r="B167" s="22">
        <f>IF(A167="","",IFERROR(INT((A167-DATE(2026,4,27))/7)+1,""))</f>
        <v/>
      </c>
      <c r="C167" s="22" t="n"/>
      <c r="D167" s="23" t="n"/>
      <c r="E167" s="22" t="n"/>
      <c r="F167" s="22" t="n"/>
      <c r="G167" s="24" t="n"/>
      <c r="H167" s="22" t="n"/>
      <c r="I167" s="25">
        <f>IF(OR(F167="",G167=""),"",F167*G167)</f>
        <v/>
      </c>
      <c r="J167" s="24">
        <f>IF(OR(F167="",G167=""),"",ROUND(G167*(1+F167/30),1))</f>
        <v/>
      </c>
      <c r="K167" s="26" t="n"/>
    </row>
    <row r="168" ht="18" customHeight="1">
      <c r="A168" s="15" t="n"/>
      <c r="B168" s="16">
        <f>IF(A168="","",IFERROR(INT((A168-DATE(2026,4,27))/7)+1,""))</f>
        <v/>
      </c>
      <c r="C168" s="16" t="n"/>
      <c r="D168" s="17" t="n"/>
      <c r="E168" s="16" t="n"/>
      <c r="F168" s="16" t="n"/>
      <c r="G168" s="18" t="n"/>
      <c r="H168" s="16" t="n"/>
      <c r="I168" s="19">
        <f>IF(OR(F168="",G168=""),"",F168*G168)</f>
        <v/>
      </c>
      <c r="J168" s="18">
        <f>IF(OR(F168="",G168=""),"",ROUND(G168*(1+F168/30),1))</f>
        <v/>
      </c>
      <c r="K168" s="20" t="n"/>
    </row>
    <row r="169" ht="18" customHeight="1">
      <c r="A169" s="21" t="n"/>
      <c r="B169" s="22">
        <f>IF(A169="","",IFERROR(INT((A169-DATE(2026,4,27))/7)+1,""))</f>
        <v/>
      </c>
      <c r="C169" s="22" t="n"/>
      <c r="D169" s="23" t="n"/>
      <c r="E169" s="22" t="n"/>
      <c r="F169" s="22" t="n"/>
      <c r="G169" s="24" t="n"/>
      <c r="H169" s="22" t="n"/>
      <c r="I169" s="25">
        <f>IF(OR(F169="",G169=""),"",F169*G169)</f>
        <v/>
      </c>
      <c r="J169" s="24">
        <f>IF(OR(F169="",G169=""),"",ROUND(G169*(1+F169/30),1))</f>
        <v/>
      </c>
      <c r="K169" s="26" t="n"/>
    </row>
    <row r="170" ht="18" customHeight="1">
      <c r="A170" s="15" t="n"/>
      <c r="B170" s="16">
        <f>IF(A170="","",IFERROR(INT((A170-DATE(2026,4,27))/7)+1,""))</f>
        <v/>
      </c>
      <c r="C170" s="16" t="n"/>
      <c r="D170" s="17" t="n"/>
      <c r="E170" s="16" t="n"/>
      <c r="F170" s="16" t="n"/>
      <c r="G170" s="18" t="n"/>
      <c r="H170" s="16" t="n"/>
      <c r="I170" s="19">
        <f>IF(OR(F170="",G170=""),"",F170*G170)</f>
        <v/>
      </c>
      <c r="J170" s="18">
        <f>IF(OR(F170="",G170=""),"",ROUND(G170*(1+F170/30),1))</f>
        <v/>
      </c>
      <c r="K170" s="20" t="n"/>
    </row>
    <row r="171" ht="18" customHeight="1">
      <c r="A171" s="21" t="n"/>
      <c r="B171" s="22">
        <f>IF(A171="","",IFERROR(INT((A171-DATE(2026,4,27))/7)+1,""))</f>
        <v/>
      </c>
      <c r="C171" s="22" t="n"/>
      <c r="D171" s="23" t="n"/>
      <c r="E171" s="22" t="n"/>
      <c r="F171" s="22" t="n"/>
      <c r="G171" s="24" t="n"/>
      <c r="H171" s="22" t="n"/>
      <c r="I171" s="25">
        <f>IF(OR(F171="",G171=""),"",F171*G171)</f>
        <v/>
      </c>
      <c r="J171" s="24">
        <f>IF(OR(F171="",G171=""),"",ROUND(G171*(1+F171/30),1))</f>
        <v/>
      </c>
      <c r="K171" s="26" t="n"/>
    </row>
    <row r="172" ht="18" customHeight="1">
      <c r="A172" s="15" t="n"/>
      <c r="B172" s="16">
        <f>IF(A172="","",IFERROR(INT((A172-DATE(2026,4,27))/7)+1,""))</f>
        <v/>
      </c>
      <c r="C172" s="16" t="n"/>
      <c r="D172" s="17" t="n"/>
      <c r="E172" s="16" t="n"/>
      <c r="F172" s="16" t="n"/>
      <c r="G172" s="18" t="n"/>
      <c r="H172" s="16" t="n"/>
      <c r="I172" s="19">
        <f>IF(OR(F172="",G172=""),"",F172*G172)</f>
        <v/>
      </c>
      <c r="J172" s="18">
        <f>IF(OR(F172="",G172=""),"",ROUND(G172*(1+F172/30),1))</f>
        <v/>
      </c>
      <c r="K172" s="20" t="n"/>
    </row>
    <row r="173" ht="18" customHeight="1">
      <c r="A173" s="21" t="n"/>
      <c r="B173" s="22">
        <f>IF(A173="","",IFERROR(INT((A173-DATE(2026,4,27))/7)+1,""))</f>
        <v/>
      </c>
      <c r="C173" s="22" t="n"/>
      <c r="D173" s="23" t="n"/>
      <c r="E173" s="22" t="n"/>
      <c r="F173" s="22" t="n"/>
      <c r="G173" s="24" t="n"/>
      <c r="H173" s="22" t="n"/>
      <c r="I173" s="25">
        <f>IF(OR(F173="",G173=""),"",F173*G173)</f>
        <v/>
      </c>
      <c r="J173" s="24">
        <f>IF(OR(F173="",G173=""),"",ROUND(G173*(1+F173/30),1))</f>
        <v/>
      </c>
      <c r="K173" s="26" t="n"/>
    </row>
    <row r="174" ht="18" customHeight="1">
      <c r="A174" s="15" t="n"/>
      <c r="B174" s="16">
        <f>IF(A174="","",IFERROR(INT((A174-DATE(2026,4,27))/7)+1,""))</f>
        <v/>
      </c>
      <c r="C174" s="16" t="n"/>
      <c r="D174" s="17" t="n"/>
      <c r="E174" s="16" t="n"/>
      <c r="F174" s="16" t="n"/>
      <c r="G174" s="18" t="n"/>
      <c r="H174" s="16" t="n"/>
      <c r="I174" s="19">
        <f>IF(OR(F174="",G174=""),"",F174*G174)</f>
        <v/>
      </c>
      <c r="J174" s="18">
        <f>IF(OR(F174="",G174=""),"",ROUND(G174*(1+F174/30),1))</f>
        <v/>
      </c>
      <c r="K174" s="20" t="n"/>
    </row>
    <row r="175" ht="18" customHeight="1">
      <c r="A175" s="21" t="n"/>
      <c r="B175" s="22">
        <f>IF(A175="","",IFERROR(INT((A175-DATE(2026,4,27))/7)+1,""))</f>
        <v/>
      </c>
      <c r="C175" s="22" t="n"/>
      <c r="D175" s="23" t="n"/>
      <c r="E175" s="22" t="n"/>
      <c r="F175" s="22" t="n"/>
      <c r="G175" s="24" t="n"/>
      <c r="H175" s="22" t="n"/>
      <c r="I175" s="25">
        <f>IF(OR(F175="",G175=""),"",F175*G175)</f>
        <v/>
      </c>
      <c r="J175" s="24">
        <f>IF(OR(F175="",G175=""),"",ROUND(G175*(1+F175/30),1))</f>
        <v/>
      </c>
      <c r="K175" s="26" t="n"/>
    </row>
    <row r="176" ht="18" customHeight="1">
      <c r="A176" s="15" t="n"/>
      <c r="B176" s="16">
        <f>IF(A176="","",IFERROR(INT((A176-DATE(2026,4,27))/7)+1,""))</f>
        <v/>
      </c>
      <c r="C176" s="16" t="n"/>
      <c r="D176" s="17" t="n"/>
      <c r="E176" s="16" t="n"/>
      <c r="F176" s="16" t="n"/>
      <c r="G176" s="18" t="n"/>
      <c r="H176" s="16" t="n"/>
      <c r="I176" s="19">
        <f>IF(OR(F176="",G176=""),"",F176*G176)</f>
        <v/>
      </c>
      <c r="J176" s="18">
        <f>IF(OR(F176="",G176=""),"",ROUND(G176*(1+F176/30),1))</f>
        <v/>
      </c>
      <c r="K176" s="20" t="n"/>
    </row>
    <row r="177" ht="18" customHeight="1">
      <c r="A177" s="21" t="n"/>
      <c r="B177" s="22">
        <f>IF(A177="","",IFERROR(INT((A177-DATE(2026,4,27))/7)+1,""))</f>
        <v/>
      </c>
      <c r="C177" s="22" t="n"/>
      <c r="D177" s="23" t="n"/>
      <c r="E177" s="22" t="n"/>
      <c r="F177" s="22" t="n"/>
      <c r="G177" s="24" t="n"/>
      <c r="H177" s="22" t="n"/>
      <c r="I177" s="25">
        <f>IF(OR(F177="",G177=""),"",F177*G177)</f>
        <v/>
      </c>
      <c r="J177" s="24">
        <f>IF(OR(F177="",G177=""),"",ROUND(G177*(1+F177/30),1))</f>
        <v/>
      </c>
      <c r="K177" s="26" t="n"/>
    </row>
    <row r="178" ht="18" customHeight="1">
      <c r="A178" s="15" t="n"/>
      <c r="B178" s="16">
        <f>IF(A178="","",IFERROR(INT((A178-DATE(2026,4,27))/7)+1,""))</f>
        <v/>
      </c>
      <c r="C178" s="16" t="n"/>
      <c r="D178" s="17" t="n"/>
      <c r="E178" s="16" t="n"/>
      <c r="F178" s="16" t="n"/>
      <c r="G178" s="18" t="n"/>
      <c r="H178" s="16" t="n"/>
      <c r="I178" s="19">
        <f>IF(OR(F178="",G178=""),"",F178*G178)</f>
        <v/>
      </c>
      <c r="J178" s="18">
        <f>IF(OR(F178="",G178=""),"",ROUND(G178*(1+F178/30),1))</f>
        <v/>
      </c>
      <c r="K178" s="20" t="n"/>
    </row>
    <row r="179" ht="18" customHeight="1">
      <c r="A179" s="21" t="n"/>
      <c r="B179" s="22">
        <f>IF(A179="","",IFERROR(INT((A179-DATE(2026,4,27))/7)+1,""))</f>
        <v/>
      </c>
      <c r="C179" s="22" t="n"/>
      <c r="D179" s="23" t="n"/>
      <c r="E179" s="22" t="n"/>
      <c r="F179" s="22" t="n"/>
      <c r="G179" s="24" t="n"/>
      <c r="H179" s="22" t="n"/>
      <c r="I179" s="25">
        <f>IF(OR(F179="",G179=""),"",F179*G179)</f>
        <v/>
      </c>
      <c r="J179" s="24">
        <f>IF(OR(F179="",G179=""),"",ROUND(G179*(1+F179/30),1))</f>
        <v/>
      </c>
      <c r="K179" s="26" t="n"/>
    </row>
    <row r="180" ht="18" customHeight="1">
      <c r="A180" s="15" t="n"/>
      <c r="B180" s="16">
        <f>IF(A180="","",IFERROR(INT((A180-DATE(2026,4,27))/7)+1,""))</f>
        <v/>
      </c>
      <c r="C180" s="16" t="n"/>
      <c r="D180" s="17" t="n"/>
      <c r="E180" s="16" t="n"/>
      <c r="F180" s="16" t="n"/>
      <c r="G180" s="18" t="n"/>
      <c r="H180" s="16" t="n"/>
      <c r="I180" s="19">
        <f>IF(OR(F180="",G180=""),"",F180*G180)</f>
        <v/>
      </c>
      <c r="J180" s="18">
        <f>IF(OR(F180="",G180=""),"",ROUND(G180*(1+F180/30),1))</f>
        <v/>
      </c>
      <c r="K180" s="20" t="n"/>
    </row>
    <row r="181" ht="18" customHeight="1">
      <c r="A181" s="21" t="n"/>
      <c r="B181" s="22">
        <f>IF(A181="","",IFERROR(INT((A181-DATE(2026,4,27))/7)+1,""))</f>
        <v/>
      </c>
      <c r="C181" s="22" t="n"/>
      <c r="D181" s="23" t="n"/>
      <c r="E181" s="22" t="n"/>
      <c r="F181" s="22" t="n"/>
      <c r="G181" s="24" t="n"/>
      <c r="H181" s="22" t="n"/>
      <c r="I181" s="25">
        <f>IF(OR(F181="",G181=""),"",F181*G181)</f>
        <v/>
      </c>
      <c r="J181" s="24">
        <f>IF(OR(F181="",G181=""),"",ROUND(G181*(1+F181/30),1))</f>
        <v/>
      </c>
      <c r="K181" s="26" t="n"/>
    </row>
    <row r="182" ht="18" customHeight="1">
      <c r="A182" s="15" t="n"/>
      <c r="B182" s="16">
        <f>IF(A182="","",IFERROR(INT((A182-DATE(2026,4,27))/7)+1,""))</f>
        <v/>
      </c>
      <c r="C182" s="16" t="n"/>
      <c r="D182" s="17" t="n"/>
      <c r="E182" s="16" t="n"/>
      <c r="F182" s="16" t="n"/>
      <c r="G182" s="18" t="n"/>
      <c r="H182" s="16" t="n"/>
      <c r="I182" s="19">
        <f>IF(OR(F182="",G182=""),"",F182*G182)</f>
        <v/>
      </c>
      <c r="J182" s="18">
        <f>IF(OR(F182="",G182=""),"",ROUND(G182*(1+F182/30),1))</f>
        <v/>
      </c>
      <c r="K182" s="20" t="n"/>
    </row>
    <row r="183" ht="18" customHeight="1">
      <c r="A183" s="21" t="n"/>
      <c r="B183" s="22">
        <f>IF(A183="","",IFERROR(INT((A183-DATE(2026,4,27))/7)+1,""))</f>
        <v/>
      </c>
      <c r="C183" s="22" t="n"/>
      <c r="D183" s="23" t="n"/>
      <c r="E183" s="22" t="n"/>
      <c r="F183" s="22" t="n"/>
      <c r="G183" s="24" t="n"/>
      <c r="H183" s="22" t="n"/>
      <c r="I183" s="25">
        <f>IF(OR(F183="",G183=""),"",F183*G183)</f>
        <v/>
      </c>
      <c r="J183" s="24">
        <f>IF(OR(F183="",G183=""),"",ROUND(G183*(1+F183/30),1))</f>
        <v/>
      </c>
      <c r="K183" s="26" t="n"/>
    </row>
    <row r="184" ht="18" customHeight="1">
      <c r="A184" s="15" t="n"/>
      <c r="B184" s="16">
        <f>IF(A184="","",IFERROR(INT((A184-DATE(2026,4,27))/7)+1,""))</f>
        <v/>
      </c>
      <c r="C184" s="16" t="n"/>
      <c r="D184" s="17" t="n"/>
      <c r="E184" s="16" t="n"/>
      <c r="F184" s="16" t="n"/>
      <c r="G184" s="18" t="n"/>
      <c r="H184" s="16" t="n"/>
      <c r="I184" s="19">
        <f>IF(OR(F184="",G184=""),"",F184*G184)</f>
        <v/>
      </c>
      <c r="J184" s="18">
        <f>IF(OR(F184="",G184=""),"",ROUND(G184*(1+F184/30),1))</f>
        <v/>
      </c>
      <c r="K184" s="20" t="n"/>
    </row>
    <row r="185" ht="18" customHeight="1">
      <c r="A185" s="21" t="n"/>
      <c r="B185" s="22">
        <f>IF(A185="","",IFERROR(INT((A185-DATE(2026,4,27))/7)+1,""))</f>
        <v/>
      </c>
      <c r="C185" s="22" t="n"/>
      <c r="D185" s="23" t="n"/>
      <c r="E185" s="22" t="n"/>
      <c r="F185" s="22" t="n"/>
      <c r="G185" s="24" t="n"/>
      <c r="H185" s="22" t="n"/>
      <c r="I185" s="25">
        <f>IF(OR(F185="",G185=""),"",F185*G185)</f>
        <v/>
      </c>
      <c r="J185" s="24">
        <f>IF(OR(F185="",G185=""),"",ROUND(G185*(1+F185/30),1))</f>
        <v/>
      </c>
      <c r="K185" s="26" t="n"/>
    </row>
    <row r="186" ht="18" customHeight="1">
      <c r="A186" s="15" t="n"/>
      <c r="B186" s="16">
        <f>IF(A186="","",IFERROR(INT((A186-DATE(2026,4,27))/7)+1,""))</f>
        <v/>
      </c>
      <c r="C186" s="16" t="n"/>
      <c r="D186" s="17" t="n"/>
      <c r="E186" s="16" t="n"/>
      <c r="F186" s="16" t="n"/>
      <c r="G186" s="18" t="n"/>
      <c r="H186" s="16" t="n"/>
      <c r="I186" s="19">
        <f>IF(OR(F186="",G186=""),"",F186*G186)</f>
        <v/>
      </c>
      <c r="J186" s="18">
        <f>IF(OR(F186="",G186=""),"",ROUND(G186*(1+F186/30),1))</f>
        <v/>
      </c>
      <c r="K186" s="20" t="n"/>
    </row>
    <row r="187" ht="18" customHeight="1">
      <c r="A187" s="21" t="n"/>
      <c r="B187" s="22">
        <f>IF(A187="","",IFERROR(INT((A187-DATE(2026,4,27))/7)+1,""))</f>
        <v/>
      </c>
      <c r="C187" s="22" t="n"/>
      <c r="D187" s="23" t="n"/>
      <c r="E187" s="22" t="n"/>
      <c r="F187" s="22" t="n"/>
      <c r="G187" s="24" t="n"/>
      <c r="H187" s="22" t="n"/>
      <c r="I187" s="25">
        <f>IF(OR(F187="",G187=""),"",F187*G187)</f>
        <v/>
      </c>
      <c r="J187" s="24">
        <f>IF(OR(F187="",G187=""),"",ROUND(G187*(1+F187/30),1))</f>
        <v/>
      </c>
      <c r="K187" s="26" t="n"/>
    </row>
    <row r="188" ht="18" customHeight="1">
      <c r="A188" s="15" t="n"/>
      <c r="B188" s="16">
        <f>IF(A188="","",IFERROR(INT((A188-DATE(2026,4,27))/7)+1,""))</f>
        <v/>
      </c>
      <c r="C188" s="16" t="n"/>
      <c r="D188" s="17" t="n"/>
      <c r="E188" s="16" t="n"/>
      <c r="F188" s="16" t="n"/>
      <c r="G188" s="18" t="n"/>
      <c r="H188" s="16" t="n"/>
      <c r="I188" s="19">
        <f>IF(OR(F188="",G188=""),"",F188*G188)</f>
        <v/>
      </c>
      <c r="J188" s="18">
        <f>IF(OR(F188="",G188=""),"",ROUND(G188*(1+F188/30),1))</f>
        <v/>
      </c>
      <c r="K188" s="20" t="n"/>
    </row>
    <row r="189" ht="18" customHeight="1">
      <c r="A189" s="21" t="n"/>
      <c r="B189" s="22">
        <f>IF(A189="","",IFERROR(INT((A189-DATE(2026,4,27))/7)+1,""))</f>
        <v/>
      </c>
      <c r="C189" s="22" t="n"/>
      <c r="D189" s="23" t="n"/>
      <c r="E189" s="22" t="n"/>
      <c r="F189" s="22" t="n"/>
      <c r="G189" s="24" t="n"/>
      <c r="H189" s="22" t="n"/>
      <c r="I189" s="25">
        <f>IF(OR(F189="",G189=""),"",F189*G189)</f>
        <v/>
      </c>
      <c r="J189" s="24">
        <f>IF(OR(F189="",G189=""),"",ROUND(G189*(1+F189/30),1))</f>
        <v/>
      </c>
      <c r="K189" s="26" t="n"/>
    </row>
    <row r="190" ht="18" customHeight="1">
      <c r="A190" s="15" t="n"/>
      <c r="B190" s="16">
        <f>IF(A190="","",IFERROR(INT((A190-DATE(2026,4,27))/7)+1,""))</f>
        <v/>
      </c>
      <c r="C190" s="16" t="n"/>
      <c r="D190" s="17" t="n"/>
      <c r="E190" s="16" t="n"/>
      <c r="F190" s="16" t="n"/>
      <c r="G190" s="18" t="n"/>
      <c r="H190" s="16" t="n"/>
      <c r="I190" s="19">
        <f>IF(OR(F190="",G190=""),"",F190*G190)</f>
        <v/>
      </c>
      <c r="J190" s="18">
        <f>IF(OR(F190="",G190=""),"",ROUND(G190*(1+F190/30),1))</f>
        <v/>
      </c>
      <c r="K190" s="20" t="n"/>
    </row>
    <row r="191" ht="18" customHeight="1">
      <c r="A191" s="21" t="n"/>
      <c r="B191" s="22">
        <f>IF(A191="","",IFERROR(INT((A191-DATE(2026,4,27))/7)+1,""))</f>
        <v/>
      </c>
      <c r="C191" s="22" t="n"/>
      <c r="D191" s="23" t="n"/>
      <c r="E191" s="22" t="n"/>
      <c r="F191" s="22" t="n"/>
      <c r="G191" s="24" t="n"/>
      <c r="H191" s="22" t="n"/>
      <c r="I191" s="25">
        <f>IF(OR(F191="",G191=""),"",F191*G191)</f>
        <v/>
      </c>
      <c r="J191" s="24">
        <f>IF(OR(F191="",G191=""),"",ROUND(G191*(1+F191/30),1))</f>
        <v/>
      </c>
      <c r="K191" s="26" t="n"/>
    </row>
    <row r="192" ht="18" customHeight="1">
      <c r="A192" s="15" t="n"/>
      <c r="B192" s="16">
        <f>IF(A192="","",IFERROR(INT((A192-DATE(2026,4,27))/7)+1,""))</f>
        <v/>
      </c>
      <c r="C192" s="16" t="n"/>
      <c r="D192" s="17" t="n"/>
      <c r="E192" s="16" t="n"/>
      <c r="F192" s="16" t="n"/>
      <c r="G192" s="18" t="n"/>
      <c r="H192" s="16" t="n"/>
      <c r="I192" s="19">
        <f>IF(OR(F192="",G192=""),"",F192*G192)</f>
        <v/>
      </c>
      <c r="J192" s="18">
        <f>IF(OR(F192="",G192=""),"",ROUND(G192*(1+F192/30),1))</f>
        <v/>
      </c>
      <c r="K192" s="20" t="n"/>
    </row>
    <row r="193" ht="18" customHeight="1">
      <c r="A193" s="21" t="n"/>
      <c r="B193" s="22">
        <f>IF(A193="","",IFERROR(INT((A193-DATE(2026,4,27))/7)+1,""))</f>
        <v/>
      </c>
      <c r="C193" s="22" t="n"/>
      <c r="D193" s="23" t="n"/>
      <c r="E193" s="22" t="n"/>
      <c r="F193" s="22" t="n"/>
      <c r="G193" s="24" t="n"/>
      <c r="H193" s="22" t="n"/>
      <c r="I193" s="25">
        <f>IF(OR(F193="",G193=""),"",F193*G193)</f>
        <v/>
      </c>
      <c r="J193" s="24">
        <f>IF(OR(F193="",G193=""),"",ROUND(G193*(1+F193/30),1))</f>
        <v/>
      </c>
      <c r="K193" s="26" t="n"/>
    </row>
    <row r="194" ht="18" customHeight="1">
      <c r="A194" s="15" t="n"/>
      <c r="B194" s="16">
        <f>IF(A194="","",IFERROR(INT((A194-DATE(2026,4,27))/7)+1,""))</f>
        <v/>
      </c>
      <c r="C194" s="16" t="n"/>
      <c r="D194" s="17" t="n"/>
      <c r="E194" s="16" t="n"/>
      <c r="F194" s="16" t="n"/>
      <c r="G194" s="18" t="n"/>
      <c r="H194" s="16" t="n"/>
      <c r="I194" s="19">
        <f>IF(OR(F194="",G194=""),"",F194*G194)</f>
        <v/>
      </c>
      <c r="J194" s="18">
        <f>IF(OR(F194="",G194=""),"",ROUND(G194*(1+F194/30),1))</f>
        <v/>
      </c>
      <c r="K194" s="20" t="n"/>
    </row>
    <row r="195" ht="18" customHeight="1">
      <c r="A195" s="21" t="n"/>
      <c r="B195" s="22">
        <f>IF(A195="","",IFERROR(INT((A195-DATE(2026,4,27))/7)+1,""))</f>
        <v/>
      </c>
      <c r="C195" s="22" t="n"/>
      <c r="D195" s="23" t="n"/>
      <c r="E195" s="22" t="n"/>
      <c r="F195" s="22" t="n"/>
      <c r="G195" s="24" t="n"/>
      <c r="H195" s="22" t="n"/>
      <c r="I195" s="25">
        <f>IF(OR(F195="",G195=""),"",F195*G195)</f>
        <v/>
      </c>
      <c r="J195" s="24">
        <f>IF(OR(F195="",G195=""),"",ROUND(G195*(1+F195/30),1))</f>
        <v/>
      </c>
      <c r="K195" s="26" t="n"/>
    </row>
    <row r="196" ht="18" customHeight="1">
      <c r="A196" s="15" t="n"/>
      <c r="B196" s="16">
        <f>IF(A196="","",IFERROR(INT((A196-DATE(2026,4,27))/7)+1,""))</f>
        <v/>
      </c>
      <c r="C196" s="16" t="n"/>
      <c r="D196" s="17" t="n"/>
      <c r="E196" s="16" t="n"/>
      <c r="F196" s="16" t="n"/>
      <c r="G196" s="18" t="n"/>
      <c r="H196" s="16" t="n"/>
      <c r="I196" s="19">
        <f>IF(OR(F196="",G196=""),"",F196*G196)</f>
        <v/>
      </c>
      <c r="J196" s="18">
        <f>IF(OR(F196="",G196=""),"",ROUND(G196*(1+F196/30),1))</f>
        <v/>
      </c>
      <c r="K196" s="20" t="n"/>
    </row>
    <row r="197" ht="18" customHeight="1">
      <c r="A197" s="21" t="n"/>
      <c r="B197" s="22">
        <f>IF(A197="","",IFERROR(INT((A197-DATE(2026,4,27))/7)+1,""))</f>
        <v/>
      </c>
      <c r="C197" s="22" t="n"/>
      <c r="D197" s="23" t="n"/>
      <c r="E197" s="22" t="n"/>
      <c r="F197" s="22" t="n"/>
      <c r="G197" s="24" t="n"/>
      <c r="H197" s="22" t="n"/>
      <c r="I197" s="25">
        <f>IF(OR(F197="",G197=""),"",F197*G197)</f>
        <v/>
      </c>
      <c r="J197" s="24">
        <f>IF(OR(F197="",G197=""),"",ROUND(G197*(1+F197/30),1))</f>
        <v/>
      </c>
      <c r="K197" s="26" t="n"/>
    </row>
    <row r="198" ht="18" customHeight="1">
      <c r="A198" s="15" t="n"/>
      <c r="B198" s="16">
        <f>IF(A198="","",IFERROR(INT((A198-DATE(2026,4,27))/7)+1,""))</f>
        <v/>
      </c>
      <c r="C198" s="16" t="n"/>
      <c r="D198" s="17" t="n"/>
      <c r="E198" s="16" t="n"/>
      <c r="F198" s="16" t="n"/>
      <c r="G198" s="18" t="n"/>
      <c r="H198" s="16" t="n"/>
      <c r="I198" s="19">
        <f>IF(OR(F198="",G198=""),"",F198*G198)</f>
        <v/>
      </c>
      <c r="J198" s="18">
        <f>IF(OR(F198="",G198=""),"",ROUND(G198*(1+F198/30),1))</f>
        <v/>
      </c>
      <c r="K198" s="20" t="n"/>
    </row>
    <row r="199" ht="18" customHeight="1">
      <c r="A199" s="21" t="n"/>
      <c r="B199" s="22">
        <f>IF(A199="","",IFERROR(INT((A199-DATE(2026,4,27))/7)+1,""))</f>
        <v/>
      </c>
      <c r="C199" s="22" t="n"/>
      <c r="D199" s="23" t="n"/>
      <c r="E199" s="22" t="n"/>
      <c r="F199" s="22" t="n"/>
      <c r="G199" s="24" t="n"/>
      <c r="H199" s="22" t="n"/>
      <c r="I199" s="25">
        <f>IF(OR(F199="",G199=""),"",F199*G199)</f>
        <v/>
      </c>
      <c r="J199" s="24">
        <f>IF(OR(F199="",G199=""),"",ROUND(G199*(1+F199/30),1))</f>
        <v/>
      </c>
      <c r="K199" s="26" t="n"/>
    </row>
    <row r="200" ht="18" customHeight="1">
      <c r="A200" s="15" t="n"/>
      <c r="B200" s="16">
        <f>IF(A200="","",IFERROR(INT((A200-DATE(2026,4,27))/7)+1,""))</f>
        <v/>
      </c>
      <c r="C200" s="16" t="n"/>
      <c r="D200" s="17" t="n"/>
      <c r="E200" s="16" t="n"/>
      <c r="F200" s="16" t="n"/>
      <c r="G200" s="18" t="n"/>
      <c r="H200" s="16" t="n"/>
      <c r="I200" s="19">
        <f>IF(OR(F200="",G200=""),"",F200*G200)</f>
        <v/>
      </c>
      <c r="J200" s="18">
        <f>IF(OR(F200="",G200=""),"",ROUND(G200*(1+F200/30),1))</f>
        <v/>
      </c>
      <c r="K200" s="20" t="n"/>
    </row>
    <row r="201" ht="18" customHeight="1">
      <c r="A201" s="21" t="n"/>
      <c r="B201" s="22">
        <f>IF(A201="","",IFERROR(INT((A201-DATE(2026,4,27))/7)+1,""))</f>
        <v/>
      </c>
      <c r="C201" s="22" t="n"/>
      <c r="D201" s="23" t="n"/>
      <c r="E201" s="22" t="n"/>
      <c r="F201" s="22" t="n"/>
      <c r="G201" s="24" t="n"/>
      <c r="H201" s="22" t="n"/>
      <c r="I201" s="25">
        <f>IF(OR(F201="",G201=""),"",F201*G201)</f>
        <v/>
      </c>
      <c r="J201" s="24">
        <f>IF(OR(F201="",G201=""),"",ROUND(G201*(1+F201/30),1))</f>
        <v/>
      </c>
      <c r="K201" s="26" t="n"/>
    </row>
    <row r="202" ht="18" customHeight="1">
      <c r="A202" s="15" t="n"/>
      <c r="B202" s="16">
        <f>IF(A202="","",IFERROR(INT((A202-DATE(2026,4,27))/7)+1,""))</f>
        <v/>
      </c>
      <c r="C202" s="16" t="n"/>
      <c r="D202" s="17" t="n"/>
      <c r="E202" s="16" t="n"/>
      <c r="F202" s="16" t="n"/>
      <c r="G202" s="18" t="n"/>
      <c r="H202" s="16" t="n"/>
      <c r="I202" s="19">
        <f>IF(OR(F202="",G202=""),"",F202*G202)</f>
        <v/>
      </c>
      <c r="J202" s="18">
        <f>IF(OR(F202="",G202=""),"",ROUND(G202*(1+F202/30),1))</f>
        <v/>
      </c>
      <c r="K202" s="20" t="n"/>
    </row>
    <row r="203" ht="18" customHeight="1">
      <c r="A203" s="21" t="n"/>
      <c r="B203" s="22">
        <f>IF(A203="","",IFERROR(INT((A203-DATE(2026,4,27))/7)+1,""))</f>
        <v/>
      </c>
      <c r="C203" s="22" t="n"/>
      <c r="D203" s="23" t="n"/>
      <c r="E203" s="22" t="n"/>
      <c r="F203" s="22" t="n"/>
      <c r="G203" s="24" t="n"/>
      <c r="H203" s="22" t="n"/>
      <c r="I203" s="25">
        <f>IF(OR(F203="",G203=""),"",F203*G203)</f>
        <v/>
      </c>
      <c r="J203" s="24">
        <f>IF(OR(F203="",G203=""),"",ROUND(G203*(1+F203/30),1))</f>
        <v/>
      </c>
      <c r="K203" s="26" t="n"/>
    </row>
    <row r="204" ht="18" customHeight="1">
      <c r="A204" s="15" t="n"/>
      <c r="B204" s="16">
        <f>IF(A204="","",IFERROR(INT((A204-DATE(2026,4,27))/7)+1,""))</f>
        <v/>
      </c>
      <c r="C204" s="16" t="n"/>
      <c r="D204" s="17" t="n"/>
      <c r="E204" s="16" t="n"/>
      <c r="F204" s="16" t="n"/>
      <c r="G204" s="18" t="n"/>
      <c r="H204" s="16" t="n"/>
      <c r="I204" s="19">
        <f>IF(OR(F204="",G204=""),"",F204*G204)</f>
        <v/>
      </c>
      <c r="J204" s="18">
        <f>IF(OR(F204="",G204=""),"",ROUND(G204*(1+F204/30),1))</f>
        <v/>
      </c>
      <c r="K204" s="20" t="n"/>
    </row>
    <row r="205" ht="18" customHeight="1">
      <c r="A205" s="21" t="n"/>
      <c r="B205" s="22">
        <f>IF(A205="","",IFERROR(INT((A205-DATE(2026,4,27))/7)+1,""))</f>
        <v/>
      </c>
      <c r="C205" s="22" t="n"/>
      <c r="D205" s="23" t="n"/>
      <c r="E205" s="22" t="n"/>
      <c r="F205" s="22" t="n"/>
      <c r="G205" s="24" t="n"/>
      <c r="H205" s="22" t="n"/>
      <c r="I205" s="25">
        <f>IF(OR(F205="",G205=""),"",F205*G205)</f>
        <v/>
      </c>
      <c r="J205" s="24">
        <f>IF(OR(F205="",G205=""),"",ROUND(G205*(1+F205/30),1))</f>
        <v/>
      </c>
      <c r="K205" s="26" t="n"/>
    </row>
    <row r="206" ht="18" customHeight="1">
      <c r="A206" s="15" t="n"/>
      <c r="B206" s="16">
        <f>IF(A206="","",IFERROR(INT((A206-DATE(2026,4,27))/7)+1,""))</f>
        <v/>
      </c>
      <c r="C206" s="16" t="n"/>
      <c r="D206" s="17" t="n"/>
      <c r="E206" s="16" t="n"/>
      <c r="F206" s="16" t="n"/>
      <c r="G206" s="18" t="n"/>
      <c r="H206" s="16" t="n"/>
      <c r="I206" s="19">
        <f>IF(OR(F206="",G206=""),"",F206*G206)</f>
        <v/>
      </c>
      <c r="J206" s="18">
        <f>IF(OR(F206="",G206=""),"",ROUND(G206*(1+F206/30),1))</f>
        <v/>
      </c>
      <c r="K206" s="20" t="n"/>
    </row>
    <row r="207" ht="18" customHeight="1">
      <c r="A207" s="21" t="n"/>
      <c r="B207" s="22">
        <f>IF(A207="","",IFERROR(INT((A207-DATE(2026,4,27))/7)+1,""))</f>
        <v/>
      </c>
      <c r="C207" s="22" t="n"/>
      <c r="D207" s="23" t="n"/>
      <c r="E207" s="22" t="n"/>
      <c r="F207" s="22" t="n"/>
      <c r="G207" s="24" t="n"/>
      <c r="H207" s="22" t="n"/>
      <c r="I207" s="25">
        <f>IF(OR(F207="",G207=""),"",F207*G207)</f>
        <v/>
      </c>
      <c r="J207" s="24">
        <f>IF(OR(F207="",G207=""),"",ROUND(G207*(1+F207/30),1))</f>
        <v/>
      </c>
      <c r="K207" s="26" t="n"/>
    </row>
    <row r="208" ht="18" customHeight="1">
      <c r="A208" s="15" t="n"/>
      <c r="B208" s="16">
        <f>IF(A208="","",IFERROR(INT((A208-DATE(2026,4,27))/7)+1,""))</f>
        <v/>
      </c>
      <c r="C208" s="16" t="n"/>
      <c r="D208" s="17" t="n"/>
      <c r="E208" s="16" t="n"/>
      <c r="F208" s="16" t="n"/>
      <c r="G208" s="18" t="n"/>
      <c r="H208" s="16" t="n"/>
      <c r="I208" s="19">
        <f>IF(OR(F208="",G208=""),"",F208*G208)</f>
        <v/>
      </c>
      <c r="J208" s="18">
        <f>IF(OR(F208="",G208=""),"",ROUND(G208*(1+F208/30),1))</f>
        <v/>
      </c>
      <c r="K208" s="20" t="n"/>
    </row>
    <row r="209" ht="18" customHeight="1">
      <c r="A209" s="21" t="n"/>
      <c r="B209" s="22">
        <f>IF(A209="","",IFERROR(INT((A209-DATE(2026,4,27))/7)+1,""))</f>
        <v/>
      </c>
      <c r="C209" s="22" t="n"/>
      <c r="D209" s="23" t="n"/>
      <c r="E209" s="22" t="n"/>
      <c r="F209" s="22" t="n"/>
      <c r="G209" s="24" t="n"/>
      <c r="H209" s="22" t="n"/>
      <c r="I209" s="25">
        <f>IF(OR(F209="",G209=""),"",F209*G209)</f>
        <v/>
      </c>
      <c r="J209" s="24">
        <f>IF(OR(F209="",G209=""),"",ROUND(G209*(1+F209/30),1))</f>
        <v/>
      </c>
      <c r="K209" s="26" t="n"/>
    </row>
    <row r="210" ht="18" customHeight="1">
      <c r="A210" s="15" t="n"/>
      <c r="B210" s="16">
        <f>IF(A210="","",IFERROR(INT((A210-DATE(2026,4,27))/7)+1,""))</f>
        <v/>
      </c>
      <c r="C210" s="16" t="n"/>
      <c r="D210" s="17" t="n"/>
      <c r="E210" s="16" t="n"/>
      <c r="F210" s="16" t="n"/>
      <c r="G210" s="18" t="n"/>
      <c r="H210" s="16" t="n"/>
      <c r="I210" s="19">
        <f>IF(OR(F210="",G210=""),"",F210*G210)</f>
        <v/>
      </c>
      <c r="J210" s="18">
        <f>IF(OR(F210="",G210=""),"",ROUND(G210*(1+F210/30),1))</f>
        <v/>
      </c>
      <c r="K210" s="20" t="n"/>
    </row>
    <row r="211" ht="18" customHeight="1">
      <c r="A211" s="21" t="n"/>
      <c r="B211" s="22">
        <f>IF(A211="","",IFERROR(INT((A211-DATE(2026,4,27))/7)+1,""))</f>
        <v/>
      </c>
      <c r="C211" s="22" t="n"/>
      <c r="D211" s="23" t="n"/>
      <c r="E211" s="22" t="n"/>
      <c r="F211" s="22" t="n"/>
      <c r="G211" s="24" t="n"/>
      <c r="H211" s="22" t="n"/>
      <c r="I211" s="25">
        <f>IF(OR(F211="",G211=""),"",F211*G211)</f>
        <v/>
      </c>
      <c r="J211" s="24">
        <f>IF(OR(F211="",G211=""),"",ROUND(G211*(1+F211/30),1))</f>
        <v/>
      </c>
      <c r="K211" s="26" t="n"/>
    </row>
    <row r="212" ht="18" customHeight="1">
      <c r="A212" s="15" t="n"/>
      <c r="B212" s="16">
        <f>IF(A212="","",IFERROR(INT((A212-DATE(2026,4,27))/7)+1,""))</f>
        <v/>
      </c>
      <c r="C212" s="16" t="n"/>
      <c r="D212" s="17" t="n"/>
      <c r="E212" s="16" t="n"/>
      <c r="F212" s="16" t="n"/>
      <c r="G212" s="18" t="n"/>
      <c r="H212" s="16" t="n"/>
      <c r="I212" s="19">
        <f>IF(OR(F212="",G212=""),"",F212*G212)</f>
        <v/>
      </c>
      <c r="J212" s="18">
        <f>IF(OR(F212="",G212=""),"",ROUND(G212*(1+F212/30),1))</f>
        <v/>
      </c>
      <c r="K212" s="20" t="n"/>
    </row>
    <row r="213" ht="18" customHeight="1">
      <c r="A213" s="21" t="n"/>
      <c r="B213" s="22">
        <f>IF(A213="","",IFERROR(INT((A213-DATE(2026,4,27))/7)+1,""))</f>
        <v/>
      </c>
      <c r="C213" s="22" t="n"/>
      <c r="D213" s="23" t="n"/>
      <c r="E213" s="22" t="n"/>
      <c r="F213" s="22" t="n"/>
      <c r="G213" s="24" t="n"/>
      <c r="H213" s="22" t="n"/>
      <c r="I213" s="25">
        <f>IF(OR(F213="",G213=""),"",F213*G213)</f>
        <v/>
      </c>
      <c r="J213" s="24">
        <f>IF(OR(F213="",G213=""),"",ROUND(G213*(1+F213/30),1))</f>
        <v/>
      </c>
      <c r="K213" s="26" t="n"/>
    </row>
    <row r="214" ht="18" customHeight="1">
      <c r="A214" s="15" t="n"/>
      <c r="B214" s="16">
        <f>IF(A214="","",IFERROR(INT((A214-DATE(2026,4,27))/7)+1,""))</f>
        <v/>
      </c>
      <c r="C214" s="16" t="n"/>
      <c r="D214" s="17" t="n"/>
      <c r="E214" s="16" t="n"/>
      <c r="F214" s="16" t="n"/>
      <c r="G214" s="18" t="n"/>
      <c r="H214" s="16" t="n"/>
      <c r="I214" s="19">
        <f>IF(OR(F214="",G214=""),"",F214*G214)</f>
        <v/>
      </c>
      <c r="J214" s="18">
        <f>IF(OR(F214="",G214=""),"",ROUND(G214*(1+F214/30),1))</f>
        <v/>
      </c>
      <c r="K214" s="20" t="n"/>
    </row>
    <row r="215" ht="18" customHeight="1">
      <c r="A215" s="21" t="n"/>
      <c r="B215" s="22">
        <f>IF(A215="","",IFERROR(INT((A215-DATE(2026,4,27))/7)+1,""))</f>
        <v/>
      </c>
      <c r="C215" s="22" t="n"/>
      <c r="D215" s="23" t="n"/>
      <c r="E215" s="22" t="n"/>
      <c r="F215" s="22" t="n"/>
      <c r="G215" s="24" t="n"/>
      <c r="H215" s="22" t="n"/>
      <c r="I215" s="25">
        <f>IF(OR(F215="",G215=""),"",F215*G215)</f>
        <v/>
      </c>
      <c r="J215" s="24">
        <f>IF(OR(F215="",G215=""),"",ROUND(G215*(1+F215/30),1))</f>
        <v/>
      </c>
      <c r="K215" s="26" t="n"/>
    </row>
    <row r="216" ht="18" customHeight="1">
      <c r="A216" s="15" t="n"/>
      <c r="B216" s="16">
        <f>IF(A216="","",IFERROR(INT((A216-DATE(2026,4,27))/7)+1,""))</f>
        <v/>
      </c>
      <c r="C216" s="16" t="n"/>
      <c r="D216" s="17" t="n"/>
      <c r="E216" s="16" t="n"/>
      <c r="F216" s="16" t="n"/>
      <c r="G216" s="18" t="n"/>
      <c r="H216" s="16" t="n"/>
      <c r="I216" s="19">
        <f>IF(OR(F216="",G216=""),"",F216*G216)</f>
        <v/>
      </c>
      <c r="J216" s="18">
        <f>IF(OR(F216="",G216=""),"",ROUND(G216*(1+F216/30),1))</f>
        <v/>
      </c>
      <c r="K216" s="20" t="n"/>
    </row>
    <row r="217" ht="18" customHeight="1">
      <c r="A217" s="21" t="n"/>
      <c r="B217" s="22">
        <f>IF(A217="","",IFERROR(INT((A217-DATE(2026,4,27))/7)+1,""))</f>
        <v/>
      </c>
      <c r="C217" s="22" t="n"/>
      <c r="D217" s="23" t="n"/>
      <c r="E217" s="22" t="n"/>
      <c r="F217" s="22" t="n"/>
      <c r="G217" s="24" t="n"/>
      <c r="H217" s="22" t="n"/>
      <c r="I217" s="25">
        <f>IF(OR(F217="",G217=""),"",F217*G217)</f>
        <v/>
      </c>
      <c r="J217" s="24">
        <f>IF(OR(F217="",G217=""),"",ROUND(G217*(1+F217/30),1))</f>
        <v/>
      </c>
      <c r="K217" s="26" t="n"/>
    </row>
    <row r="218" ht="18" customHeight="1">
      <c r="A218" s="15" t="n"/>
      <c r="B218" s="16">
        <f>IF(A218="","",IFERROR(INT((A218-DATE(2026,4,27))/7)+1,""))</f>
        <v/>
      </c>
      <c r="C218" s="16" t="n"/>
      <c r="D218" s="17" t="n"/>
      <c r="E218" s="16" t="n"/>
      <c r="F218" s="16" t="n"/>
      <c r="G218" s="18" t="n"/>
      <c r="H218" s="16" t="n"/>
      <c r="I218" s="19">
        <f>IF(OR(F218="",G218=""),"",F218*G218)</f>
        <v/>
      </c>
      <c r="J218" s="18">
        <f>IF(OR(F218="",G218=""),"",ROUND(G218*(1+F218/30),1))</f>
        <v/>
      </c>
      <c r="K218" s="20" t="n"/>
    </row>
    <row r="219" ht="18" customHeight="1">
      <c r="A219" s="21" t="n"/>
      <c r="B219" s="22">
        <f>IF(A219="","",IFERROR(INT((A219-DATE(2026,4,27))/7)+1,""))</f>
        <v/>
      </c>
      <c r="C219" s="22" t="n"/>
      <c r="D219" s="23" t="n"/>
      <c r="E219" s="22" t="n"/>
      <c r="F219" s="22" t="n"/>
      <c r="G219" s="24" t="n"/>
      <c r="H219" s="22" t="n"/>
      <c r="I219" s="25">
        <f>IF(OR(F219="",G219=""),"",F219*G219)</f>
        <v/>
      </c>
      <c r="J219" s="24">
        <f>IF(OR(F219="",G219=""),"",ROUND(G219*(1+F219/30),1))</f>
        <v/>
      </c>
      <c r="K219" s="26" t="n"/>
    </row>
    <row r="220" ht="18" customHeight="1">
      <c r="A220" s="15" t="n"/>
      <c r="B220" s="16">
        <f>IF(A220="","",IFERROR(INT((A220-DATE(2026,4,27))/7)+1,""))</f>
        <v/>
      </c>
      <c r="C220" s="16" t="n"/>
      <c r="D220" s="17" t="n"/>
      <c r="E220" s="16" t="n"/>
      <c r="F220" s="16" t="n"/>
      <c r="G220" s="18" t="n"/>
      <c r="H220" s="16" t="n"/>
      <c r="I220" s="19">
        <f>IF(OR(F220="",G220=""),"",F220*G220)</f>
        <v/>
      </c>
      <c r="J220" s="18">
        <f>IF(OR(F220="",G220=""),"",ROUND(G220*(1+F220/30),1))</f>
        <v/>
      </c>
      <c r="K220" s="20" t="n"/>
    </row>
    <row r="221" ht="18" customHeight="1">
      <c r="A221" s="21" t="n"/>
      <c r="B221" s="22">
        <f>IF(A221="","",IFERROR(INT((A221-DATE(2026,4,27))/7)+1,""))</f>
        <v/>
      </c>
      <c r="C221" s="22" t="n"/>
      <c r="D221" s="23" t="n"/>
      <c r="E221" s="22" t="n"/>
      <c r="F221" s="22" t="n"/>
      <c r="G221" s="24" t="n"/>
      <c r="H221" s="22" t="n"/>
      <c r="I221" s="25">
        <f>IF(OR(F221="",G221=""),"",F221*G221)</f>
        <v/>
      </c>
      <c r="J221" s="24">
        <f>IF(OR(F221="",G221=""),"",ROUND(G221*(1+F221/30),1))</f>
        <v/>
      </c>
      <c r="K221" s="26" t="n"/>
    </row>
    <row r="222" ht="18" customHeight="1">
      <c r="A222" s="15" t="n"/>
      <c r="B222" s="16">
        <f>IF(A222="","",IFERROR(INT((A222-DATE(2026,4,27))/7)+1,""))</f>
        <v/>
      </c>
      <c r="C222" s="16" t="n"/>
      <c r="D222" s="17" t="n"/>
      <c r="E222" s="16" t="n"/>
      <c r="F222" s="16" t="n"/>
      <c r="G222" s="18" t="n"/>
      <c r="H222" s="16" t="n"/>
      <c r="I222" s="19">
        <f>IF(OR(F222="",G222=""),"",F222*G222)</f>
        <v/>
      </c>
      <c r="J222" s="18">
        <f>IF(OR(F222="",G222=""),"",ROUND(G222*(1+F222/30),1))</f>
        <v/>
      </c>
      <c r="K222" s="20" t="n"/>
    </row>
    <row r="223" ht="18" customHeight="1">
      <c r="A223" s="21" t="n"/>
      <c r="B223" s="22">
        <f>IF(A223="","",IFERROR(INT((A223-DATE(2026,4,27))/7)+1,""))</f>
        <v/>
      </c>
      <c r="C223" s="22" t="n"/>
      <c r="D223" s="23" t="n"/>
      <c r="E223" s="22" t="n"/>
      <c r="F223" s="22" t="n"/>
      <c r="G223" s="24" t="n"/>
      <c r="H223" s="22" t="n"/>
      <c r="I223" s="25">
        <f>IF(OR(F223="",G223=""),"",F223*G223)</f>
        <v/>
      </c>
      <c r="J223" s="24">
        <f>IF(OR(F223="",G223=""),"",ROUND(G223*(1+F223/30),1))</f>
        <v/>
      </c>
      <c r="K223" s="26" t="n"/>
    </row>
    <row r="224" ht="18" customHeight="1">
      <c r="A224" s="15" t="n"/>
      <c r="B224" s="16">
        <f>IF(A224="","",IFERROR(INT((A224-DATE(2026,4,27))/7)+1,""))</f>
        <v/>
      </c>
      <c r="C224" s="16" t="n"/>
      <c r="D224" s="17" t="n"/>
      <c r="E224" s="16" t="n"/>
      <c r="F224" s="16" t="n"/>
      <c r="G224" s="18" t="n"/>
      <c r="H224" s="16" t="n"/>
      <c r="I224" s="19">
        <f>IF(OR(F224="",G224=""),"",F224*G224)</f>
        <v/>
      </c>
      <c r="J224" s="18">
        <f>IF(OR(F224="",G224=""),"",ROUND(G224*(1+F224/30),1))</f>
        <v/>
      </c>
      <c r="K224" s="20" t="n"/>
    </row>
    <row r="225" ht="18" customHeight="1">
      <c r="A225" s="21" t="n"/>
      <c r="B225" s="22">
        <f>IF(A225="","",IFERROR(INT((A225-DATE(2026,4,27))/7)+1,""))</f>
        <v/>
      </c>
      <c r="C225" s="22" t="n"/>
      <c r="D225" s="23" t="n"/>
      <c r="E225" s="22" t="n"/>
      <c r="F225" s="22" t="n"/>
      <c r="G225" s="24" t="n"/>
      <c r="H225" s="22" t="n"/>
      <c r="I225" s="25">
        <f>IF(OR(F225="",G225=""),"",F225*G225)</f>
        <v/>
      </c>
      <c r="J225" s="24">
        <f>IF(OR(F225="",G225=""),"",ROUND(G225*(1+F225/30),1))</f>
        <v/>
      </c>
      <c r="K225" s="26" t="n"/>
    </row>
    <row r="226" ht="18" customHeight="1">
      <c r="A226" s="15" t="n"/>
      <c r="B226" s="16">
        <f>IF(A226="","",IFERROR(INT((A226-DATE(2026,4,27))/7)+1,""))</f>
        <v/>
      </c>
      <c r="C226" s="16" t="n"/>
      <c r="D226" s="17" t="n"/>
      <c r="E226" s="16" t="n"/>
      <c r="F226" s="16" t="n"/>
      <c r="G226" s="18" t="n"/>
      <c r="H226" s="16" t="n"/>
      <c r="I226" s="19">
        <f>IF(OR(F226="",G226=""),"",F226*G226)</f>
        <v/>
      </c>
      <c r="J226" s="18">
        <f>IF(OR(F226="",G226=""),"",ROUND(G226*(1+F226/30),1))</f>
        <v/>
      </c>
      <c r="K226" s="20" t="n"/>
    </row>
    <row r="227" ht="18" customHeight="1">
      <c r="A227" s="21" t="n"/>
      <c r="B227" s="22">
        <f>IF(A227="","",IFERROR(INT((A227-DATE(2026,4,27))/7)+1,""))</f>
        <v/>
      </c>
      <c r="C227" s="22" t="n"/>
      <c r="D227" s="23" t="n"/>
      <c r="E227" s="22" t="n"/>
      <c r="F227" s="22" t="n"/>
      <c r="G227" s="24" t="n"/>
      <c r="H227" s="22" t="n"/>
      <c r="I227" s="25">
        <f>IF(OR(F227="",G227=""),"",F227*G227)</f>
        <v/>
      </c>
      <c r="J227" s="24">
        <f>IF(OR(F227="",G227=""),"",ROUND(G227*(1+F227/30),1))</f>
        <v/>
      </c>
      <c r="K227" s="26" t="n"/>
    </row>
    <row r="228" ht="18" customHeight="1">
      <c r="A228" s="15" t="n"/>
      <c r="B228" s="16">
        <f>IF(A228="","",IFERROR(INT((A228-DATE(2026,4,27))/7)+1,""))</f>
        <v/>
      </c>
      <c r="C228" s="16" t="n"/>
      <c r="D228" s="17" t="n"/>
      <c r="E228" s="16" t="n"/>
      <c r="F228" s="16" t="n"/>
      <c r="G228" s="18" t="n"/>
      <c r="H228" s="16" t="n"/>
      <c r="I228" s="19">
        <f>IF(OR(F228="",G228=""),"",F228*G228)</f>
        <v/>
      </c>
      <c r="J228" s="18">
        <f>IF(OR(F228="",G228=""),"",ROUND(G228*(1+F228/30),1))</f>
        <v/>
      </c>
      <c r="K228" s="20" t="n"/>
    </row>
    <row r="229" ht="18" customHeight="1">
      <c r="A229" s="21" t="n"/>
      <c r="B229" s="22">
        <f>IF(A229="","",IFERROR(INT((A229-DATE(2026,4,27))/7)+1,""))</f>
        <v/>
      </c>
      <c r="C229" s="22" t="n"/>
      <c r="D229" s="23" t="n"/>
      <c r="E229" s="22" t="n"/>
      <c r="F229" s="22" t="n"/>
      <c r="G229" s="24" t="n"/>
      <c r="H229" s="22" t="n"/>
      <c r="I229" s="25">
        <f>IF(OR(F229="",G229=""),"",F229*G229)</f>
        <v/>
      </c>
      <c r="J229" s="24">
        <f>IF(OR(F229="",G229=""),"",ROUND(G229*(1+F229/30),1))</f>
        <v/>
      </c>
      <c r="K229" s="26" t="n"/>
    </row>
    <row r="230" ht="18" customHeight="1">
      <c r="A230" s="15" t="n"/>
      <c r="B230" s="16">
        <f>IF(A230="","",IFERROR(INT((A230-DATE(2026,4,27))/7)+1,""))</f>
        <v/>
      </c>
      <c r="C230" s="16" t="n"/>
      <c r="D230" s="17" t="n"/>
      <c r="E230" s="16" t="n"/>
      <c r="F230" s="16" t="n"/>
      <c r="G230" s="18" t="n"/>
      <c r="H230" s="16" t="n"/>
      <c r="I230" s="19">
        <f>IF(OR(F230="",G230=""),"",F230*G230)</f>
        <v/>
      </c>
      <c r="J230" s="18">
        <f>IF(OR(F230="",G230=""),"",ROUND(G230*(1+F230/30),1))</f>
        <v/>
      </c>
      <c r="K230" s="20" t="n"/>
    </row>
    <row r="231" ht="18" customHeight="1">
      <c r="A231" s="21" t="n"/>
      <c r="B231" s="22">
        <f>IF(A231="","",IFERROR(INT((A231-DATE(2026,4,27))/7)+1,""))</f>
        <v/>
      </c>
      <c r="C231" s="22" t="n"/>
      <c r="D231" s="23" t="n"/>
      <c r="E231" s="22" t="n"/>
      <c r="F231" s="22" t="n"/>
      <c r="G231" s="24" t="n"/>
      <c r="H231" s="22" t="n"/>
      <c r="I231" s="25">
        <f>IF(OR(F231="",G231=""),"",F231*G231)</f>
        <v/>
      </c>
      <c r="J231" s="24">
        <f>IF(OR(F231="",G231=""),"",ROUND(G231*(1+F231/30),1))</f>
        <v/>
      </c>
      <c r="K231" s="26" t="n"/>
    </row>
    <row r="232" ht="18" customHeight="1">
      <c r="A232" s="15" t="n"/>
      <c r="B232" s="16">
        <f>IF(A232="","",IFERROR(INT((A232-DATE(2026,4,27))/7)+1,""))</f>
        <v/>
      </c>
      <c r="C232" s="16" t="n"/>
      <c r="D232" s="17" t="n"/>
      <c r="E232" s="16" t="n"/>
      <c r="F232" s="16" t="n"/>
      <c r="G232" s="18" t="n"/>
      <c r="H232" s="16" t="n"/>
      <c r="I232" s="19">
        <f>IF(OR(F232="",G232=""),"",F232*G232)</f>
        <v/>
      </c>
      <c r="J232" s="18">
        <f>IF(OR(F232="",G232=""),"",ROUND(G232*(1+F232/30),1))</f>
        <v/>
      </c>
      <c r="K232" s="20" t="n"/>
    </row>
    <row r="233" ht="18" customHeight="1">
      <c r="A233" s="21" t="n"/>
      <c r="B233" s="22">
        <f>IF(A233="","",IFERROR(INT((A233-DATE(2026,4,27))/7)+1,""))</f>
        <v/>
      </c>
      <c r="C233" s="22" t="n"/>
      <c r="D233" s="23" t="n"/>
      <c r="E233" s="22" t="n"/>
      <c r="F233" s="22" t="n"/>
      <c r="G233" s="24" t="n"/>
      <c r="H233" s="22" t="n"/>
      <c r="I233" s="25">
        <f>IF(OR(F233="",G233=""),"",F233*G233)</f>
        <v/>
      </c>
      <c r="J233" s="24">
        <f>IF(OR(F233="",G233=""),"",ROUND(G233*(1+F233/30),1))</f>
        <v/>
      </c>
      <c r="K233" s="26" t="n"/>
    </row>
    <row r="234" ht="18" customHeight="1">
      <c r="A234" s="15" t="n"/>
      <c r="B234" s="16">
        <f>IF(A234="","",IFERROR(INT((A234-DATE(2026,4,27))/7)+1,""))</f>
        <v/>
      </c>
      <c r="C234" s="16" t="n"/>
      <c r="D234" s="17" t="n"/>
      <c r="E234" s="16" t="n"/>
      <c r="F234" s="16" t="n"/>
      <c r="G234" s="18" t="n"/>
      <c r="H234" s="16" t="n"/>
      <c r="I234" s="19">
        <f>IF(OR(F234="",G234=""),"",F234*G234)</f>
        <v/>
      </c>
      <c r="J234" s="18">
        <f>IF(OR(F234="",G234=""),"",ROUND(G234*(1+F234/30),1))</f>
        <v/>
      </c>
      <c r="K234" s="20" t="n"/>
    </row>
    <row r="235" ht="18" customHeight="1">
      <c r="A235" s="21" t="n"/>
      <c r="B235" s="22">
        <f>IF(A235="","",IFERROR(INT((A235-DATE(2026,4,27))/7)+1,""))</f>
        <v/>
      </c>
      <c r="C235" s="22" t="n"/>
      <c r="D235" s="23" t="n"/>
      <c r="E235" s="22" t="n"/>
      <c r="F235" s="22" t="n"/>
      <c r="G235" s="24" t="n"/>
      <c r="H235" s="22" t="n"/>
      <c r="I235" s="25">
        <f>IF(OR(F235="",G235=""),"",F235*G235)</f>
        <v/>
      </c>
      <c r="J235" s="24">
        <f>IF(OR(F235="",G235=""),"",ROUND(G235*(1+F235/30),1))</f>
        <v/>
      </c>
      <c r="K235" s="26" t="n"/>
    </row>
    <row r="236" ht="18" customHeight="1">
      <c r="A236" s="15" t="n"/>
      <c r="B236" s="16">
        <f>IF(A236="","",IFERROR(INT((A236-DATE(2026,4,27))/7)+1,""))</f>
        <v/>
      </c>
      <c r="C236" s="16" t="n"/>
      <c r="D236" s="17" t="n"/>
      <c r="E236" s="16" t="n"/>
      <c r="F236" s="16" t="n"/>
      <c r="G236" s="18" t="n"/>
      <c r="H236" s="16" t="n"/>
      <c r="I236" s="19">
        <f>IF(OR(F236="",G236=""),"",F236*G236)</f>
        <v/>
      </c>
      <c r="J236" s="18">
        <f>IF(OR(F236="",G236=""),"",ROUND(G236*(1+F236/30),1))</f>
        <v/>
      </c>
      <c r="K236" s="20" t="n"/>
    </row>
    <row r="237" ht="18" customHeight="1">
      <c r="A237" s="21" t="n"/>
      <c r="B237" s="22">
        <f>IF(A237="","",IFERROR(INT((A237-DATE(2026,4,27))/7)+1,""))</f>
        <v/>
      </c>
      <c r="C237" s="22" t="n"/>
      <c r="D237" s="23" t="n"/>
      <c r="E237" s="22" t="n"/>
      <c r="F237" s="22" t="n"/>
      <c r="G237" s="24" t="n"/>
      <c r="H237" s="22" t="n"/>
      <c r="I237" s="25">
        <f>IF(OR(F237="",G237=""),"",F237*G237)</f>
        <v/>
      </c>
      <c r="J237" s="24">
        <f>IF(OR(F237="",G237=""),"",ROUND(G237*(1+F237/30),1))</f>
        <v/>
      </c>
      <c r="K237" s="26" t="n"/>
    </row>
    <row r="238" ht="18" customHeight="1">
      <c r="A238" s="15" t="n"/>
      <c r="B238" s="16">
        <f>IF(A238="","",IFERROR(INT((A238-DATE(2026,4,27))/7)+1,""))</f>
        <v/>
      </c>
      <c r="C238" s="16" t="n"/>
      <c r="D238" s="17" t="n"/>
      <c r="E238" s="16" t="n"/>
      <c r="F238" s="16" t="n"/>
      <c r="G238" s="18" t="n"/>
      <c r="H238" s="16" t="n"/>
      <c r="I238" s="19">
        <f>IF(OR(F238="",G238=""),"",F238*G238)</f>
        <v/>
      </c>
      <c r="J238" s="18">
        <f>IF(OR(F238="",G238=""),"",ROUND(G238*(1+F238/30),1))</f>
        <v/>
      </c>
      <c r="K238" s="20" t="n"/>
    </row>
    <row r="239" ht="18" customHeight="1">
      <c r="A239" s="21" t="n"/>
      <c r="B239" s="22">
        <f>IF(A239="","",IFERROR(INT((A239-DATE(2026,4,27))/7)+1,""))</f>
        <v/>
      </c>
      <c r="C239" s="22" t="n"/>
      <c r="D239" s="23" t="n"/>
      <c r="E239" s="22" t="n"/>
      <c r="F239" s="22" t="n"/>
      <c r="G239" s="24" t="n"/>
      <c r="H239" s="22" t="n"/>
      <c r="I239" s="25">
        <f>IF(OR(F239="",G239=""),"",F239*G239)</f>
        <v/>
      </c>
      <c r="J239" s="24">
        <f>IF(OR(F239="",G239=""),"",ROUND(G239*(1+F239/30),1))</f>
        <v/>
      </c>
      <c r="K239" s="26" t="n"/>
    </row>
    <row r="240" ht="18" customHeight="1">
      <c r="A240" s="15" t="n"/>
      <c r="B240" s="16">
        <f>IF(A240="","",IFERROR(INT((A240-DATE(2026,4,27))/7)+1,""))</f>
        <v/>
      </c>
      <c r="C240" s="16" t="n"/>
      <c r="D240" s="17" t="n"/>
      <c r="E240" s="16" t="n"/>
      <c r="F240" s="16" t="n"/>
      <c r="G240" s="18" t="n"/>
      <c r="H240" s="16" t="n"/>
      <c r="I240" s="19">
        <f>IF(OR(F240="",G240=""),"",F240*G240)</f>
        <v/>
      </c>
      <c r="J240" s="18">
        <f>IF(OR(F240="",G240=""),"",ROUND(G240*(1+F240/30),1))</f>
        <v/>
      </c>
      <c r="K240" s="20" t="n"/>
    </row>
    <row r="241" ht="18" customHeight="1">
      <c r="A241" s="21" t="n"/>
      <c r="B241" s="22">
        <f>IF(A241="","",IFERROR(INT((A241-DATE(2026,4,27))/7)+1,""))</f>
        <v/>
      </c>
      <c r="C241" s="22" t="n"/>
      <c r="D241" s="23" t="n"/>
      <c r="E241" s="22" t="n"/>
      <c r="F241" s="22" t="n"/>
      <c r="G241" s="24" t="n"/>
      <c r="H241" s="22" t="n"/>
      <c r="I241" s="25">
        <f>IF(OR(F241="",G241=""),"",F241*G241)</f>
        <v/>
      </c>
      <c r="J241" s="24">
        <f>IF(OR(F241="",G241=""),"",ROUND(G241*(1+F241/30),1))</f>
        <v/>
      </c>
      <c r="K241" s="26" t="n"/>
    </row>
    <row r="242" ht="18" customHeight="1">
      <c r="A242" s="15" t="n"/>
      <c r="B242" s="16">
        <f>IF(A242="","",IFERROR(INT((A242-DATE(2026,4,27))/7)+1,""))</f>
        <v/>
      </c>
      <c r="C242" s="16" t="n"/>
      <c r="D242" s="17" t="n"/>
      <c r="E242" s="16" t="n"/>
      <c r="F242" s="16" t="n"/>
      <c r="G242" s="18" t="n"/>
      <c r="H242" s="16" t="n"/>
      <c r="I242" s="19">
        <f>IF(OR(F242="",G242=""),"",F242*G242)</f>
        <v/>
      </c>
      <c r="J242" s="18">
        <f>IF(OR(F242="",G242=""),"",ROUND(G242*(1+F242/30),1))</f>
        <v/>
      </c>
      <c r="K242" s="20" t="n"/>
    </row>
    <row r="243" ht="18" customHeight="1">
      <c r="A243" s="21" t="n"/>
      <c r="B243" s="22">
        <f>IF(A243="","",IFERROR(INT((A243-DATE(2026,4,27))/7)+1,""))</f>
        <v/>
      </c>
      <c r="C243" s="22" t="n"/>
      <c r="D243" s="23" t="n"/>
      <c r="E243" s="22" t="n"/>
      <c r="F243" s="22" t="n"/>
      <c r="G243" s="24" t="n"/>
      <c r="H243" s="22" t="n"/>
      <c r="I243" s="25">
        <f>IF(OR(F243="",G243=""),"",F243*G243)</f>
        <v/>
      </c>
      <c r="J243" s="24">
        <f>IF(OR(F243="",G243=""),"",ROUND(G243*(1+F243/30),1))</f>
        <v/>
      </c>
      <c r="K243" s="26" t="n"/>
    </row>
    <row r="244" ht="18" customHeight="1">
      <c r="A244" s="15" t="n"/>
      <c r="B244" s="16">
        <f>IF(A244="","",IFERROR(INT((A244-DATE(2026,4,27))/7)+1,""))</f>
        <v/>
      </c>
      <c r="C244" s="16" t="n"/>
      <c r="D244" s="17" t="n"/>
      <c r="E244" s="16" t="n"/>
      <c r="F244" s="16" t="n"/>
      <c r="G244" s="18" t="n"/>
      <c r="H244" s="16" t="n"/>
      <c r="I244" s="19">
        <f>IF(OR(F244="",G244=""),"",F244*G244)</f>
        <v/>
      </c>
      <c r="J244" s="18">
        <f>IF(OR(F244="",G244=""),"",ROUND(G244*(1+F244/30),1))</f>
        <v/>
      </c>
      <c r="K244" s="20" t="n"/>
    </row>
    <row r="245" ht="18" customHeight="1">
      <c r="A245" s="21" t="n"/>
      <c r="B245" s="22">
        <f>IF(A245="","",IFERROR(INT((A245-DATE(2026,4,27))/7)+1,""))</f>
        <v/>
      </c>
      <c r="C245" s="22" t="n"/>
      <c r="D245" s="23" t="n"/>
      <c r="E245" s="22" t="n"/>
      <c r="F245" s="22" t="n"/>
      <c r="G245" s="24" t="n"/>
      <c r="H245" s="22" t="n"/>
      <c r="I245" s="25">
        <f>IF(OR(F245="",G245=""),"",F245*G245)</f>
        <v/>
      </c>
      <c r="J245" s="24">
        <f>IF(OR(F245="",G245=""),"",ROUND(G245*(1+F245/30),1))</f>
        <v/>
      </c>
      <c r="K245" s="26" t="n"/>
    </row>
    <row r="246" ht="18" customHeight="1">
      <c r="A246" s="15" t="n"/>
      <c r="B246" s="16">
        <f>IF(A246="","",IFERROR(INT((A246-DATE(2026,4,27))/7)+1,""))</f>
        <v/>
      </c>
      <c r="C246" s="16" t="n"/>
      <c r="D246" s="17" t="n"/>
      <c r="E246" s="16" t="n"/>
      <c r="F246" s="16" t="n"/>
      <c r="G246" s="18" t="n"/>
      <c r="H246" s="16" t="n"/>
      <c r="I246" s="19">
        <f>IF(OR(F246="",G246=""),"",F246*G246)</f>
        <v/>
      </c>
      <c r="J246" s="18">
        <f>IF(OR(F246="",G246=""),"",ROUND(G246*(1+F246/30),1))</f>
        <v/>
      </c>
      <c r="K246" s="20" t="n"/>
    </row>
    <row r="247" ht="18" customHeight="1">
      <c r="A247" s="21" t="n"/>
      <c r="B247" s="22">
        <f>IF(A247="","",IFERROR(INT((A247-DATE(2026,4,27))/7)+1,""))</f>
        <v/>
      </c>
      <c r="C247" s="22" t="n"/>
      <c r="D247" s="23" t="n"/>
      <c r="E247" s="22" t="n"/>
      <c r="F247" s="22" t="n"/>
      <c r="G247" s="24" t="n"/>
      <c r="H247" s="22" t="n"/>
      <c r="I247" s="25">
        <f>IF(OR(F247="",G247=""),"",F247*G247)</f>
        <v/>
      </c>
      <c r="J247" s="24">
        <f>IF(OR(F247="",G247=""),"",ROUND(G247*(1+F247/30),1))</f>
        <v/>
      </c>
      <c r="K247" s="26" t="n"/>
    </row>
    <row r="248" ht="18" customHeight="1">
      <c r="A248" s="15" t="n"/>
      <c r="B248" s="16">
        <f>IF(A248="","",IFERROR(INT((A248-DATE(2026,4,27))/7)+1,""))</f>
        <v/>
      </c>
      <c r="C248" s="16" t="n"/>
      <c r="D248" s="17" t="n"/>
      <c r="E248" s="16" t="n"/>
      <c r="F248" s="16" t="n"/>
      <c r="G248" s="18" t="n"/>
      <c r="H248" s="16" t="n"/>
      <c r="I248" s="19">
        <f>IF(OR(F248="",G248=""),"",F248*G248)</f>
        <v/>
      </c>
      <c r="J248" s="18">
        <f>IF(OR(F248="",G248=""),"",ROUND(G248*(1+F248/30),1))</f>
        <v/>
      </c>
      <c r="K248" s="20" t="n"/>
    </row>
    <row r="249" ht="18" customHeight="1">
      <c r="A249" s="21" t="n"/>
      <c r="B249" s="22">
        <f>IF(A249="","",IFERROR(INT((A249-DATE(2026,4,27))/7)+1,""))</f>
        <v/>
      </c>
      <c r="C249" s="22" t="n"/>
      <c r="D249" s="23" t="n"/>
      <c r="E249" s="22" t="n"/>
      <c r="F249" s="22" t="n"/>
      <c r="G249" s="24" t="n"/>
      <c r="H249" s="22" t="n"/>
      <c r="I249" s="25">
        <f>IF(OR(F249="",G249=""),"",F249*G249)</f>
        <v/>
      </c>
      <c r="J249" s="24">
        <f>IF(OR(F249="",G249=""),"",ROUND(G249*(1+F249/30),1))</f>
        <v/>
      </c>
      <c r="K249" s="26" t="n"/>
    </row>
    <row r="250" ht="18" customHeight="1">
      <c r="A250" s="15" t="n"/>
      <c r="B250" s="16">
        <f>IF(A250="","",IFERROR(INT((A250-DATE(2026,4,27))/7)+1,""))</f>
        <v/>
      </c>
      <c r="C250" s="16" t="n"/>
      <c r="D250" s="17" t="n"/>
      <c r="E250" s="16" t="n"/>
      <c r="F250" s="16" t="n"/>
      <c r="G250" s="18" t="n"/>
      <c r="H250" s="16" t="n"/>
      <c r="I250" s="19">
        <f>IF(OR(F250="",G250=""),"",F250*G250)</f>
        <v/>
      </c>
      <c r="J250" s="18">
        <f>IF(OR(F250="",G250=""),"",ROUND(G250*(1+F250/30),1))</f>
        <v/>
      </c>
      <c r="K250" s="20" t="n"/>
    </row>
    <row r="251" ht="18" customHeight="1">
      <c r="A251" s="21" t="n"/>
      <c r="B251" s="22">
        <f>IF(A251="","",IFERROR(INT((A251-DATE(2026,4,27))/7)+1,""))</f>
        <v/>
      </c>
      <c r="C251" s="22" t="n"/>
      <c r="D251" s="23" t="n"/>
      <c r="E251" s="22" t="n"/>
      <c r="F251" s="22" t="n"/>
      <c r="G251" s="24" t="n"/>
      <c r="H251" s="22" t="n"/>
      <c r="I251" s="25">
        <f>IF(OR(F251="",G251=""),"",F251*G251)</f>
        <v/>
      </c>
      <c r="J251" s="24">
        <f>IF(OR(F251="",G251=""),"",ROUND(G251*(1+F251/30),1))</f>
        <v/>
      </c>
      <c r="K251" s="26" t="n"/>
    </row>
    <row r="252" ht="18" customHeight="1">
      <c r="A252" s="15" t="n"/>
      <c r="B252" s="16">
        <f>IF(A252="","",IFERROR(INT((A252-DATE(2026,4,27))/7)+1,""))</f>
        <v/>
      </c>
      <c r="C252" s="16" t="n"/>
      <c r="D252" s="17" t="n"/>
      <c r="E252" s="16" t="n"/>
      <c r="F252" s="16" t="n"/>
      <c r="G252" s="18" t="n"/>
      <c r="H252" s="16" t="n"/>
      <c r="I252" s="19">
        <f>IF(OR(F252="",G252=""),"",F252*G252)</f>
        <v/>
      </c>
      <c r="J252" s="18">
        <f>IF(OR(F252="",G252=""),"",ROUND(G252*(1+F252/30),1))</f>
        <v/>
      </c>
      <c r="K252" s="20" t="n"/>
    </row>
    <row r="253" ht="18" customHeight="1">
      <c r="A253" s="21" t="n"/>
      <c r="B253" s="22">
        <f>IF(A253="","",IFERROR(INT((A253-DATE(2026,4,27))/7)+1,""))</f>
        <v/>
      </c>
      <c r="C253" s="22" t="n"/>
      <c r="D253" s="23" t="n"/>
      <c r="E253" s="22" t="n"/>
      <c r="F253" s="22" t="n"/>
      <c r="G253" s="24" t="n"/>
      <c r="H253" s="22" t="n"/>
      <c r="I253" s="25">
        <f>IF(OR(F253="",G253=""),"",F253*G253)</f>
        <v/>
      </c>
      <c r="J253" s="24">
        <f>IF(OR(F253="",G253=""),"",ROUND(G253*(1+F253/30),1))</f>
        <v/>
      </c>
      <c r="K253" s="26" t="n"/>
    </row>
    <row r="254" ht="18" customHeight="1">
      <c r="A254" s="15" t="n"/>
      <c r="B254" s="16">
        <f>IF(A254="","",IFERROR(INT((A254-DATE(2026,4,27))/7)+1,""))</f>
        <v/>
      </c>
      <c r="C254" s="16" t="n"/>
      <c r="D254" s="17" t="n"/>
      <c r="E254" s="16" t="n"/>
      <c r="F254" s="16" t="n"/>
      <c r="G254" s="18" t="n"/>
      <c r="H254" s="16" t="n"/>
      <c r="I254" s="19">
        <f>IF(OR(F254="",G254=""),"",F254*G254)</f>
        <v/>
      </c>
      <c r="J254" s="18">
        <f>IF(OR(F254="",G254=""),"",ROUND(G254*(1+F254/30),1))</f>
        <v/>
      </c>
      <c r="K254" s="20" t="n"/>
    </row>
    <row r="255" ht="18" customHeight="1">
      <c r="A255" s="21" t="n"/>
      <c r="B255" s="22">
        <f>IF(A255="","",IFERROR(INT((A255-DATE(2026,4,27))/7)+1,""))</f>
        <v/>
      </c>
      <c r="C255" s="22" t="n"/>
      <c r="D255" s="23" t="n"/>
      <c r="E255" s="22" t="n"/>
      <c r="F255" s="22" t="n"/>
      <c r="G255" s="24" t="n"/>
      <c r="H255" s="22" t="n"/>
      <c r="I255" s="25">
        <f>IF(OR(F255="",G255=""),"",F255*G255)</f>
        <v/>
      </c>
      <c r="J255" s="24">
        <f>IF(OR(F255="",G255=""),"",ROUND(G255*(1+F255/30),1))</f>
        <v/>
      </c>
      <c r="K255" s="26" t="n"/>
    </row>
    <row r="256" ht="18" customHeight="1">
      <c r="A256" s="15" t="n"/>
      <c r="B256" s="16">
        <f>IF(A256="","",IFERROR(INT((A256-DATE(2026,4,27))/7)+1,""))</f>
        <v/>
      </c>
      <c r="C256" s="16" t="n"/>
      <c r="D256" s="17" t="n"/>
      <c r="E256" s="16" t="n"/>
      <c r="F256" s="16" t="n"/>
      <c r="G256" s="18" t="n"/>
      <c r="H256" s="16" t="n"/>
      <c r="I256" s="19">
        <f>IF(OR(F256="",G256=""),"",F256*G256)</f>
        <v/>
      </c>
      <c r="J256" s="18">
        <f>IF(OR(F256="",G256=""),"",ROUND(G256*(1+F256/30),1))</f>
        <v/>
      </c>
      <c r="K256" s="20" t="n"/>
    </row>
    <row r="257" ht="18" customHeight="1">
      <c r="A257" s="21" t="n"/>
      <c r="B257" s="22">
        <f>IF(A257="","",IFERROR(INT((A257-DATE(2026,4,27))/7)+1,""))</f>
        <v/>
      </c>
      <c r="C257" s="22" t="n"/>
      <c r="D257" s="23" t="n"/>
      <c r="E257" s="22" t="n"/>
      <c r="F257" s="22" t="n"/>
      <c r="G257" s="24" t="n"/>
      <c r="H257" s="22" t="n"/>
      <c r="I257" s="25">
        <f>IF(OR(F257="",G257=""),"",F257*G257)</f>
        <v/>
      </c>
      <c r="J257" s="24">
        <f>IF(OR(F257="",G257=""),"",ROUND(G257*(1+F257/30),1))</f>
        <v/>
      </c>
      <c r="K257" s="26" t="n"/>
    </row>
    <row r="258" ht="18" customHeight="1">
      <c r="A258" s="15" t="n"/>
      <c r="B258" s="16">
        <f>IF(A258="","",IFERROR(INT((A258-DATE(2026,4,27))/7)+1,""))</f>
        <v/>
      </c>
      <c r="C258" s="16" t="n"/>
      <c r="D258" s="17" t="n"/>
      <c r="E258" s="16" t="n"/>
      <c r="F258" s="16" t="n"/>
      <c r="G258" s="18" t="n"/>
      <c r="H258" s="16" t="n"/>
      <c r="I258" s="19">
        <f>IF(OR(F258="",G258=""),"",F258*G258)</f>
        <v/>
      </c>
      <c r="J258" s="18">
        <f>IF(OR(F258="",G258=""),"",ROUND(G258*(1+F258/30),1))</f>
        <v/>
      </c>
      <c r="K258" s="20" t="n"/>
    </row>
    <row r="259" ht="18" customHeight="1">
      <c r="A259" s="21" t="n"/>
      <c r="B259" s="22">
        <f>IF(A259="","",IFERROR(INT((A259-DATE(2026,4,27))/7)+1,""))</f>
        <v/>
      </c>
      <c r="C259" s="22" t="n"/>
      <c r="D259" s="23" t="n"/>
      <c r="E259" s="22" t="n"/>
      <c r="F259" s="22" t="n"/>
      <c r="G259" s="24" t="n"/>
      <c r="H259" s="22" t="n"/>
      <c r="I259" s="25">
        <f>IF(OR(F259="",G259=""),"",F259*G259)</f>
        <v/>
      </c>
      <c r="J259" s="24">
        <f>IF(OR(F259="",G259=""),"",ROUND(G259*(1+F259/30),1))</f>
        <v/>
      </c>
      <c r="K259" s="26" t="n"/>
    </row>
    <row r="260" ht="18" customHeight="1">
      <c r="A260" s="15" t="n"/>
      <c r="B260" s="16">
        <f>IF(A260="","",IFERROR(INT((A260-DATE(2026,4,27))/7)+1,""))</f>
        <v/>
      </c>
      <c r="C260" s="16" t="n"/>
      <c r="D260" s="17" t="n"/>
      <c r="E260" s="16" t="n"/>
      <c r="F260" s="16" t="n"/>
      <c r="G260" s="18" t="n"/>
      <c r="H260" s="16" t="n"/>
      <c r="I260" s="19">
        <f>IF(OR(F260="",G260=""),"",F260*G260)</f>
        <v/>
      </c>
      <c r="J260" s="18">
        <f>IF(OR(F260="",G260=""),"",ROUND(G260*(1+F260/30),1))</f>
        <v/>
      </c>
      <c r="K260" s="20" t="n"/>
    </row>
    <row r="261" ht="18" customHeight="1">
      <c r="A261" s="21" t="n"/>
      <c r="B261" s="22">
        <f>IF(A261="","",IFERROR(INT((A261-DATE(2026,4,27))/7)+1,""))</f>
        <v/>
      </c>
      <c r="C261" s="22" t="n"/>
      <c r="D261" s="23" t="n"/>
      <c r="E261" s="22" t="n"/>
      <c r="F261" s="22" t="n"/>
      <c r="G261" s="24" t="n"/>
      <c r="H261" s="22" t="n"/>
      <c r="I261" s="25">
        <f>IF(OR(F261="",G261=""),"",F261*G261)</f>
        <v/>
      </c>
      <c r="J261" s="24">
        <f>IF(OR(F261="",G261=""),"",ROUND(G261*(1+F261/30),1))</f>
        <v/>
      </c>
      <c r="K261" s="26" t="n"/>
    </row>
    <row r="262" ht="18" customHeight="1">
      <c r="A262" s="15" t="n"/>
      <c r="B262" s="16">
        <f>IF(A262="","",IFERROR(INT((A262-DATE(2026,4,27))/7)+1,""))</f>
        <v/>
      </c>
      <c r="C262" s="16" t="n"/>
      <c r="D262" s="17" t="n"/>
      <c r="E262" s="16" t="n"/>
      <c r="F262" s="16" t="n"/>
      <c r="G262" s="18" t="n"/>
      <c r="H262" s="16" t="n"/>
      <c r="I262" s="19">
        <f>IF(OR(F262="",G262=""),"",F262*G262)</f>
        <v/>
      </c>
      <c r="J262" s="18">
        <f>IF(OR(F262="",G262=""),"",ROUND(G262*(1+F262/30),1))</f>
        <v/>
      </c>
      <c r="K262" s="20" t="n"/>
    </row>
    <row r="263" ht="18" customHeight="1">
      <c r="A263" s="21" t="n"/>
      <c r="B263" s="22">
        <f>IF(A263="","",IFERROR(INT((A263-DATE(2026,4,27))/7)+1,""))</f>
        <v/>
      </c>
      <c r="C263" s="22" t="n"/>
      <c r="D263" s="23" t="n"/>
      <c r="E263" s="22" t="n"/>
      <c r="F263" s="22" t="n"/>
      <c r="G263" s="24" t="n"/>
      <c r="H263" s="22" t="n"/>
      <c r="I263" s="25">
        <f>IF(OR(F263="",G263=""),"",F263*G263)</f>
        <v/>
      </c>
      <c r="J263" s="24">
        <f>IF(OR(F263="",G263=""),"",ROUND(G263*(1+F263/30),1))</f>
        <v/>
      </c>
      <c r="K263" s="26" t="n"/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/>
      <c r="B3" s="22">
        <f>IF(A3="","",IFERROR(INT((A3-DATE(2026,4,27))/7)+1,""))</f>
        <v/>
      </c>
      <c r="C3" s="28" t="n"/>
      <c r="D3" s="24" t="n"/>
      <c r="E3" s="22">
        <f>IF(OR(C3="",D3=""),"",TEXT(D3/C3/1440,"m:ss"))</f>
        <v/>
      </c>
      <c r="F3" s="22" t="n"/>
      <c r="G3" s="22" t="n"/>
      <c r="H3" s="22" t="n"/>
      <c r="I3" s="22" t="n"/>
      <c r="J3" s="26" t="n"/>
    </row>
    <row r="4" ht="18" customHeight="1">
      <c r="A4" s="15" t="n"/>
      <c r="B4" s="16">
        <f>IF(A4="","",IFERROR(INT((A4-DATE(2026,4,27))/7)+1,""))</f>
        <v/>
      </c>
      <c r="C4" s="27" t="n"/>
      <c r="D4" s="18" t="n"/>
      <c r="E4" s="16">
        <f>IF(OR(C4="",D4=""),"",TEXT(D4/C4/1440,"m:ss"))</f>
        <v/>
      </c>
      <c r="F4" s="16" t="n"/>
      <c r="G4" s="16" t="n"/>
      <c r="H4" s="16" t="n"/>
      <c r="I4" s="16" t="n"/>
      <c r="J4" s="20" t="n"/>
    </row>
    <row r="5" ht="18" customHeight="1">
      <c r="A5" s="21" t="n"/>
      <c r="B5" s="22">
        <f>IF(A5="","",IFERROR(INT((A5-DATE(2026,4,27))/7)+1,""))</f>
        <v/>
      </c>
      <c r="C5" s="28" t="n"/>
      <c r="D5" s="24" t="n"/>
      <c r="E5" s="22">
        <f>IF(OR(C5="",D5=""),"",TEXT(D5/C5/1440,"m:ss"))</f>
        <v/>
      </c>
      <c r="F5" s="22" t="n"/>
      <c r="G5" s="22" t="n"/>
      <c r="H5" s="22" t="n"/>
      <c r="I5" s="22" t="n"/>
      <c r="J5" s="26" t="n"/>
    </row>
    <row r="6" ht="18" customHeight="1">
      <c r="A6" s="15" t="n"/>
      <c r="B6" s="16">
        <f>IF(A6="","",IFERROR(INT((A6-DATE(2026,4,27))/7)+1,""))</f>
        <v/>
      </c>
      <c r="C6" s="27" t="n"/>
      <c r="D6" s="18" t="n"/>
      <c r="E6" s="16">
        <f>IF(OR(C6="",D6=""),"",TEXT(D6/C6/1440,"m:ss"))</f>
        <v/>
      </c>
      <c r="F6" s="16" t="n"/>
      <c r="G6" s="16" t="n"/>
      <c r="H6" s="16" t="n"/>
      <c r="I6" s="16" t="n"/>
      <c r="J6" s="20" t="n"/>
    </row>
    <row r="7" ht="18" customHeight="1">
      <c r="A7" s="21" t="n"/>
      <c r="B7" s="22">
        <f>IF(A7="","",IFERROR(INT((A7-DATE(2026,4,27))/7)+1,""))</f>
        <v/>
      </c>
      <c r="C7" s="28" t="n"/>
      <c r="D7" s="24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/>
      <c r="B6" s="16">
        <f>IF(A6="","",IFERROR(INT((A6-DATE(2026,4,27))/7)+1,""))</f>
        <v/>
      </c>
      <c r="C6" s="18" t="n"/>
      <c r="D6" s="18" t="n"/>
      <c r="E6" s="18" t="n"/>
      <c r="F6" s="18" t="n"/>
      <c r="G6" s="18" t="n"/>
      <c r="H6" s="18" t="n"/>
      <c r="I6" s="20" t="n"/>
    </row>
    <row r="7" ht="18" customHeight="1">
      <c r="A7" s="21" t="n"/>
      <c r="B7" s="22">
        <f>IF(A7="","",IFERROR(INT((A7-DATE(2026,4,27))/7)+1,""))</f>
        <v/>
      </c>
      <c r="C7" s="24" t="n"/>
      <c r="D7" s="24" t="n"/>
      <c r="E7" s="24" t="n"/>
      <c r="F7" s="24" t="n"/>
      <c r="G7" s="24" t="n"/>
      <c r="H7" s="24" t="n"/>
      <c r="I7" s="26" t="n"/>
    </row>
    <row r="8" ht="18" customHeight="1">
      <c r="A8" s="15" t="n"/>
      <c r="B8" s="16">
        <f>IF(A8="","",IFERROR(INT((A8-DATE(2026,4,27))/7)+1,""))</f>
        <v/>
      </c>
      <c r="C8" s="18" t="n"/>
      <c r="D8" s="18" t="n"/>
      <c r="E8" s="18" t="n"/>
      <c r="F8" s="18" t="n"/>
      <c r="G8" s="18" t="n"/>
      <c r="H8" s="18" t="n"/>
      <c r="I8" s="20" t="n"/>
    </row>
    <row r="9" ht="18" customHeight="1">
      <c r="A9" s="21" t="n"/>
      <c r="B9" s="22">
        <f>IF(A9="","",IFERROR(INT((A9-DATE(2026,4,27))/7)+1,""))</f>
        <v/>
      </c>
      <c r="C9" s="24" t="n"/>
      <c r="D9" s="24" t="n"/>
      <c r="E9" s="24" t="n"/>
      <c r="F9" s="24" t="n"/>
      <c r="G9" s="24" t="n"/>
      <c r="H9" s="24" t="n"/>
      <c r="I9" s="26" t="n"/>
    </row>
    <row r="10" ht="18" customHeight="1">
      <c r="A10" s="15" t="n"/>
      <c r="B10" s="16">
        <f>IF(A10="","",IFERROR(INT((A10-DATE(2026,4,27))/7)+1,""))</f>
        <v/>
      </c>
      <c r="C10" s="18" t="n"/>
      <c r="D10" s="18" t="n"/>
      <c r="E10" s="18" t="n"/>
      <c r="F10" s="18" t="n"/>
      <c r="G10" s="18" t="n"/>
      <c r="H10" s="18" t="n"/>
      <c r="I10" s="20" t="n"/>
    </row>
    <row r="11" ht="18" customHeight="1">
      <c r="A11" s="21" t="n"/>
      <c r="B11" s="22">
        <f>IF(A11="","",IFERROR(INT((A11-DATE(2026,4,27))/7)+1,""))</f>
        <v/>
      </c>
      <c r="C11" s="24" t="n"/>
      <c r="D11" s="24" t="n"/>
      <c r="E11" s="24" t="n"/>
      <c r="F11" s="24" t="n"/>
      <c r="G11" s="24" t="n"/>
      <c r="H11" s="24" t="n"/>
      <c r="I11" s="26" t="n"/>
    </row>
    <row r="12" ht="18" customHeight="1">
      <c r="A12" s="15" t="n"/>
      <c r="B12" s="16">
        <f>IF(A12="","",IFERROR(INT((A12-DATE(2026,4,27))/7)+1,""))</f>
        <v/>
      </c>
      <c r="C12" s="18" t="n"/>
      <c r="D12" s="18" t="n"/>
      <c r="E12" s="18" t="n"/>
      <c r="F12" s="18" t="n"/>
      <c r="G12" s="18" t="n"/>
      <c r="H12" s="18" t="n"/>
      <c r="I12" s="20" t="n"/>
    </row>
    <row r="13" ht="18" customHeight="1">
      <c r="A13" s="21" t="n"/>
      <c r="B13" s="22">
        <f>IF(A13="","",IFERROR(INT((A13-DATE(2026,4,27))/7)+1,""))</f>
        <v/>
      </c>
      <c r="C13" s="24" t="n"/>
      <c r="D13" s="24" t="n"/>
      <c r="E13" s="24" t="n"/>
      <c r="F13" s="24" t="n"/>
      <c r="G13" s="24" t="n"/>
      <c r="H13" s="24" t="n"/>
      <c r="I13" s="26" t="n"/>
    </row>
    <row r="14" ht="18" customHeight="1">
      <c r="A14" s="15" t="n"/>
      <c r="B14" s="16">
        <f>IF(A14="","",IFERROR(INT((A14-DATE(2026,4,27))/7)+1,""))</f>
        <v/>
      </c>
      <c r="C14" s="18" t="n"/>
      <c r="D14" s="18" t="n"/>
      <c r="E14" s="18" t="n"/>
      <c r="F14" s="18" t="n"/>
      <c r="G14" s="18" t="n"/>
      <c r="H14" s="18" t="n"/>
      <c r="I14" s="20" t="n"/>
    </row>
    <row r="15" ht="18" customHeight="1">
      <c r="A15" s="21" t="n"/>
      <c r="B15" s="22">
        <f>IF(A15="","",IFERROR(INT((A15-DATE(2026,4,27))/7)+1,""))</f>
        <v/>
      </c>
      <c r="C15" s="24" t="n"/>
      <c r="D15" s="24" t="n"/>
      <c r="E15" s="24" t="n"/>
      <c r="F15" s="24" t="n"/>
      <c r="G15" s="24" t="n"/>
      <c r="H15" s="24" t="n"/>
      <c r="I15" s="26" t="n"/>
    </row>
    <row r="16" ht="18" customHeight="1">
      <c r="A16" s="15" t="n"/>
      <c r="B16" s="16">
        <f>IF(A16="","",IFERROR(INT((A16-DATE(2026,4,27))/7)+1,""))</f>
        <v/>
      </c>
      <c r="C16" s="18" t="n"/>
      <c r="D16" s="18" t="n"/>
      <c r="E16" s="18" t="n"/>
      <c r="F16" s="18" t="n"/>
      <c r="G16" s="18" t="n"/>
      <c r="H16" s="18" t="n"/>
      <c r="I16" s="20" t="n"/>
    </row>
    <row r="17" ht="18" customHeight="1">
      <c r="A17" s="21" t="n"/>
      <c r="B17" s="22">
        <f>IF(A17="","",IFERROR(INT((A17-DATE(2026,4,27))/7)+1,""))</f>
        <v/>
      </c>
      <c r="C17" s="24" t="n"/>
      <c r="D17" s="24" t="n"/>
      <c r="E17" s="24" t="n"/>
      <c r="F17" s="24" t="n"/>
      <c r="G17" s="24" t="n"/>
      <c r="H17" s="24" t="n"/>
      <c r="I17" s="26" t="n"/>
    </row>
    <row r="18" ht="18" customHeight="1">
      <c r="A18" s="15" t="n"/>
      <c r="B18" s="16">
        <f>IF(A18="","",IFERROR(INT((A18-DATE(2026,4,27))/7)+1,""))</f>
        <v/>
      </c>
      <c r="C18" s="18" t="n"/>
      <c r="D18" s="18" t="n"/>
      <c r="E18" s="18" t="n"/>
      <c r="F18" s="18" t="n"/>
      <c r="G18" s="18" t="n"/>
      <c r="H18" s="18" t="n"/>
      <c r="I18" s="20" t="n"/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2026-05-10T11:29:14Z</dcterms:created>
  <dcterms:modified xmlns:dcterms="http://purl.org/dc/terms/" xmlns:xsi="http://www.w3.org/2001/XMLSchema-instance" xsi:type="dcterms:W3CDTF">2026-05-10T11:29:14Z</dcterms:modified>
</cp:coreProperties>
</file>