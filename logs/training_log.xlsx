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c r="B432" s="16">
        <f>IF(A432="","",IFERROR(INT((A432-DATE(2026,4,27))/7)+1,""))</f>
        <v/>
      </c>
      <c r="C432" s="16" t="n"/>
      <c r="D432" s="17" t="n"/>
      <c r="E432" s="16" t="n"/>
      <c r="F432" s="16" t="n"/>
      <c r="G432" s="36" t="n"/>
      <c r="H432" s="16" t="n"/>
      <c r="I432" s="19">
        <f>IF(OR(F432="",G432=""),"",F432*G432)</f>
        <v/>
      </c>
      <c r="J432" s="36">
        <f>IF(OR(F432="",G432=""),"",ROUND(G432*(1+F432/30),1))</f>
        <v/>
      </c>
      <c r="K432" s="20" t="n"/>
    </row>
    <row r="433" ht="18" customHeight="1">
      <c r="A433" s="37" t="n"/>
      <c r="B433" s="22">
        <f>IF(A433="","",IFERROR(INT((A433-DATE(2026,4,27))/7)+1,""))</f>
        <v/>
      </c>
      <c r="C433" s="22" t="n"/>
      <c r="D433" s="23" t="n"/>
      <c r="E433" s="22" t="n"/>
      <c r="F433" s="22" t="n"/>
      <c r="G433" s="38" t="n"/>
      <c r="H433" s="22" t="n"/>
      <c r="I433" s="25">
        <f>IF(OR(F433="",G433=""),"",F433*G433)</f>
        <v/>
      </c>
      <c r="J433" s="38">
        <f>IF(OR(F433="",G433=""),"",ROUND(G433*(1+F433/30),1))</f>
        <v/>
      </c>
      <c r="K433" s="26" t="n"/>
    </row>
    <row r="434" ht="18" customHeight="1">
      <c r="A434" s="35" t="n"/>
      <c r="B434" s="16">
        <f>IF(A434="","",IFERROR(INT((A434-DATE(2026,4,27))/7)+1,""))</f>
        <v/>
      </c>
      <c r="C434" s="16" t="n"/>
      <c r="D434" s="17" t="n"/>
      <c r="E434" s="16" t="n"/>
      <c r="F434" s="16" t="n"/>
      <c r="G434" s="36" t="n"/>
      <c r="H434" s="16" t="n"/>
      <c r="I434" s="19">
        <f>IF(OR(F434="",G434=""),"",F434*G434)</f>
        <v/>
      </c>
      <c r="J434" s="36">
        <f>IF(OR(F434="",G434=""),"",ROUND(G434*(1+F434/30),1))</f>
        <v/>
      </c>
      <c r="K434" s="20" t="n"/>
    </row>
    <row r="435" ht="18" customHeight="1">
      <c r="A435" s="37" t="n"/>
      <c r="B435" s="22">
        <f>IF(A435="","",IFERROR(INT((A435-DATE(2026,4,27))/7)+1,""))</f>
        <v/>
      </c>
      <c r="C435" s="22" t="n"/>
      <c r="D435" s="23" t="n"/>
      <c r="E435" s="22" t="n"/>
      <c r="F435" s="22" t="n"/>
      <c r="G435" s="38" t="n"/>
      <c r="H435" s="22" t="n"/>
      <c r="I435" s="25">
        <f>IF(OR(F435="",G435=""),"",F435*G435)</f>
        <v/>
      </c>
      <c r="J435" s="38">
        <f>IF(OR(F435="",G435=""),"",ROUND(G435*(1+F435/30),1))</f>
        <v/>
      </c>
      <c r="K435" s="26" t="n"/>
    </row>
    <row r="436" ht="18" customHeight="1">
      <c r="A436" s="35" t="n"/>
      <c r="B436" s="16">
        <f>IF(A436="","",IFERROR(INT((A436-DATE(2026,4,27))/7)+1,""))</f>
        <v/>
      </c>
      <c r="C436" s="16" t="n"/>
      <c r="D436" s="17" t="n"/>
      <c r="E436" s="16" t="n"/>
      <c r="F436" s="16" t="n"/>
      <c r="G436" s="36" t="n"/>
      <c r="H436" s="16" t="n"/>
      <c r="I436" s="19">
        <f>IF(OR(F436="",G436=""),"",F436*G436)</f>
        <v/>
      </c>
      <c r="J436" s="36">
        <f>IF(OR(F436="",G436=""),"",ROUND(G436*(1+F436/30),1))</f>
        <v/>
      </c>
      <c r="K436" s="20" t="n"/>
    </row>
    <row r="437" ht="18" customHeight="1">
      <c r="A437" s="37" t="n"/>
      <c r="B437" s="22">
        <f>IF(A437="","",IFERROR(INT((A437-DATE(2026,4,27))/7)+1,""))</f>
        <v/>
      </c>
      <c r="C437" s="22" t="n"/>
      <c r="D437" s="23" t="n"/>
      <c r="E437" s="22" t="n"/>
      <c r="F437" s="22" t="n"/>
      <c r="G437" s="38" t="n"/>
      <c r="H437" s="22" t="n"/>
      <c r="I437" s="25">
        <f>IF(OR(F437="",G437=""),"",F437*G437)</f>
        <v/>
      </c>
      <c r="J437" s="38">
        <f>IF(OR(F437="",G437=""),"",ROUND(G437*(1+F437/30),1))</f>
        <v/>
      </c>
      <c r="K437" s="26" t="n"/>
    </row>
    <row r="438" ht="18" customHeight="1">
      <c r="A438" s="35" t="n"/>
      <c r="B438" s="16">
        <f>IF(A438="","",IFERROR(INT((A438-DATE(2026,4,27))/7)+1,""))</f>
        <v/>
      </c>
      <c r="C438" s="16" t="n"/>
      <c r="D438" s="17" t="n"/>
      <c r="E438" s="16" t="n"/>
      <c r="F438" s="16" t="n"/>
      <c r="G438" s="36" t="n"/>
      <c r="H438" s="16" t="n"/>
      <c r="I438" s="19">
        <f>IF(OR(F438="",G438=""),"",F438*G438)</f>
        <v/>
      </c>
      <c r="J438" s="36">
        <f>IF(OR(F438="",G438=""),"",ROUND(G438*(1+F438/30),1))</f>
        <v/>
      </c>
      <c r="K438" s="20" t="n"/>
    </row>
    <row r="439" ht="18" customHeight="1">
      <c r="A439" s="37" t="n"/>
      <c r="B439" s="22">
        <f>IF(A439="","",IFERROR(INT((A439-DATE(2026,4,27))/7)+1,""))</f>
        <v/>
      </c>
      <c r="C439" s="22" t="n"/>
      <c r="D439" s="23" t="n"/>
      <c r="E439" s="22" t="n"/>
      <c r="F439" s="22" t="n"/>
      <c r="G439" s="38" t="n"/>
      <c r="H439" s="22" t="n"/>
      <c r="I439" s="25">
        <f>IF(OR(F439="",G439=""),"",F439*G439)</f>
        <v/>
      </c>
      <c r="J439" s="38">
        <f>IF(OR(F439="",G439=""),"",ROUND(G439*(1+F439/30),1))</f>
        <v/>
      </c>
      <c r="K439" s="26" t="n"/>
    </row>
    <row r="440" ht="18" customHeight="1">
      <c r="A440" s="35" t="n"/>
      <c r="B440" s="16">
        <f>IF(A440="","",IFERROR(INT((A440-DATE(2026,4,27))/7)+1,""))</f>
        <v/>
      </c>
      <c r="C440" s="16" t="n"/>
      <c r="D440" s="17" t="n"/>
      <c r="E440" s="16" t="n"/>
      <c r="F440" s="16" t="n"/>
      <c r="G440" s="36" t="n"/>
      <c r="H440" s="16" t="n"/>
      <c r="I440" s="19">
        <f>IF(OR(F440="",G440=""),"",F440*G440)</f>
        <v/>
      </c>
      <c r="J440" s="36">
        <f>IF(OR(F440="",G440=""),"",ROUND(G440*(1+F440/30),1))</f>
        <v/>
      </c>
      <c r="K440" s="20" t="n"/>
    </row>
    <row r="441" ht="18" customHeight="1">
      <c r="A441" s="37" t="n"/>
      <c r="B441" s="22">
        <f>IF(A441="","",IFERROR(INT((A441-DATE(2026,4,27))/7)+1,""))</f>
        <v/>
      </c>
      <c r="C441" s="22" t="n"/>
      <c r="D441" s="23" t="n"/>
      <c r="E441" s="22" t="n"/>
      <c r="F441" s="22" t="n"/>
      <c r="G441" s="38" t="n"/>
      <c r="H441" s="22" t="n"/>
      <c r="I441" s="25">
        <f>IF(OR(F441="",G441=""),"",F441*G441)</f>
        <v/>
      </c>
      <c r="J441" s="38">
        <f>IF(OR(F441="",G441=""),"",ROUND(G441*(1+F441/30),1))</f>
        <v/>
      </c>
      <c r="K441" s="26" t="n"/>
    </row>
    <row r="442" ht="18" customHeight="1">
      <c r="A442" s="35" t="n"/>
      <c r="B442" s="16">
        <f>IF(A442="","",IFERROR(INT((A442-DATE(2026,4,27))/7)+1,""))</f>
        <v/>
      </c>
      <c r="C442" s="16" t="n"/>
      <c r="D442" s="17" t="n"/>
      <c r="E442" s="16" t="n"/>
      <c r="F442" s="16" t="n"/>
      <c r="G442" s="36" t="n"/>
      <c r="H442" s="16" t="n"/>
      <c r="I442" s="19">
        <f>IF(OR(F442="",G442=""),"",F442*G442)</f>
        <v/>
      </c>
      <c r="J442" s="36">
        <f>IF(OR(F442="",G442=""),"",ROUND(G442*(1+F442/30),1))</f>
        <v/>
      </c>
      <c r="K442" s="20" t="n"/>
    </row>
    <row r="443" ht="18" customHeight="1">
      <c r="A443" s="37" t="n"/>
      <c r="B443" s="22">
        <f>IF(A443="","",IFERROR(INT((A443-DATE(2026,4,27))/7)+1,""))</f>
        <v/>
      </c>
      <c r="C443" s="22" t="n"/>
      <c r="D443" s="23" t="n"/>
      <c r="E443" s="22" t="n"/>
      <c r="F443" s="22" t="n"/>
      <c r="G443" s="38" t="n"/>
      <c r="H443" s="22" t="n"/>
      <c r="I443" s="25">
        <f>IF(OR(F443="",G443=""),"",F443*G443)</f>
        <v/>
      </c>
      <c r="J443" s="38">
        <f>IF(OR(F443="",G443=""),"",ROUND(G443*(1+F443/30),1))</f>
        <v/>
      </c>
      <c r="K443" s="26" t="n"/>
    </row>
    <row r="444" ht="18" customHeight="1">
      <c r="A444" s="35" t="n"/>
      <c r="B444" s="16">
        <f>IF(A444="","",IFERROR(INT((A444-DATE(2026,4,27))/7)+1,""))</f>
        <v/>
      </c>
      <c r="C444" s="16" t="n"/>
      <c r="D444" s="17" t="n"/>
      <c r="E444" s="16" t="n"/>
      <c r="F444" s="16" t="n"/>
      <c r="G444" s="36" t="n"/>
      <c r="H444" s="16" t="n"/>
      <c r="I444" s="19">
        <f>IF(OR(F444="",G444=""),"",F444*G444)</f>
        <v/>
      </c>
      <c r="J444" s="36">
        <f>IF(OR(F444="",G444=""),"",ROUND(G444*(1+F444/30),1))</f>
        <v/>
      </c>
      <c r="K444" s="20" t="n"/>
    </row>
    <row r="445" ht="18" customHeight="1">
      <c r="A445" s="37" t="n"/>
      <c r="B445" s="22">
        <f>IF(A445="","",IFERROR(INT((A445-DATE(2026,4,27))/7)+1,""))</f>
        <v/>
      </c>
      <c r="C445" s="22" t="n"/>
      <c r="D445" s="23" t="n"/>
      <c r="E445" s="22" t="n"/>
      <c r="F445" s="22" t="n"/>
      <c r="G445" s="38" t="n"/>
      <c r="H445" s="22" t="n"/>
      <c r="I445" s="25">
        <f>IF(OR(F445="",G445=""),"",F445*G445)</f>
        <v/>
      </c>
      <c r="J445" s="38">
        <f>IF(OR(F445="",G445=""),"",ROUND(G445*(1+F445/30),1))</f>
        <v/>
      </c>
      <c r="K445" s="26" t="n"/>
    </row>
    <row r="446" ht="18" customHeight="1">
      <c r="A446" s="35" t="n"/>
      <c r="B446" s="16">
        <f>IF(A446="","",IFERROR(INT((A446-DATE(2026,4,27))/7)+1,""))</f>
        <v/>
      </c>
      <c r="C446" s="16" t="n"/>
      <c r="D446" s="17" t="n"/>
      <c r="E446" s="16" t="n"/>
      <c r="F446" s="16" t="n"/>
      <c r="G446" s="36" t="n"/>
      <c r="H446" s="16" t="n"/>
      <c r="I446" s="19">
        <f>IF(OR(F446="",G446=""),"",F446*G446)</f>
        <v/>
      </c>
      <c r="J446" s="36">
        <f>IF(OR(F446="",G446=""),"",ROUND(G446*(1+F446/30),1))</f>
        <v/>
      </c>
      <c r="K446" s="20" t="n"/>
    </row>
    <row r="447" ht="18" customHeight="1">
      <c r="A447" s="37" t="n"/>
      <c r="B447" s="22">
        <f>IF(A447="","",IFERROR(INT((A447-DATE(2026,4,27))/7)+1,""))</f>
        <v/>
      </c>
      <c r="C447" s="22" t="n"/>
      <c r="D447" s="23" t="n"/>
      <c r="E447" s="22" t="n"/>
      <c r="F447" s="22" t="n"/>
      <c r="G447" s="38" t="n"/>
      <c r="H447" s="22" t="n"/>
      <c r="I447" s="25">
        <f>IF(OR(F447="",G447=""),"",F447*G447)</f>
        <v/>
      </c>
      <c r="J447" s="38">
        <f>IF(OR(F447="",G447=""),"",ROUND(G447*(1+F447/30),1))</f>
        <v/>
      </c>
      <c r="K447" s="26" t="n"/>
    </row>
    <row r="448" ht="18" customHeight="1">
      <c r="A448" s="35" t="n"/>
      <c r="B448" s="16">
        <f>IF(A448="","",IFERROR(INT((A448-DATE(2026,4,27))/7)+1,""))</f>
        <v/>
      </c>
      <c r="C448" s="16" t="n"/>
      <c r="D448" s="17" t="n"/>
      <c r="E448" s="16" t="n"/>
      <c r="F448" s="16" t="n"/>
      <c r="G448" s="36" t="n"/>
      <c r="H448" s="16" t="n"/>
      <c r="I448" s="19">
        <f>IF(OR(F448="",G448=""),"",F448*G448)</f>
        <v/>
      </c>
      <c r="J448" s="36">
        <f>IF(OR(F448="",G448=""),"",ROUND(G448*(1+F448/30),1))</f>
        <v/>
      </c>
      <c r="K448" s="20" t="n"/>
    </row>
    <row r="449" ht="18" customHeight="1">
      <c r="A449" s="37" t="n"/>
      <c r="B449" s="22">
        <f>IF(A449="","",IFERROR(INT((A449-DATE(2026,4,27))/7)+1,""))</f>
        <v/>
      </c>
      <c r="C449" s="22" t="n"/>
      <c r="D449" s="23" t="n"/>
      <c r="E449" s="22" t="n"/>
      <c r="F449" s="22" t="n"/>
      <c r="G449" s="38" t="n"/>
      <c r="H449" s="22" t="n"/>
      <c r="I449" s="25">
        <f>IF(OR(F449="",G449=""),"",F449*G449)</f>
        <v/>
      </c>
      <c r="J449" s="38">
        <f>IF(OR(F449="",G449=""),"",ROUND(G449*(1+F449/30),1))</f>
        <v/>
      </c>
      <c r="K449" s="26" t="n"/>
    </row>
    <row r="450" ht="18" customHeight="1">
      <c r="A450" s="35" t="n"/>
      <c r="B450" s="16">
        <f>IF(A450="","",IFERROR(INT((A450-DATE(2026,4,27))/7)+1,""))</f>
        <v/>
      </c>
      <c r="C450" s="16" t="n"/>
      <c r="D450" s="17" t="n"/>
      <c r="E450" s="16" t="n"/>
      <c r="F450" s="16" t="n"/>
      <c r="G450" s="36" t="n"/>
      <c r="H450" s="16" t="n"/>
      <c r="I450" s="19">
        <f>IF(OR(F450="",G450=""),"",F450*G450)</f>
        <v/>
      </c>
      <c r="J450" s="36">
        <f>IF(OR(F450="",G450=""),"",ROUND(G450*(1+F450/30),1))</f>
        <v/>
      </c>
      <c r="K450" s="20" t="n"/>
    </row>
    <row r="451" ht="18" customHeight="1">
      <c r="A451" s="37" t="n"/>
      <c r="B451" s="22">
        <f>IF(A451="","",IFERROR(INT((A451-DATE(2026,4,27))/7)+1,""))</f>
        <v/>
      </c>
      <c r="C451" s="22" t="n"/>
      <c r="D451" s="23" t="n"/>
      <c r="E451" s="22" t="n"/>
      <c r="F451" s="22" t="n"/>
      <c r="G451" s="38" t="n"/>
      <c r="H451" s="22" t="n"/>
      <c r="I451" s="25">
        <f>IF(OR(F451="",G451=""),"",F451*G451)</f>
        <v/>
      </c>
      <c r="J451" s="38">
        <f>IF(OR(F451="",G451=""),"",ROUND(G451*(1+F451/30),1))</f>
        <v/>
      </c>
      <c r="K451" s="26" t="n"/>
    </row>
    <row r="452" ht="18" customHeight="1">
      <c r="A452" s="35" t="n"/>
      <c r="B452" s="16">
        <f>IF(A452="","",IFERROR(INT((A452-DATE(2026,4,27))/7)+1,""))</f>
        <v/>
      </c>
      <c r="C452" s="16" t="n"/>
      <c r="D452" s="17" t="n"/>
      <c r="E452" s="16" t="n"/>
      <c r="F452" s="16" t="n"/>
      <c r="G452" s="36" t="n"/>
      <c r="H452" s="16" t="n"/>
      <c r="I452" s="19">
        <f>IF(OR(F452="",G452=""),"",F452*G452)</f>
        <v/>
      </c>
      <c r="J452" s="36">
        <f>IF(OR(F452="",G452=""),"",ROUND(G452*(1+F452/30),1))</f>
        <v/>
      </c>
      <c r="K452" s="20" t="n"/>
    </row>
    <row r="453" ht="18" customHeight="1">
      <c r="A453" s="37" t="n"/>
      <c r="B453" s="22">
        <f>IF(A453="","",IFERROR(INT((A453-DATE(2026,4,27))/7)+1,""))</f>
        <v/>
      </c>
      <c r="C453" s="22" t="n"/>
      <c r="D453" s="23" t="n"/>
      <c r="E453" s="22" t="n"/>
      <c r="F453" s="22" t="n"/>
      <c r="G453" s="38" t="n"/>
      <c r="H453" s="22" t="n"/>
      <c r="I453" s="25">
        <f>IF(OR(F453="",G453=""),"",F453*G453)</f>
        <v/>
      </c>
      <c r="J453" s="38">
        <f>IF(OR(F453="",G453=""),"",ROUND(G453*(1+F453/30),1))</f>
        <v/>
      </c>
      <c r="K453" s="26" t="n"/>
    </row>
    <row r="454" ht="18" customHeight="1">
      <c r="A454" s="35" t="n"/>
      <c r="B454" s="16">
        <f>IF(A454="","",IFERROR(INT((A454-DATE(2026,4,27))/7)+1,""))</f>
        <v/>
      </c>
      <c r="C454" s="16" t="n"/>
      <c r="D454" s="17" t="n"/>
      <c r="E454" s="16" t="n"/>
      <c r="F454" s="16" t="n"/>
      <c r="G454" s="36" t="n"/>
      <c r="H454" s="16" t="n"/>
      <c r="I454" s="19">
        <f>IF(OR(F454="",G454=""),"",F454*G454)</f>
        <v/>
      </c>
      <c r="J454" s="36">
        <f>IF(OR(F454="",G454=""),"",ROUND(G454*(1+F454/30),1))</f>
        <v/>
      </c>
      <c r="K454" s="20" t="n"/>
    </row>
    <row r="455" ht="18" customHeight="1">
      <c r="A455" s="37" t="n"/>
      <c r="B455" s="22">
        <f>IF(A455="","",IFERROR(INT((A455-DATE(2026,4,27))/7)+1,""))</f>
        <v/>
      </c>
      <c r="C455" s="22" t="n"/>
      <c r="D455" s="23" t="n"/>
      <c r="E455" s="22" t="n"/>
      <c r="F455" s="22" t="n"/>
      <c r="G455" s="38" t="n"/>
      <c r="H455" s="22" t="n"/>
      <c r="I455" s="25">
        <f>IF(OR(F455="",G455=""),"",F455*G455)</f>
        <v/>
      </c>
      <c r="J455" s="38">
        <f>IF(OR(F455="",G455=""),"",ROUND(G455*(1+F455/30),1))</f>
        <v/>
      </c>
      <c r="K455" s="26" t="n"/>
    </row>
    <row r="456" ht="18" customHeight="1">
      <c r="A456" s="35" t="n"/>
      <c r="B456" s="16">
        <f>IF(A456="","",IFERROR(INT((A456-DATE(2026,4,27))/7)+1,""))</f>
        <v/>
      </c>
      <c r="C456" s="16" t="n"/>
      <c r="D456" s="17" t="n"/>
      <c r="E456" s="16" t="n"/>
      <c r="F456" s="16" t="n"/>
      <c r="G456" s="36" t="n"/>
      <c r="H456" s="16" t="n"/>
      <c r="I456" s="19">
        <f>IF(OR(F456="",G456=""),"",F456*G456)</f>
        <v/>
      </c>
      <c r="J456" s="36">
        <f>IF(OR(F456="",G456=""),"",ROUND(G456*(1+F456/30),1))</f>
        <v/>
      </c>
      <c r="K456" s="20" t="n"/>
    </row>
    <row r="457" ht="18" customHeight="1">
      <c r="A457" s="37" t="n"/>
      <c r="B457" s="22">
        <f>IF(A457="","",IFERROR(INT((A457-DATE(2026,4,27))/7)+1,""))</f>
        <v/>
      </c>
      <c r="C457" s="22" t="n"/>
      <c r="D457" s="23" t="n"/>
      <c r="E457" s="22" t="n"/>
      <c r="F457" s="22" t="n"/>
      <c r="G457" s="38" t="n"/>
      <c r="H457" s="22" t="n"/>
      <c r="I457" s="25">
        <f>IF(OR(F457="",G457=""),"",F457*G457)</f>
        <v/>
      </c>
      <c r="J457" s="38">
        <f>IF(OR(F457="",G457=""),"",ROUND(G457*(1+F457/30),1))</f>
        <v/>
      </c>
      <c r="K457" s="26" t="n"/>
    </row>
    <row r="458" ht="18" customHeight="1">
      <c r="A458" s="35" t="n"/>
      <c r="B458" s="16">
        <f>IF(A458="","",IFERROR(INT((A458-DATE(2026,4,27))/7)+1,""))</f>
        <v/>
      </c>
      <c r="C458" s="16" t="n"/>
      <c r="D458" s="17" t="n"/>
      <c r="E458" s="16" t="n"/>
      <c r="F458" s="16" t="n"/>
      <c r="G458" s="36" t="n"/>
      <c r="H458" s="16" t="n"/>
      <c r="I458" s="19">
        <f>IF(OR(F458="",G458=""),"",F458*G458)</f>
        <v/>
      </c>
      <c r="J458" s="36">
        <f>IF(OR(F458="",G458=""),"",ROUND(G458*(1+F458/30),1))</f>
        <v/>
      </c>
      <c r="K458" s="20" t="n"/>
    </row>
    <row r="459" ht="18" customHeight="1">
      <c r="A459" s="37" t="n"/>
      <c r="B459" s="22">
        <f>IF(A459="","",IFERROR(INT((A459-DATE(2026,4,27))/7)+1,""))</f>
        <v/>
      </c>
      <c r="C459" s="22" t="n"/>
      <c r="D459" s="23" t="n"/>
      <c r="E459" s="22" t="n"/>
      <c r="F459" s="22" t="n"/>
      <c r="G459" s="38" t="n"/>
      <c r="H459" s="22" t="n"/>
      <c r="I459" s="25">
        <f>IF(OR(F459="",G459=""),"",F459*G459)</f>
        <v/>
      </c>
      <c r="J459" s="38">
        <f>IF(OR(F459="",G459=""),"",ROUND(G459*(1+F459/30),1))</f>
        <v/>
      </c>
      <c r="K459" s="26" t="n"/>
    </row>
    <row r="460" ht="18" customHeight="1">
      <c r="A460" s="35" t="n"/>
      <c r="B460" s="16">
        <f>IF(A460="","",IFERROR(INT((A460-DATE(2026,4,27))/7)+1,""))</f>
        <v/>
      </c>
      <c r="C460" s="16" t="n"/>
      <c r="D460" s="17" t="n"/>
      <c r="E460" s="16" t="n"/>
      <c r="F460" s="16" t="n"/>
      <c r="G460" s="36" t="n"/>
      <c r="H460" s="16" t="n"/>
      <c r="I460" s="19">
        <f>IF(OR(F460="",G460=""),"",F460*G460)</f>
        <v/>
      </c>
      <c r="J460" s="36">
        <f>IF(OR(F460="",G460=""),"",ROUND(G460*(1+F460/30),1))</f>
        <v/>
      </c>
      <c r="K460" s="20" t="n"/>
    </row>
    <row r="461" ht="18" customHeight="1">
      <c r="A461" s="37" t="n"/>
      <c r="B461" s="22">
        <f>IF(A461="","",IFERROR(INT((A461-DATE(2026,4,27))/7)+1,""))</f>
        <v/>
      </c>
      <c r="C461" s="22" t="n"/>
      <c r="D461" s="23" t="n"/>
      <c r="E461" s="22" t="n"/>
      <c r="F461" s="22" t="n"/>
      <c r="G461" s="38" t="n"/>
      <c r="H461" s="22" t="n"/>
      <c r="I461" s="25">
        <f>IF(OR(F461="",G461=""),"",F461*G461)</f>
        <v/>
      </c>
      <c r="J461" s="38">
        <f>IF(OR(F461="",G461=""),"",ROUND(G461*(1+F461/30),1))</f>
        <v/>
      </c>
      <c r="K461" s="26" t="n"/>
    </row>
    <row r="462" ht="18" customHeight="1">
      <c r="A462" s="35" t="n"/>
      <c r="B462" s="16">
        <f>IF(A462="","",IFERROR(INT((A462-DATE(2026,4,27))/7)+1,""))</f>
        <v/>
      </c>
      <c r="C462" s="16" t="n"/>
      <c r="D462" s="17" t="n"/>
      <c r="E462" s="16" t="n"/>
      <c r="F462" s="16" t="n"/>
      <c r="G462" s="36" t="n"/>
      <c r="H462" s="16" t="n"/>
      <c r="I462" s="19">
        <f>IF(OR(F462="",G462=""),"",F462*G462)</f>
        <v/>
      </c>
      <c r="J462" s="36">
        <f>IF(OR(F462="",G462=""),"",ROUND(G462*(1+F462/30),1))</f>
        <v/>
      </c>
      <c r="K462" s="20" t="n"/>
    </row>
    <row r="463" ht="18" customHeight="1">
      <c r="A463" s="37" t="n"/>
      <c r="B463" s="22">
        <f>IF(A463="","",IFERROR(INT((A463-DATE(2026,4,27))/7)+1,""))</f>
        <v/>
      </c>
      <c r="C463" s="22" t="n"/>
      <c r="D463" s="23" t="n"/>
      <c r="E463" s="22" t="n"/>
      <c r="F463" s="22" t="n"/>
      <c r="G463" s="38" t="n"/>
      <c r="H463" s="22" t="n"/>
      <c r="I463" s="25">
        <f>IF(OR(F463="",G463=""),"",F463*G463)</f>
        <v/>
      </c>
      <c r="J463" s="38">
        <f>IF(OR(F463="",G463=""),"",ROUND(G463*(1+F463/30),1))</f>
        <v/>
      </c>
      <c r="K463" s="26" t="n"/>
    </row>
    <row r="464" ht="18" customHeight="1">
      <c r="A464" s="35" t="n"/>
      <c r="B464" s="16">
        <f>IF(A464="","",IFERROR(INT((A464-DATE(2026,4,27))/7)+1,""))</f>
        <v/>
      </c>
      <c r="C464" s="16" t="n"/>
      <c r="D464" s="17" t="n"/>
      <c r="E464" s="16" t="n"/>
      <c r="F464" s="16" t="n"/>
      <c r="G464" s="36" t="n"/>
      <c r="H464" s="16" t="n"/>
      <c r="I464" s="19">
        <f>IF(OR(F464="",G464=""),"",F464*G464)</f>
        <v/>
      </c>
      <c r="J464" s="36">
        <f>IF(OR(F464="",G464=""),"",ROUND(G464*(1+F464/30),1))</f>
        <v/>
      </c>
      <c r="K464" s="20" t="n"/>
    </row>
    <row r="465" ht="18" customHeight="1">
      <c r="A465" s="37" t="n"/>
      <c r="B465" s="22">
        <f>IF(A465="","",IFERROR(INT((A465-DATE(2026,4,27))/7)+1,""))</f>
        <v/>
      </c>
      <c r="C465" s="22" t="n"/>
      <c r="D465" s="23" t="n"/>
      <c r="E465" s="22" t="n"/>
      <c r="F465" s="22" t="n"/>
      <c r="G465" s="38" t="n"/>
      <c r="H465" s="22" t="n"/>
      <c r="I465" s="25">
        <f>IF(OR(F465="",G465=""),"",F465*G465)</f>
        <v/>
      </c>
      <c r="J465" s="38">
        <f>IF(OR(F465="",G465=""),"",ROUND(G465*(1+F465/30),1))</f>
        <v/>
      </c>
      <c r="K465" s="26" t="n"/>
    </row>
    <row r="466" ht="18" customHeight="1">
      <c r="A466" s="35" t="n"/>
      <c r="B466" s="16">
        <f>IF(A466="","",IFERROR(INT((A466-DATE(2026,4,27))/7)+1,""))</f>
        <v/>
      </c>
      <c r="C466" s="16" t="n"/>
      <c r="D466" s="17" t="n"/>
      <c r="E466" s="16" t="n"/>
      <c r="F466" s="16" t="n"/>
      <c r="G466" s="36" t="n"/>
      <c r="H466" s="16" t="n"/>
      <c r="I466" s="19">
        <f>IF(OR(F466="",G466=""),"",F466*G466)</f>
        <v/>
      </c>
      <c r="J466" s="36">
        <f>IF(OR(F466="",G466=""),"",ROUND(G466*(1+F466/30),1))</f>
        <v/>
      </c>
      <c r="K466" s="20" t="n"/>
    </row>
    <row r="467" ht="18" customHeight="1">
      <c r="A467" s="37" t="n"/>
      <c r="B467" s="22">
        <f>IF(A467="","",IFERROR(INT((A467-DATE(2026,4,27))/7)+1,""))</f>
        <v/>
      </c>
      <c r="C467" s="22" t="n"/>
      <c r="D467" s="23" t="n"/>
      <c r="E467" s="22" t="n"/>
      <c r="F467" s="22" t="n"/>
      <c r="G467" s="38" t="n"/>
      <c r="H467" s="22" t="n"/>
      <c r="I467" s="25">
        <f>IF(OR(F467="",G467=""),"",F467*G467)</f>
        <v/>
      </c>
      <c r="J467" s="38">
        <f>IF(OR(F467="",G467=""),"",ROUND(G467*(1+F467/30),1))</f>
        <v/>
      </c>
      <c r="K467" s="26" t="n"/>
    </row>
    <row r="468" ht="18" customHeight="1">
      <c r="A468" s="35" t="n"/>
      <c r="B468" s="16">
        <f>IF(A468="","",IFERROR(INT((A468-DATE(2026,4,27))/7)+1,""))</f>
        <v/>
      </c>
      <c r="C468" s="16" t="n"/>
      <c r="D468" s="17" t="n"/>
      <c r="E468" s="16" t="n"/>
      <c r="F468" s="16" t="n"/>
      <c r="G468" s="36" t="n"/>
      <c r="H468" s="16" t="n"/>
      <c r="I468" s="19">
        <f>IF(OR(F468="",G468=""),"",F468*G468)</f>
        <v/>
      </c>
      <c r="J468" s="36">
        <f>IF(OR(F468="",G468=""),"",ROUND(G468*(1+F468/30),1))</f>
        <v/>
      </c>
      <c r="K468" s="20" t="n"/>
    </row>
    <row r="469" ht="18" customHeight="1">
      <c r="A469" s="37" t="n"/>
      <c r="B469" s="22">
        <f>IF(A469="","",IFERROR(INT((A469-DATE(2026,4,27))/7)+1,""))</f>
        <v/>
      </c>
      <c r="C469" s="22" t="n"/>
      <c r="D469" s="23" t="n"/>
      <c r="E469" s="22" t="n"/>
      <c r="F469" s="22" t="n"/>
      <c r="G469" s="38" t="n"/>
      <c r="H469" s="22" t="n"/>
      <c r="I469" s="25">
        <f>IF(OR(F469="",G469=""),"",F469*G469)</f>
        <v/>
      </c>
      <c r="J469" s="38">
        <f>IF(OR(F469="",G469=""),"",ROUND(G469*(1+F469/30),1))</f>
        <v/>
      </c>
      <c r="K469" s="26" t="n"/>
    </row>
    <row r="470" ht="18" customHeight="1">
      <c r="A470" s="35" t="n"/>
      <c r="B470" s="16">
        <f>IF(A470="","",IFERROR(INT((A470-DATE(2026,4,27))/7)+1,""))</f>
        <v/>
      </c>
      <c r="C470" s="16" t="n"/>
      <c r="D470" s="17" t="n"/>
      <c r="E470" s="16" t="n"/>
      <c r="F470" s="16" t="n"/>
      <c r="G470" s="36" t="n"/>
      <c r="H470" s="16" t="n"/>
      <c r="I470" s="19">
        <f>IF(OR(F470="",G470=""),"",F470*G470)</f>
        <v/>
      </c>
      <c r="J470" s="36">
        <f>IF(OR(F470="",G470=""),"",ROUND(G470*(1+F470/30),1))</f>
        <v/>
      </c>
      <c r="K470" s="20" t="n"/>
    </row>
    <row r="471" ht="18" customHeight="1">
      <c r="A471" s="37" t="n"/>
      <c r="B471" s="22">
        <f>IF(A471="","",IFERROR(INT((A471-DATE(2026,4,27))/7)+1,""))</f>
        <v/>
      </c>
      <c r="C471" s="22" t="n"/>
      <c r="D471" s="23" t="n"/>
      <c r="E471" s="22" t="n"/>
      <c r="F471" s="22" t="n"/>
      <c r="G471" s="38" t="n"/>
      <c r="H471" s="22" t="n"/>
      <c r="I471" s="25">
        <f>IF(OR(F471="",G471=""),"",F471*G471)</f>
        <v/>
      </c>
      <c r="J471" s="38">
        <f>IF(OR(F471="",G471=""),"",ROUND(G471*(1+F471/30),1))</f>
        <v/>
      </c>
      <c r="K471" s="26" t="n"/>
    </row>
    <row r="472" ht="18" customHeight="1">
      <c r="A472" s="35" t="n"/>
      <c r="B472" s="16">
        <f>IF(A472="","",IFERROR(INT((A472-DATE(2026,4,27))/7)+1,""))</f>
        <v/>
      </c>
      <c r="C472" s="16" t="n"/>
      <c r="D472" s="17" t="n"/>
      <c r="E472" s="16" t="n"/>
      <c r="F472" s="16" t="n"/>
      <c r="G472" s="36" t="n"/>
      <c r="H472" s="16" t="n"/>
      <c r="I472" s="19">
        <f>IF(OR(F472="",G472=""),"",F472*G472)</f>
        <v/>
      </c>
      <c r="J472" s="36">
        <f>IF(OR(F472="",G472=""),"",ROUND(G472*(1+F472/30),1))</f>
        <v/>
      </c>
      <c r="K472" s="20" t="n"/>
    </row>
    <row r="473" ht="18" customHeight="1">
      <c r="A473" s="37" t="n"/>
      <c r="B473" s="22">
        <f>IF(A473="","",IFERROR(INT((A473-DATE(2026,4,27))/7)+1,""))</f>
        <v/>
      </c>
      <c r="C473" s="22" t="n"/>
      <c r="D473" s="23" t="n"/>
      <c r="E473" s="22" t="n"/>
      <c r="F473" s="22" t="n"/>
      <c r="G473" s="38" t="n"/>
      <c r="H473" s="22" t="n"/>
      <c r="I473" s="25">
        <f>IF(OR(F473="",G473=""),"",F473*G473)</f>
        <v/>
      </c>
      <c r="J473" s="38">
        <f>IF(OR(F473="",G473=""),"",ROUND(G473*(1+F473/30),1))</f>
        <v/>
      </c>
      <c r="K473" s="26" t="n"/>
    </row>
    <row r="474" ht="18" customHeight="1">
      <c r="A474" s="35" t="n"/>
      <c r="B474" s="16">
        <f>IF(A474="","",IFERROR(INT((A474-DATE(2026,4,27))/7)+1,""))</f>
        <v/>
      </c>
      <c r="C474" s="16" t="n"/>
      <c r="D474" s="17" t="n"/>
      <c r="E474" s="16" t="n"/>
      <c r="F474" s="16" t="n"/>
      <c r="G474" s="36" t="n"/>
      <c r="H474" s="16" t="n"/>
      <c r="I474" s="19">
        <f>IF(OR(F474="",G474=""),"",F474*G474)</f>
        <v/>
      </c>
      <c r="J474" s="36">
        <f>IF(OR(F474="",G474=""),"",ROUND(G474*(1+F474/30),1))</f>
        <v/>
      </c>
      <c r="K474" s="20" t="n"/>
    </row>
    <row r="475" ht="18" customHeight="1">
      <c r="A475" s="37" t="n"/>
      <c r="B475" s="22">
        <f>IF(A475="","",IFERROR(INT((A475-DATE(2026,4,27))/7)+1,""))</f>
        <v/>
      </c>
      <c r="C475" s="22" t="n"/>
      <c r="D475" s="23" t="n"/>
      <c r="E475" s="22" t="n"/>
      <c r="F475" s="22" t="n"/>
      <c r="G475" s="38" t="n"/>
      <c r="H475" s="22" t="n"/>
      <c r="I475" s="25">
        <f>IF(OR(F475="",G475=""),"",F475*G475)</f>
        <v/>
      </c>
      <c r="J475" s="38">
        <f>IF(OR(F475="",G475=""),"",ROUND(G475*(1+F475/30),1))</f>
        <v/>
      </c>
      <c r="K475" s="26" t="n"/>
    </row>
    <row r="476" ht="18" customHeight="1">
      <c r="A476" s="35" t="n"/>
      <c r="B476" s="16">
        <f>IF(A476="","",IFERROR(INT((A476-DATE(2026,4,27))/7)+1,""))</f>
        <v/>
      </c>
      <c r="C476" s="16" t="n"/>
      <c r="D476" s="17" t="n"/>
      <c r="E476" s="16" t="n"/>
      <c r="F476" s="16" t="n"/>
      <c r="G476" s="36" t="n"/>
      <c r="H476" s="16" t="n"/>
      <c r="I476" s="19">
        <f>IF(OR(F476="",G476=""),"",F476*G476)</f>
        <v/>
      </c>
      <c r="J476" s="36">
        <f>IF(OR(F476="",G476=""),"",ROUND(G476*(1+F476/30),1))</f>
        <v/>
      </c>
      <c r="K476" s="20" t="n"/>
    </row>
    <row r="477" ht="18" customHeight="1">
      <c r="A477" s="37" t="n"/>
      <c r="B477" s="22">
        <f>IF(A477="","",IFERROR(INT((A477-DATE(2026,4,27))/7)+1,""))</f>
        <v/>
      </c>
      <c r="C477" s="22" t="n"/>
      <c r="D477" s="23" t="n"/>
      <c r="E477" s="22" t="n"/>
      <c r="F477" s="22" t="n"/>
      <c r="G477" s="38" t="n"/>
      <c r="H477" s="22" t="n"/>
      <c r="I477" s="25">
        <f>IF(OR(F477="",G477=""),"",F477*G477)</f>
        <v/>
      </c>
      <c r="J477" s="38">
        <f>IF(OR(F477="",G477=""),"",ROUND(G477*(1+F477/30),1))</f>
        <v/>
      </c>
      <c r="K477" s="26" t="n"/>
    </row>
    <row r="478" ht="18" customHeight="1">
      <c r="A478" s="35" t="n"/>
      <c r="B478" s="16">
        <f>IF(A478="","",IFERROR(INT((A478-DATE(2026,4,27))/7)+1,""))</f>
        <v/>
      </c>
      <c r="C478" s="16" t="n"/>
      <c r="D478" s="17" t="n"/>
      <c r="E478" s="16" t="n"/>
      <c r="F478" s="16" t="n"/>
      <c r="G478" s="36" t="n"/>
      <c r="H478" s="16" t="n"/>
      <c r="I478" s="19">
        <f>IF(OR(F478="",G478=""),"",F478*G478)</f>
        <v/>
      </c>
      <c r="J478" s="36">
        <f>IF(OR(F478="",G478=""),"",ROUND(G478*(1+F478/30),1))</f>
        <v/>
      </c>
      <c r="K478" s="20" t="n"/>
    </row>
    <row r="479" ht="18" customHeight="1">
      <c r="A479" s="37" t="n"/>
      <c r="B479" s="22">
        <f>IF(A479="","",IFERROR(INT((A479-DATE(2026,4,27))/7)+1,""))</f>
        <v/>
      </c>
      <c r="C479" s="22" t="n"/>
      <c r="D479" s="23" t="n"/>
      <c r="E479" s="22" t="n"/>
      <c r="F479" s="22" t="n"/>
      <c r="G479" s="38" t="n"/>
      <c r="H479" s="22" t="n"/>
      <c r="I479" s="25">
        <f>IF(OR(F479="",G479=""),"",F479*G479)</f>
        <v/>
      </c>
      <c r="J479" s="38">
        <f>IF(OR(F479="",G479=""),"",ROUND(G479*(1+F479/30),1))</f>
        <v/>
      </c>
      <c r="K479" s="26" t="n"/>
    </row>
    <row r="480" ht="18" customHeight="1">
      <c r="A480" s="35" t="n"/>
      <c r="B480" s="16">
        <f>IF(A480="","",IFERROR(INT((A480-DATE(2026,4,27))/7)+1,""))</f>
        <v/>
      </c>
      <c r="C480" s="16" t="n"/>
      <c r="D480" s="17" t="n"/>
      <c r="E480" s="16" t="n"/>
      <c r="F480" s="16" t="n"/>
      <c r="G480" s="36" t="n"/>
      <c r="H480" s="16" t="n"/>
      <c r="I480" s="19">
        <f>IF(OR(F480="",G480=""),"",F480*G480)</f>
        <v/>
      </c>
      <c r="J480" s="36">
        <f>IF(OR(F480="",G480=""),"",ROUND(G480*(1+F480/30),1))</f>
        <v/>
      </c>
      <c r="K480" s="20" t="n"/>
    </row>
    <row r="481" ht="18" customHeight="1">
      <c r="A481" s="37" t="n"/>
      <c r="B481" s="22">
        <f>IF(A481="","",IFERROR(INT((A481-DATE(2026,4,27))/7)+1,""))</f>
        <v/>
      </c>
      <c r="C481" s="22" t="n"/>
      <c r="D481" s="23" t="n"/>
      <c r="E481" s="22" t="n"/>
      <c r="F481" s="22" t="n"/>
      <c r="G481" s="38" t="n"/>
      <c r="H481" s="22" t="n"/>
      <c r="I481" s="25">
        <f>IF(OR(F481="",G481=""),"",F481*G481)</f>
        <v/>
      </c>
      <c r="J481" s="38">
        <f>IF(OR(F481="",G481=""),"",ROUND(G481*(1+F481/30),1))</f>
        <v/>
      </c>
      <c r="K481" s="26" t="n"/>
    </row>
    <row r="482" ht="18" customHeight="1">
      <c r="A482" s="35" t="n"/>
      <c r="B482" s="16">
        <f>IF(A482="","",IFERROR(INT((A482-DATE(2026,4,27))/7)+1,""))</f>
        <v/>
      </c>
      <c r="C482" s="16" t="n"/>
      <c r="D482" s="17" t="n"/>
      <c r="E482" s="16" t="n"/>
      <c r="F482" s="16" t="n"/>
      <c r="G482" s="36" t="n"/>
      <c r="H482" s="16" t="n"/>
      <c r="I482" s="19">
        <f>IF(OR(F482="",G482=""),"",F482*G482)</f>
        <v/>
      </c>
      <c r="J482" s="36">
        <f>IF(OR(F482="",G482=""),"",ROUND(G482*(1+F482/30),1))</f>
        <v/>
      </c>
      <c r="K482" s="20" t="n"/>
    </row>
    <row r="483" ht="18" customHeight="1">
      <c r="A483" s="37" t="n"/>
      <c r="B483" s="22">
        <f>IF(A483="","",IFERROR(INT((A483-DATE(2026,4,27))/7)+1,""))</f>
        <v/>
      </c>
      <c r="C483" s="22" t="n"/>
      <c r="D483" s="23" t="n"/>
      <c r="E483" s="22" t="n"/>
      <c r="F483" s="22" t="n"/>
      <c r="G483" s="38" t="n"/>
      <c r="H483" s="22" t="n"/>
      <c r="I483" s="25">
        <f>IF(OR(F483="",G483=""),"",F483*G483)</f>
        <v/>
      </c>
      <c r="J483" s="38">
        <f>IF(OR(F483="",G483=""),"",ROUND(G483*(1+F483/30),1))</f>
        <v/>
      </c>
      <c r="K483" s="26" t="n"/>
    </row>
    <row r="484" ht="18" customHeight="1">
      <c r="A484" s="35" t="n"/>
      <c r="B484" s="16">
        <f>IF(A484="","",IFERROR(INT((A484-DATE(2026,4,27))/7)+1,""))</f>
        <v/>
      </c>
      <c r="C484" s="16" t="n"/>
      <c r="D484" s="17" t="n"/>
      <c r="E484" s="16" t="n"/>
      <c r="F484" s="16" t="n"/>
      <c r="G484" s="36" t="n"/>
      <c r="H484" s="16" t="n"/>
      <c r="I484" s="19">
        <f>IF(OR(F484="",G484=""),"",F484*G484)</f>
        <v/>
      </c>
      <c r="J484" s="36">
        <f>IF(OR(F484="",G484=""),"",ROUND(G484*(1+F484/30),1))</f>
        <v/>
      </c>
      <c r="K484" s="20" t="n"/>
    </row>
    <row r="485" ht="18" customHeight="1">
      <c r="A485" s="37" t="n"/>
      <c r="B485" s="22">
        <f>IF(A485="","",IFERROR(INT((A485-DATE(2026,4,27))/7)+1,""))</f>
        <v/>
      </c>
      <c r="C485" s="22" t="n"/>
      <c r="D485" s="23" t="n"/>
      <c r="E485" s="22" t="n"/>
      <c r="F485" s="22" t="n"/>
      <c r="G485" s="38" t="n"/>
      <c r="H485" s="22" t="n"/>
      <c r="I485" s="25">
        <f>IF(OR(F485="",G485=""),"",F485*G485)</f>
        <v/>
      </c>
      <c r="J485" s="38">
        <f>IF(OR(F485="",G485=""),"",ROUND(G485*(1+F485/30),1))</f>
        <v/>
      </c>
      <c r="K485" s="26" t="n"/>
    </row>
    <row r="486" ht="18" customHeight="1">
      <c r="A486" s="35" t="n"/>
      <c r="B486" s="16">
        <f>IF(A486="","",IFERROR(INT((A486-DATE(2026,4,27))/7)+1,""))</f>
        <v/>
      </c>
      <c r="C486" s="16" t="n"/>
      <c r="D486" s="17" t="n"/>
      <c r="E486" s="16" t="n"/>
      <c r="F486" s="16" t="n"/>
      <c r="G486" s="36" t="n"/>
      <c r="H486" s="16" t="n"/>
      <c r="I486" s="19">
        <f>IF(OR(F486="",G486=""),"",F486*G486)</f>
        <v/>
      </c>
      <c r="J486" s="36">
        <f>IF(OR(F486="",G486=""),"",ROUND(G486*(1+F486/30),1))</f>
        <v/>
      </c>
      <c r="K486" s="20" t="n"/>
    </row>
    <row r="487" ht="18" customHeight="1">
      <c r="A487" s="37" t="n"/>
      <c r="B487" s="22">
        <f>IF(A487="","",IFERROR(INT((A487-DATE(2026,4,27))/7)+1,""))</f>
        <v/>
      </c>
      <c r="C487" s="22" t="n"/>
      <c r="D487" s="23" t="n"/>
      <c r="E487" s="22" t="n"/>
      <c r="F487" s="22" t="n"/>
      <c r="G487" s="38" t="n"/>
      <c r="H487" s="22" t="n"/>
      <c r="I487" s="25">
        <f>IF(OR(F487="",G487=""),"",F487*G487)</f>
        <v/>
      </c>
      <c r="J487" s="38">
        <f>IF(OR(F487="",G487=""),"",ROUND(G487*(1+F487/30),1))</f>
        <v/>
      </c>
      <c r="K487" s="26" t="n"/>
    </row>
    <row r="488" ht="18" customHeight="1">
      <c r="A488" s="35" t="n"/>
      <c r="B488" s="16">
        <f>IF(A488="","",IFERROR(INT((A488-DATE(2026,4,27))/7)+1,""))</f>
        <v/>
      </c>
      <c r="C488" s="16" t="n"/>
      <c r="D488" s="17" t="n"/>
      <c r="E488" s="16" t="n"/>
      <c r="F488" s="16" t="n"/>
      <c r="G488" s="36" t="n"/>
      <c r="H488" s="16" t="n"/>
      <c r="I488" s="19">
        <f>IF(OR(F488="",G488=""),"",F488*G488)</f>
        <v/>
      </c>
      <c r="J488" s="36">
        <f>IF(OR(F488="",G488=""),"",ROUND(G488*(1+F488/30),1))</f>
        <v/>
      </c>
      <c r="K488" s="20" t="n"/>
    </row>
    <row r="489" ht="18" customHeight="1">
      <c r="A489" s="37" t="n"/>
      <c r="B489" s="22">
        <f>IF(A489="","",IFERROR(INT((A489-DATE(2026,4,27))/7)+1,""))</f>
        <v/>
      </c>
      <c r="C489" s="22" t="n"/>
      <c r="D489" s="23" t="n"/>
      <c r="E489" s="22" t="n"/>
      <c r="F489" s="22" t="n"/>
      <c r="G489" s="38" t="n"/>
      <c r="H489" s="22" t="n"/>
      <c r="I489" s="25">
        <f>IF(OR(F489="",G489=""),"",F489*G489)</f>
        <v/>
      </c>
      <c r="J489" s="38">
        <f>IF(OR(F489="",G489=""),"",ROUND(G489*(1+F489/30),1))</f>
        <v/>
      </c>
      <c r="K489" s="26" t="n"/>
    </row>
    <row r="490" ht="18" customHeight="1">
      <c r="A490" s="35" t="n"/>
      <c r="B490" s="16">
        <f>IF(A490="","",IFERROR(INT((A490-DATE(2026,4,27))/7)+1,""))</f>
        <v/>
      </c>
      <c r="C490" s="16" t="n"/>
      <c r="D490" s="17" t="n"/>
      <c r="E490" s="16" t="n"/>
      <c r="F490" s="16" t="n"/>
      <c r="G490" s="36" t="n"/>
      <c r="H490" s="16" t="n"/>
      <c r="I490" s="19">
        <f>IF(OR(F490="",G490=""),"",F490*G490)</f>
        <v/>
      </c>
      <c r="J490" s="36">
        <f>IF(OR(F490="",G490=""),"",ROUND(G490*(1+F490/30),1))</f>
        <v/>
      </c>
      <c r="K490" s="20" t="n"/>
    </row>
    <row r="491" ht="18" customHeight="1">
      <c r="A491" s="37" t="n"/>
      <c r="B491" s="22">
        <f>IF(A491="","",IFERROR(INT((A491-DATE(2026,4,27))/7)+1,""))</f>
        <v/>
      </c>
      <c r="C491" s="22" t="n"/>
      <c r="D491" s="23" t="n"/>
      <c r="E491" s="22" t="n"/>
      <c r="F491" s="22" t="n"/>
      <c r="G491" s="38" t="n"/>
      <c r="H491" s="22" t="n"/>
      <c r="I491" s="25">
        <f>IF(OR(F491="",G491=""),"",F491*G491)</f>
        <v/>
      </c>
      <c r="J491" s="38">
        <f>IF(OR(F491="",G491=""),"",ROUND(G491*(1+F491/30),1))</f>
        <v/>
      </c>
      <c r="K491" s="26" t="n"/>
    </row>
    <row r="492" ht="18" customHeight="1">
      <c r="A492" s="35" t="n"/>
      <c r="B492" s="16">
        <f>IF(A492="","",IFERROR(INT((A492-DATE(2026,4,27))/7)+1,""))</f>
        <v/>
      </c>
      <c r="C492" s="16" t="n"/>
      <c r="D492" s="17" t="n"/>
      <c r="E492" s="16" t="n"/>
      <c r="F492" s="16" t="n"/>
      <c r="G492" s="36" t="n"/>
      <c r="H492" s="16" t="n"/>
      <c r="I492" s="19">
        <f>IF(OR(F492="",G492=""),"",F492*G492)</f>
        <v/>
      </c>
      <c r="J492" s="36">
        <f>IF(OR(F492="",G492=""),"",ROUND(G492*(1+F492/30),1))</f>
        <v/>
      </c>
      <c r="K492" s="20" t="n"/>
    </row>
    <row r="493" ht="18" customHeight="1">
      <c r="A493" s="37" t="n"/>
      <c r="B493" s="22">
        <f>IF(A493="","",IFERROR(INT((A493-DATE(2026,4,27))/7)+1,""))</f>
        <v/>
      </c>
      <c r="C493" s="22" t="n"/>
      <c r="D493" s="23" t="n"/>
      <c r="E493" s="22" t="n"/>
      <c r="F493" s="22" t="n"/>
      <c r="G493" s="38" t="n"/>
      <c r="H493" s="22" t="n"/>
      <c r="I493" s="25">
        <f>IF(OR(F493="",G493=""),"",F493*G493)</f>
        <v/>
      </c>
      <c r="J493" s="38">
        <f>IF(OR(F493="",G493=""),"",ROUND(G493*(1+F493/30),1))</f>
        <v/>
      </c>
      <c r="K493" s="26" t="n"/>
    </row>
    <row r="494" ht="18" customHeight="1">
      <c r="A494" s="35" t="n"/>
      <c r="B494" s="16">
        <f>IF(A494="","",IFERROR(INT((A494-DATE(2026,4,27))/7)+1,""))</f>
        <v/>
      </c>
      <c r="C494" s="16" t="n"/>
      <c r="D494" s="17" t="n"/>
      <c r="E494" s="16" t="n"/>
      <c r="F494" s="16" t="n"/>
      <c r="G494" s="36" t="n"/>
      <c r="H494" s="16" t="n"/>
      <c r="I494" s="19">
        <f>IF(OR(F494="",G494=""),"",F494*G494)</f>
        <v/>
      </c>
      <c r="J494" s="36">
        <f>IF(OR(F494="",G494=""),"",ROUND(G494*(1+F494/30),1))</f>
        <v/>
      </c>
      <c r="K494" s="20" t="n"/>
    </row>
    <row r="495" ht="18" customHeight="1">
      <c r="A495" s="37" t="n"/>
      <c r="B495" s="22">
        <f>IF(A495="","",IFERROR(INT((A495-DATE(2026,4,27))/7)+1,""))</f>
        <v/>
      </c>
      <c r="C495" s="22" t="n"/>
      <c r="D495" s="23" t="n"/>
      <c r="E495" s="22" t="n"/>
      <c r="F495" s="22" t="n"/>
      <c r="G495" s="38" t="n"/>
      <c r="H495" s="22" t="n"/>
      <c r="I495" s="25">
        <f>IF(OR(F495="",G495=""),"",F495*G495)</f>
        <v/>
      </c>
      <c r="J495" s="38">
        <f>IF(OR(F495="",G495=""),"",ROUND(G495*(1+F495/30),1))</f>
        <v/>
      </c>
      <c r="K495" s="26" t="n"/>
    </row>
    <row r="496" ht="18" customHeight="1">
      <c r="A496" s="35" t="n"/>
      <c r="B496" s="16">
        <f>IF(A496="","",IFERROR(INT((A496-DATE(2026,4,27))/7)+1,""))</f>
        <v/>
      </c>
      <c r="C496" s="16" t="n"/>
      <c r="D496" s="17" t="n"/>
      <c r="E496" s="16" t="n"/>
      <c r="F496" s="16" t="n"/>
      <c r="G496" s="36" t="n"/>
      <c r="H496" s="16" t="n"/>
      <c r="I496" s="19">
        <f>IF(OR(F496="",G496=""),"",F496*G496)</f>
        <v/>
      </c>
      <c r="J496" s="36">
        <f>IF(OR(F496="",G496=""),"",ROUND(G496*(1+F496/30),1))</f>
        <v/>
      </c>
      <c r="K496" s="20" t="n"/>
    </row>
    <row r="497" ht="18" customHeight="1">
      <c r="A497" s="37" t="n"/>
      <c r="B497" s="22">
        <f>IF(A497="","",IFERROR(INT((A497-DATE(2026,4,27))/7)+1,""))</f>
        <v/>
      </c>
      <c r="C497" s="22" t="n"/>
      <c r="D497" s="23" t="n"/>
      <c r="E497" s="22" t="n"/>
      <c r="F497" s="22" t="n"/>
      <c r="G497" s="38" t="n"/>
      <c r="H497" s="22" t="n"/>
      <c r="I497" s="25">
        <f>IF(OR(F497="",G497=""),"",F497*G497)</f>
        <v/>
      </c>
      <c r="J497" s="38">
        <f>IF(OR(F497="",G497=""),"",ROUND(G497*(1+F497/30),1))</f>
        <v/>
      </c>
      <c r="K497" s="26" t="n"/>
    </row>
    <row r="498" ht="18" customHeight="1">
      <c r="A498" s="35" t="n"/>
      <c r="B498" s="16">
        <f>IF(A498="","",IFERROR(INT((A498-DATE(2026,4,27))/7)+1,""))</f>
        <v/>
      </c>
      <c r="C498" s="16" t="n"/>
      <c r="D498" s="17" t="n"/>
      <c r="E498" s="16" t="n"/>
      <c r="F498" s="16" t="n"/>
      <c r="G498" s="36" t="n"/>
      <c r="H498" s="16" t="n"/>
      <c r="I498" s="19">
        <f>IF(OR(F498="",G498=""),"",F498*G498)</f>
        <v/>
      </c>
      <c r="J498" s="36">
        <f>IF(OR(F498="",G498=""),"",ROUND(G498*(1+F498/30),1))</f>
        <v/>
      </c>
      <c r="K498" s="20" t="n"/>
    </row>
    <row r="499" ht="18" customHeight="1">
      <c r="A499" s="37" t="n"/>
      <c r="B499" s="22">
        <f>IF(A499="","",IFERROR(INT((A499-DATE(2026,4,27))/7)+1,""))</f>
        <v/>
      </c>
      <c r="C499" s="22" t="n"/>
      <c r="D499" s="23" t="n"/>
      <c r="E499" s="22" t="n"/>
      <c r="F499" s="22" t="n"/>
      <c r="G499" s="38" t="n"/>
      <c r="H499" s="22" t="n"/>
      <c r="I499" s="25">
        <f>IF(OR(F499="",G499=""),"",F499*G499)</f>
        <v/>
      </c>
      <c r="J499" s="38">
        <f>IF(OR(F499="",G499=""),"",ROUND(G499*(1+F499/30),1))</f>
        <v/>
      </c>
      <c r="K499" s="26" t="n"/>
    </row>
    <row r="500" ht="18" customHeight="1">
      <c r="A500" s="35" t="n"/>
      <c r="B500" s="16">
        <f>IF(A500="","",IFERROR(INT((A500-DATE(2026,4,27))/7)+1,""))</f>
        <v/>
      </c>
      <c r="C500" s="16" t="n"/>
      <c r="D500" s="17" t="n"/>
      <c r="E500" s="16" t="n"/>
      <c r="F500" s="16" t="n"/>
      <c r="G500" s="36" t="n"/>
      <c r="H500" s="16" t="n"/>
      <c r="I500" s="19">
        <f>IF(OR(F500="",G500=""),"",F500*G500)</f>
        <v/>
      </c>
      <c r="J500" s="36">
        <f>IF(OR(F500="",G500=""),"",ROUND(G500*(1+F500/30),1))</f>
        <v/>
      </c>
      <c r="K500" s="20" t="n"/>
    </row>
    <row r="501" ht="18" customHeight="1">
      <c r="A501" s="37" t="n"/>
      <c r="B501" s="22">
        <f>IF(A501="","",IFERROR(INT((A501-DATE(2026,4,27))/7)+1,""))</f>
        <v/>
      </c>
      <c r="C501" s="22" t="n"/>
      <c r="D501" s="23" t="n"/>
      <c r="E501" s="22" t="n"/>
      <c r="F501" s="22" t="n"/>
      <c r="G501" s="38" t="n"/>
      <c r="H501" s="22" t="n"/>
      <c r="I501" s="25">
        <f>IF(OR(F501="",G501=""),"",F501*G501)</f>
        <v/>
      </c>
      <c r="J501" s="38">
        <f>IF(OR(F501="",G501=""),"",ROUND(G501*(1+F501/30),1))</f>
        <v/>
      </c>
      <c r="K501" s="26" t="n"/>
    </row>
    <row r="502" ht="18" customHeight="1">
      <c r="A502" s="35" t="n"/>
      <c r="B502" s="16">
        <f>IF(A502="","",IFERROR(INT((A502-DATE(2026,4,27))/7)+1,""))</f>
        <v/>
      </c>
      <c r="C502" s="16" t="n"/>
      <c r="D502" s="17" t="n"/>
      <c r="E502" s="16" t="n"/>
      <c r="F502" s="16" t="n"/>
      <c r="G502" s="36" t="n"/>
      <c r="H502" s="16" t="n"/>
      <c r="I502" s="19">
        <f>IF(OR(F502="",G502=""),"",F502*G502)</f>
        <v/>
      </c>
      <c r="J502" s="36">
        <f>IF(OR(F502="",G502=""),"",ROUND(G502*(1+F502/30),1))</f>
        <v/>
      </c>
      <c r="K502" s="20" t="n"/>
    </row>
    <row r="503" ht="18" customHeight="1">
      <c r="A503" s="37" t="n"/>
      <c r="B503" s="22">
        <f>IF(A503="","",IFERROR(INT((A503-DATE(2026,4,27))/7)+1,""))</f>
        <v/>
      </c>
      <c r="C503" s="22" t="n"/>
      <c r="D503" s="23" t="n"/>
      <c r="E503" s="22" t="n"/>
      <c r="F503" s="22" t="n"/>
      <c r="G503" s="38" t="n"/>
      <c r="H503" s="22" t="n"/>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c r="B24" s="16">
        <f>IF(A24="","",IFERROR(INT((A24-DATE(2026,4,27))/7)+1,""))</f>
        <v/>
      </c>
      <c r="C24" s="27" t="n"/>
      <c r="D24" s="36" t="n"/>
      <c r="E24" s="16">
        <f>IF(OR(C24="",D24=""),"",TEXT(D24/C24/1440,"m:ss"))</f>
        <v/>
      </c>
      <c r="F24" s="16" t="n"/>
      <c r="G24" s="16" t="n"/>
      <c r="H24" s="16" t="n"/>
      <c r="I24" s="16" t="n"/>
      <c r="J24" s="20" t="n"/>
    </row>
    <row r="25" ht="18" customHeight="1">
      <c r="A25" s="37" t="n"/>
      <c r="B25" s="22">
        <f>IF(A25="","",IFERROR(INT((A25-DATE(2026,4,27))/7)+1,""))</f>
        <v/>
      </c>
      <c r="C25" s="28" t="n"/>
      <c r="D25" s="38" t="n"/>
      <c r="E25" s="22">
        <f>IF(OR(C25="",D25=""),"",TEXT(D25/C25/1440,"m:ss"))</f>
        <v/>
      </c>
      <c r="F25" s="22" t="n"/>
      <c r="G25" s="22" t="n"/>
      <c r="H25" s="22" t="n"/>
      <c r="I25" s="22" t="n"/>
      <c r="J25" s="26" t="n"/>
    </row>
    <row r="26" ht="18" customHeight="1">
      <c r="A26" s="35" t="n"/>
      <c r="B26" s="16">
        <f>IF(A26="","",IFERROR(INT((A26-DATE(2026,4,27))/7)+1,""))</f>
        <v/>
      </c>
      <c r="C26" s="27" t="n"/>
      <c r="D26" s="36" t="n"/>
      <c r="E26" s="16">
        <f>IF(OR(C26="",D26=""),"",TEXT(D26/C26/1440,"m:ss"))</f>
        <v/>
      </c>
      <c r="F26" s="16" t="n"/>
      <c r="G26" s="16" t="n"/>
      <c r="H26" s="16" t="n"/>
      <c r="I26" s="16" t="n"/>
      <c r="J26" s="20" t="n"/>
    </row>
    <row r="27" ht="18" customHeight="1">
      <c r="A27" s="37" t="n"/>
      <c r="B27" s="22">
        <f>IF(A27="","",IFERROR(INT((A27-DATE(2026,4,27))/7)+1,""))</f>
        <v/>
      </c>
      <c r="C27" s="28" t="n"/>
      <c r="D27" s="38" t="n"/>
      <c r="E27" s="22">
        <f>IF(OR(C27="",D27=""),"",TEXT(D27/C27/1440,"m:ss"))</f>
        <v/>
      </c>
      <c r="F27" s="22" t="n"/>
      <c r="G27" s="22" t="n"/>
      <c r="H27" s="22" t="n"/>
      <c r="I27" s="22" t="n"/>
      <c r="J27" s="26" t="n"/>
    </row>
    <row r="28" ht="18" customHeight="1">
      <c r="A28" s="35" t="n"/>
      <c r="B28" s="16">
        <f>IF(A28="","",IFERROR(INT((A28-DATE(2026,4,27))/7)+1,""))</f>
        <v/>
      </c>
      <c r="C28" s="27" t="n"/>
      <c r="D28" s="36" t="n"/>
      <c r="E28" s="16">
        <f>IF(OR(C28="",D28=""),"",TEXT(D28/C28/1440,"m:ss"))</f>
        <v/>
      </c>
      <c r="F28" s="16" t="n"/>
      <c r="G28" s="16" t="n"/>
      <c r="H28" s="16" t="n"/>
      <c r="I28" s="16" t="n"/>
      <c r="J28" s="20" t="n"/>
    </row>
    <row r="29" ht="18" customHeight="1">
      <c r="A29" s="37" t="n"/>
      <c r="B29" s="22">
        <f>IF(A29="","",IFERROR(INT((A29-DATE(2026,4,27))/7)+1,""))</f>
        <v/>
      </c>
      <c r="C29" s="28" t="n"/>
      <c r="D29" s="38" t="n"/>
      <c r="E29" s="22">
        <f>IF(OR(C29="",D29=""),"",TEXT(D29/C29/1440,"m:ss"))</f>
        <v/>
      </c>
      <c r="F29" s="22" t="n"/>
      <c r="G29" s="22" t="n"/>
      <c r="H29" s="22" t="n"/>
      <c r="I29" s="22" t="n"/>
      <c r="J29" s="26" t="n"/>
    </row>
    <row r="30" ht="18" customHeight="1">
      <c r="A30" s="35" t="n"/>
      <c r="B30" s="16">
        <f>IF(A30="","",IFERROR(INT((A30-DATE(2026,4,27))/7)+1,""))</f>
        <v/>
      </c>
      <c r="C30" s="27" t="n"/>
      <c r="D30" s="36" t="n"/>
      <c r="E30" s="16">
        <f>IF(OR(C30="",D30=""),"",TEXT(D30/C30/1440,"m:ss"))</f>
        <v/>
      </c>
      <c r="F30" s="16" t="n"/>
      <c r="G30" s="16" t="n"/>
      <c r="H30" s="16" t="n"/>
      <c r="I30" s="16" t="n"/>
      <c r="J30" s="20" t="n"/>
    </row>
    <row r="31" ht="18" customHeight="1">
      <c r="A31" s="37" t="n"/>
      <c r="B31" s="22">
        <f>IF(A31="","",IFERROR(INT((A31-DATE(2026,4,27))/7)+1,""))</f>
        <v/>
      </c>
      <c r="C31" s="28" t="n"/>
      <c r="D31" s="38" t="n"/>
      <c r="E31" s="22">
        <f>IF(OR(C31="",D31=""),"",TEXT(D31/C31/1440,"m:ss"))</f>
        <v/>
      </c>
      <c r="F31" s="22" t="n"/>
      <c r="G31" s="22" t="n"/>
      <c r="H31" s="22" t="n"/>
      <c r="I31" s="22" t="n"/>
      <c r="J31" s="26" t="n"/>
    </row>
    <row r="32" ht="18" customHeight="1">
      <c r="A32" s="35" t="n"/>
      <c r="B32" s="16">
        <f>IF(A32="","",IFERROR(INT((A32-DATE(2026,4,27))/7)+1,""))</f>
        <v/>
      </c>
      <c r="C32" s="27" t="n"/>
      <c r="D32" s="36" t="n"/>
      <c r="E32" s="16">
        <f>IF(OR(C32="",D32=""),"",TEXT(D32/C32/1440,"m:ss"))</f>
        <v/>
      </c>
      <c r="F32" s="16" t="n"/>
      <c r="G32" s="16" t="n"/>
      <c r="H32" s="16" t="n"/>
      <c r="I32" s="16" t="n"/>
      <c r="J32" s="20" t="n"/>
    </row>
    <row r="33" ht="18" customHeight="1">
      <c r="A33" s="37" t="n"/>
      <c r="B33" s="22">
        <f>IF(A33="","",IFERROR(INT((A33-DATE(2026,4,27))/7)+1,""))</f>
        <v/>
      </c>
      <c r="C33" s="28" t="n"/>
      <c r="D33" s="38" t="n"/>
      <c r="E33" s="22">
        <f>IF(OR(C33="",D33=""),"",TEXT(D33/C33/1440,"m:ss"))</f>
        <v/>
      </c>
      <c r="F33" s="22" t="n"/>
      <c r="G33" s="22" t="n"/>
      <c r="H33" s="22" t="n"/>
      <c r="I33" s="22" t="n"/>
      <c r="J33" s="26" t="n"/>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c r="B49" s="22">
        <f>IF(A49="","",IFERROR(INT((A49-DATE(2026,4,27))/7)+1,""))</f>
        <v/>
      </c>
      <c r="C49" s="38" t="n"/>
      <c r="D49" s="38" t="n"/>
      <c r="E49" s="38" t="n"/>
      <c r="F49" s="38" t="n"/>
      <c r="G49" s="38" t="n"/>
      <c r="H49" s="38" t="n"/>
      <c r="I49" s="26" t="n"/>
    </row>
    <row r="50" ht="18" customHeight="1">
      <c r="A50" s="35" t="n"/>
      <c r="B50" s="16">
        <f>IF(A50="","",IFERROR(INT((A50-DATE(2026,4,27))/7)+1,""))</f>
        <v/>
      </c>
      <c r="C50" s="36" t="n"/>
      <c r="D50" s="36" t="n"/>
      <c r="E50" s="36" t="n"/>
      <c r="F50" s="36" t="n"/>
      <c r="G50" s="36" t="n"/>
      <c r="H50" s="36" t="n"/>
      <c r="I50" s="20" t="n"/>
    </row>
    <row r="51" ht="18" customHeight="1">
      <c r="A51" s="37" t="n"/>
      <c r="B51" s="22">
        <f>IF(A51="","",IFERROR(INT((A51-DATE(2026,4,27))/7)+1,""))</f>
        <v/>
      </c>
      <c r="C51" s="38" t="n"/>
      <c r="D51" s="38" t="n"/>
      <c r="E51" s="38" t="n"/>
      <c r="F51" s="38" t="n"/>
      <c r="G51" s="38" t="n"/>
      <c r="H51" s="38" t="n"/>
      <c r="I51" s="26" t="n"/>
    </row>
    <row r="52" ht="18" customHeight="1">
      <c r="A52" s="35" t="n"/>
      <c r="B52" s="16">
        <f>IF(A52="","",IFERROR(INT((A52-DATE(2026,4,27))/7)+1,""))</f>
        <v/>
      </c>
      <c r="C52" s="36" t="n"/>
      <c r="D52" s="36" t="n"/>
      <c r="E52" s="36" t="n"/>
      <c r="F52" s="36" t="n"/>
      <c r="G52" s="36" t="n"/>
      <c r="H52" s="36" t="n"/>
      <c r="I52" s="20" t="n"/>
    </row>
    <row r="53" ht="18" customHeight="1">
      <c r="A53" s="37" t="n"/>
      <c r="B53" s="22">
        <f>IF(A53="","",IFERROR(INT((A53-DATE(2026,4,27))/7)+1,""))</f>
        <v/>
      </c>
      <c r="C53" s="38" t="n"/>
      <c r="D53" s="38" t="n"/>
      <c r="E53" s="38" t="n"/>
      <c r="F53" s="38" t="n"/>
      <c r="G53" s="38" t="n"/>
      <c r="H53" s="38" t="n"/>
      <c r="I53" s="26" t="n"/>
    </row>
    <row r="54" ht="18" customHeight="1">
      <c r="A54" s="35" t="n"/>
      <c r="B54" s="16">
        <f>IF(A54="","",IFERROR(INT((A54-DATE(2026,4,27))/7)+1,""))</f>
        <v/>
      </c>
      <c r="C54" s="36" t="n"/>
      <c r="D54" s="36" t="n"/>
      <c r="E54" s="36" t="n"/>
      <c r="F54" s="36" t="n"/>
      <c r="G54" s="36" t="n"/>
      <c r="H54" s="36" t="n"/>
      <c r="I54" s="20" t="n"/>
    </row>
    <row r="55" ht="18" customHeight="1">
      <c r="A55" s="37" t="n"/>
      <c r="B55" s="22">
        <f>IF(A55="","",IFERROR(INT((A55-DATE(2026,4,27))/7)+1,""))</f>
        <v/>
      </c>
      <c r="C55" s="38" t="n"/>
      <c r="D55" s="38" t="n"/>
      <c r="E55" s="38" t="n"/>
      <c r="F55" s="38" t="n"/>
      <c r="G55" s="38" t="n"/>
      <c r="H55" s="38" t="n"/>
      <c r="I55" s="26" t="n"/>
    </row>
    <row r="56" ht="18" customHeight="1">
      <c r="A56" s="35" t="n"/>
      <c r="B56" s="16">
        <f>IF(A56="","",IFERROR(INT((A56-DATE(2026,4,27))/7)+1,""))</f>
        <v/>
      </c>
      <c r="C56" s="36" t="n"/>
      <c r="D56" s="36" t="n"/>
      <c r="E56" s="36" t="n"/>
      <c r="F56" s="36" t="n"/>
      <c r="G56" s="36" t="n"/>
      <c r="H56" s="36" t="n"/>
      <c r="I56" s="20" t="n"/>
    </row>
    <row r="57" ht="18" customHeight="1">
      <c r="A57" s="37" t="n"/>
      <c r="B57" s="22">
        <f>IF(A57="","",IFERROR(INT((A57-DATE(2026,4,27))/7)+1,""))</f>
        <v/>
      </c>
      <c r="C57" s="38" t="n"/>
      <c r="D57" s="38" t="n"/>
      <c r="E57" s="38" t="n"/>
      <c r="F57" s="38" t="n"/>
      <c r="G57" s="38" t="n"/>
      <c r="H57" s="38" t="n"/>
      <c r="I57" s="26" t="n"/>
    </row>
    <row r="58" ht="18" customHeight="1">
      <c r="A58" s="35" t="n"/>
      <c r="B58" s="16">
        <f>IF(A58="","",IFERROR(INT((A58-DATE(2026,4,27))/7)+1,""))</f>
        <v/>
      </c>
      <c r="C58" s="36" t="n"/>
      <c r="D58" s="36" t="n"/>
      <c r="E58" s="36" t="n"/>
      <c r="F58" s="36" t="n"/>
      <c r="G58" s="36" t="n"/>
      <c r="H58" s="36" t="n"/>
      <c r="I58" s="20" t="n"/>
    </row>
    <row r="59" ht="18" customHeight="1">
      <c r="A59" s="37" t="n"/>
      <c r="B59" s="22">
        <f>IF(A59="","",IFERROR(INT((A59-DATE(2026,4,27))/7)+1,""))</f>
        <v/>
      </c>
      <c r="C59" s="38" t="n"/>
      <c r="D59" s="38" t="n"/>
      <c r="E59" s="38" t="n"/>
      <c r="F59" s="38" t="n"/>
      <c r="G59" s="38" t="n"/>
      <c r="H59" s="38" t="n"/>
      <c r="I59" s="26" t="n"/>
    </row>
    <row r="60" ht="18" customHeight="1">
      <c r="A60" s="35" t="n"/>
      <c r="B60" s="16">
        <f>IF(A60="","",IFERROR(INT((A60-DATE(2026,4,27))/7)+1,""))</f>
        <v/>
      </c>
      <c r="C60" s="36" t="n"/>
      <c r="D60" s="36" t="n"/>
      <c r="E60" s="36" t="n"/>
      <c r="F60" s="36" t="n"/>
      <c r="G60" s="36" t="n"/>
      <c r="H60" s="36" t="n"/>
      <c r="I60" s="20" t="n"/>
    </row>
    <row r="61" ht="18" customHeight="1">
      <c r="A61" s="37" t="n"/>
      <c r="B61" s="22">
        <f>IF(A61="","",IFERROR(INT((A61-DATE(2026,4,27))/7)+1,""))</f>
        <v/>
      </c>
      <c r="C61" s="38" t="n"/>
      <c r="D61" s="38" t="n"/>
      <c r="E61" s="38" t="n"/>
      <c r="F61" s="38" t="n"/>
      <c r="G61" s="38" t="n"/>
      <c r="H61" s="38" t="n"/>
      <c r="I61" s="26" t="n"/>
    </row>
    <row r="62" ht="18" customHeight="1">
      <c r="A62" s="35" t="n"/>
      <c r="B62" s="16">
        <f>IF(A62="","",IFERROR(INT((A62-DATE(2026,4,27))/7)+1,""))</f>
        <v/>
      </c>
      <c r="C62" s="36" t="n"/>
      <c r="D62" s="36" t="n"/>
      <c r="E62" s="36" t="n"/>
      <c r="F62" s="36" t="n"/>
      <c r="G62" s="36" t="n"/>
      <c r="H62" s="36" t="n"/>
      <c r="I62" s="20" t="n"/>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2026-09-22T19:22:16Z</dcterms:modified>
</cp:coreProperties>
</file>