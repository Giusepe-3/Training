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v>46317</v>
      </c>
      <c r="B519" s="22">
        <f>IF(A519="","",IFERROR(INT((A519-DATE(2026,4,27))/7)+1,""))</f>
        <v/>
      </c>
      <c r="C519" s="22" t="inlineStr">
        <is>
          <t>Gym Upper</t>
        </is>
      </c>
      <c r="D519" s="23" t="inlineStr">
        <is>
          <t>Bench Press</t>
        </is>
      </c>
      <c r="E519" s="22" t="n">
        <v>1</v>
      </c>
      <c r="F519" s="22" t="n">
        <v>8</v>
      </c>
      <c r="G519" s="38" t="n">
        <v>25</v>
      </c>
      <c r="H519" s="22" t="n">
        <v>7</v>
      </c>
      <c r="I519" s="25">
        <f>IF(OR(F519="",G519=""),"",F519*G519)</f>
        <v/>
      </c>
      <c r="J519" s="38">
        <f>IF(OR(F519="",G519=""),"",ROUND(G519*(1+F519/30),1))</f>
        <v/>
      </c>
      <c r="K519" s="26" t="inlineStr">
        <is>
          <t>Gym #3 upper. Gate met -&gt; 27.5 4x8.</t>
        </is>
      </c>
    </row>
    <row r="520" ht="18" customHeight="1">
      <c r="A520" s="35" t="n">
        <v>46317</v>
      </c>
      <c r="B520" s="16">
        <f>IF(A520="","",IFERROR(INT((A520-DATE(2026,4,27))/7)+1,""))</f>
        <v/>
      </c>
      <c r="C520" s="16" t="inlineStr">
        <is>
          <t>Gym Upper</t>
        </is>
      </c>
      <c r="D520" s="17" t="inlineStr">
        <is>
          <t>Bench Press</t>
        </is>
      </c>
      <c r="E520" s="16" t="n">
        <v>2</v>
      </c>
      <c r="F520" s="16" t="n">
        <v>8</v>
      </c>
      <c r="G520" s="36" t="n">
        <v>25</v>
      </c>
      <c r="H520" s="16" t="n">
        <v>6</v>
      </c>
      <c r="I520" s="19">
        <f>IF(OR(F520="",G520=""),"",F520*G520)</f>
        <v/>
      </c>
      <c r="J520" s="36">
        <f>IF(OR(F520="",G520=""),"",ROUND(G520*(1+F520/30),1))</f>
        <v/>
      </c>
      <c r="K520" s="20" t="n"/>
    </row>
    <row r="521" ht="18" customHeight="1">
      <c r="A521" s="37" t="n">
        <v>46317</v>
      </c>
      <c r="B521" s="22">
        <f>IF(A521="","",IFERROR(INT((A521-DATE(2026,4,27))/7)+1,""))</f>
        <v/>
      </c>
      <c r="C521" s="22" t="inlineStr">
        <is>
          <t>Gym Upper</t>
        </is>
      </c>
      <c r="D521" s="23" t="inlineStr">
        <is>
          <t>Bench Press</t>
        </is>
      </c>
      <c r="E521" s="22" t="n">
        <v>3</v>
      </c>
      <c r="F521" s="22" t="n">
        <v>8</v>
      </c>
      <c r="G521" s="38" t="n">
        <v>25</v>
      </c>
      <c r="H521" s="22" t="n">
        <v>6</v>
      </c>
      <c r="I521" s="25">
        <f>IF(OR(F521="",G521=""),"",F521*G521)</f>
        <v/>
      </c>
      <c r="J521" s="38">
        <f>IF(OR(F521="",G521=""),"",ROUND(G521*(1+F521/30),1))</f>
        <v/>
      </c>
      <c r="K521" s="26" t="n"/>
    </row>
    <row r="522" ht="18" customHeight="1">
      <c r="A522" s="35" t="n">
        <v>46317</v>
      </c>
      <c r="B522" s="16">
        <f>IF(A522="","",IFERROR(INT((A522-DATE(2026,4,27))/7)+1,""))</f>
        <v/>
      </c>
      <c r="C522" s="16" t="inlineStr">
        <is>
          <t>Gym Upper</t>
        </is>
      </c>
      <c r="D522" s="17" t="inlineStr">
        <is>
          <t>Bench Press</t>
        </is>
      </c>
      <c r="E522" s="16" t="n">
        <v>4</v>
      </c>
      <c r="F522" s="16" t="n">
        <v>8</v>
      </c>
      <c r="G522" s="36" t="n">
        <v>25</v>
      </c>
      <c r="H522" s="16" t="n">
        <v>6</v>
      </c>
      <c r="I522" s="19">
        <f>IF(OR(F522="",G522=""),"",F522*G522)</f>
        <v/>
      </c>
      <c r="J522" s="36">
        <f>IF(OR(F522="",G522=""),"",ROUND(G522*(1+F522/30),1))</f>
        <v/>
      </c>
      <c r="K522" s="20" t="n"/>
    </row>
    <row r="523" ht="18" customHeight="1">
      <c r="A523" s="37" t="n">
        <v>46317</v>
      </c>
      <c r="B523" s="22">
        <f>IF(A523="","",IFERROR(INT((A523-DATE(2026,4,27))/7)+1,""))</f>
        <v/>
      </c>
      <c r="C523" s="22" t="inlineStr">
        <is>
          <t>Gym Upper</t>
        </is>
      </c>
      <c r="D523" s="23" t="inlineStr">
        <is>
          <t>Lat Pulldown</t>
        </is>
      </c>
      <c r="E523" s="22" t="n">
        <v>1</v>
      </c>
      <c r="F523" s="22" t="n">
        <v>10</v>
      </c>
      <c r="G523" s="38" t="n">
        <v>25</v>
      </c>
      <c r="H523" s="22" t="n">
        <v>5</v>
      </c>
      <c r="I523" s="25">
        <f>IF(OR(F523="",G523=""),"",F523*G523)</f>
        <v/>
      </c>
      <c r="J523" s="38">
        <f>IF(OR(F523="",G523=""),"",ROUND(G523*(1+F523/30),1))</f>
        <v/>
      </c>
      <c r="K523" s="26" t="inlineStr">
        <is>
          <t>Restored. Gate met -&gt; 27.5 4x10.</t>
        </is>
      </c>
    </row>
    <row r="524" ht="18" customHeight="1">
      <c r="A524" s="35" t="n">
        <v>46317</v>
      </c>
      <c r="B524" s="16">
        <f>IF(A524="","",IFERROR(INT((A524-DATE(2026,4,27))/7)+1,""))</f>
        <v/>
      </c>
      <c r="C524" s="16" t="inlineStr">
        <is>
          <t>Gym Upper</t>
        </is>
      </c>
      <c r="D524" s="17" t="inlineStr">
        <is>
          <t>Lat Pulldown</t>
        </is>
      </c>
      <c r="E524" s="16" t="n">
        <v>2</v>
      </c>
      <c r="F524" s="16" t="n">
        <v>10</v>
      </c>
      <c r="G524" s="36" t="n">
        <v>25</v>
      </c>
      <c r="H524" s="16" t="n">
        <v>5</v>
      </c>
      <c r="I524" s="19">
        <f>IF(OR(F524="",G524=""),"",F524*G524)</f>
        <v/>
      </c>
      <c r="J524" s="36">
        <f>IF(OR(F524="",G524=""),"",ROUND(G524*(1+F524/30),1))</f>
        <v/>
      </c>
      <c r="K524" s="20" t="n"/>
    </row>
    <row r="525" ht="18" customHeight="1">
      <c r="A525" s="37" t="n">
        <v>46317</v>
      </c>
      <c r="B525" s="22">
        <f>IF(A525="","",IFERROR(INT((A525-DATE(2026,4,27))/7)+1,""))</f>
        <v/>
      </c>
      <c r="C525" s="22" t="inlineStr">
        <is>
          <t>Gym Upper</t>
        </is>
      </c>
      <c r="D525" s="23" t="inlineStr">
        <is>
          <t>Lat Pulldown</t>
        </is>
      </c>
      <c r="E525" s="22" t="n">
        <v>3</v>
      </c>
      <c r="F525" s="22" t="n">
        <v>10</v>
      </c>
      <c r="G525" s="38" t="n">
        <v>25</v>
      </c>
      <c r="H525" s="22" t="n">
        <v>5</v>
      </c>
      <c r="I525" s="25">
        <f>IF(OR(F525="",G525=""),"",F525*G525)</f>
        <v/>
      </c>
      <c r="J525" s="38">
        <f>IF(OR(F525="",G525=""),"",ROUND(G525*(1+F525/30),1))</f>
        <v/>
      </c>
      <c r="K525" s="26" t="n"/>
    </row>
    <row r="526" ht="18" customHeight="1">
      <c r="A526" s="35" t="n">
        <v>46317</v>
      </c>
      <c r="B526" s="16">
        <f>IF(A526="","",IFERROR(INT((A526-DATE(2026,4,27))/7)+1,""))</f>
        <v/>
      </c>
      <c r="C526" s="16" t="inlineStr">
        <is>
          <t>Gym Upper</t>
        </is>
      </c>
      <c r="D526" s="17" t="inlineStr">
        <is>
          <t>Lat Pulldown</t>
        </is>
      </c>
      <c r="E526" s="16" t="n">
        <v>4</v>
      </c>
      <c r="F526" s="16" t="n">
        <v>10</v>
      </c>
      <c r="G526" s="36" t="n">
        <v>25</v>
      </c>
      <c r="H526" s="16" t="n">
        <v>5</v>
      </c>
      <c r="I526" s="19">
        <f>IF(OR(F526="",G526=""),"",F526*G526)</f>
        <v/>
      </c>
      <c r="J526" s="36">
        <f>IF(OR(F526="",G526=""),"",ROUND(G526*(1+F526/30),1))</f>
        <v/>
      </c>
      <c r="K526" s="20" t="n"/>
    </row>
    <row r="527" ht="18" customHeight="1">
      <c r="A527" s="37" t="n">
        <v>46317</v>
      </c>
      <c r="B527" s="22">
        <f>IF(A527="","",IFERROR(INT((A527-DATE(2026,4,27))/7)+1,""))</f>
        <v/>
      </c>
      <c r="C527" s="22" t="inlineStr">
        <is>
          <t>Gym Upper</t>
        </is>
      </c>
      <c r="D527" s="23" t="inlineStr">
        <is>
          <t>Incline DB Press</t>
        </is>
      </c>
      <c r="E527" s="22" t="n">
        <v>1</v>
      </c>
      <c r="F527" s="22" t="n">
        <v>10</v>
      </c>
      <c r="G527" s="38" t="n">
        <v>6</v>
      </c>
      <c r="H527" s="22" t="n">
        <v>6</v>
      </c>
      <c r="I527" s="25">
        <f>IF(OR(F527="",G527=""),"",F527*G527)</f>
        <v/>
      </c>
      <c r="J527" s="38">
        <f>IF(OR(F527="",G527=""),"",ROUND(G527*(1+F527/30),1))</f>
        <v/>
      </c>
      <c r="K527" s="26" t="inlineStr">
        <is>
          <t>6/DB. Gate met -&gt; 7/DB 3x10.</t>
        </is>
      </c>
    </row>
    <row r="528" ht="18" customHeight="1">
      <c r="A528" s="35" t="n">
        <v>46317</v>
      </c>
      <c r="B528" s="16">
        <f>IF(A528="","",IFERROR(INT((A528-DATE(2026,4,27))/7)+1,""))</f>
        <v/>
      </c>
      <c r="C528" s="16" t="inlineStr">
        <is>
          <t>Gym Upper</t>
        </is>
      </c>
      <c r="D528" s="17" t="inlineStr">
        <is>
          <t>Incline DB Press</t>
        </is>
      </c>
      <c r="E528" s="16" t="n">
        <v>2</v>
      </c>
      <c r="F528" s="16" t="n">
        <v>10</v>
      </c>
      <c r="G528" s="36" t="n">
        <v>6</v>
      </c>
      <c r="H528" s="16" t="n">
        <v>6</v>
      </c>
      <c r="I528" s="19">
        <f>IF(OR(F528="",G528=""),"",F528*G528)</f>
        <v/>
      </c>
      <c r="J528" s="36">
        <f>IF(OR(F528="",G528=""),"",ROUND(G528*(1+F528/30),1))</f>
        <v/>
      </c>
      <c r="K528" s="20" t="n"/>
    </row>
    <row r="529" ht="18" customHeight="1">
      <c r="A529" s="37" t="n">
        <v>46317</v>
      </c>
      <c r="B529" s="22">
        <f>IF(A529="","",IFERROR(INT((A529-DATE(2026,4,27))/7)+1,""))</f>
        <v/>
      </c>
      <c r="C529" s="22" t="inlineStr">
        <is>
          <t>Gym Upper</t>
        </is>
      </c>
      <c r="D529" s="23" t="inlineStr">
        <is>
          <t>Incline DB Press</t>
        </is>
      </c>
      <c r="E529" s="22" t="n">
        <v>3</v>
      </c>
      <c r="F529" s="22" t="n">
        <v>10</v>
      </c>
      <c r="G529" s="38" t="n">
        <v>6</v>
      </c>
      <c r="H529" s="22" t="n">
        <v>6</v>
      </c>
      <c r="I529" s="25">
        <f>IF(OR(F529="",G529=""),"",F529*G529)</f>
        <v/>
      </c>
      <c r="J529" s="38">
        <f>IF(OR(F529="",G529=""),"",ROUND(G529*(1+F529/30),1))</f>
        <v/>
      </c>
      <c r="K529" s="26" t="n"/>
    </row>
    <row r="530" ht="18" customHeight="1">
      <c r="A530" s="35" t="n">
        <v>46317</v>
      </c>
      <c r="B530" s="16">
        <f>IF(A530="","",IFERROR(INT((A530-DATE(2026,4,27))/7)+1,""))</f>
        <v/>
      </c>
      <c r="C530" s="16" t="inlineStr">
        <is>
          <t>Gym Upper</t>
        </is>
      </c>
      <c r="D530" s="17" t="inlineStr">
        <is>
          <t>Barbell Row</t>
        </is>
      </c>
      <c r="E530" s="16" t="n">
        <v>1</v>
      </c>
      <c r="F530" s="16" t="n">
        <v>12</v>
      </c>
      <c r="G530" s="36" t="n">
        <v>20</v>
      </c>
      <c r="H530" s="16" t="n">
        <v>7</v>
      </c>
      <c r="I530" s="19">
        <f>IF(OR(F530="",G530=""),"",F530*G530)</f>
        <v/>
      </c>
      <c r="J530" s="36">
        <f>IF(OR(F530="",G530=""),"",ROUND(G530*(1+F530/30),1))</f>
        <v/>
      </c>
      <c r="K530" s="20" t="inlineStr">
        <is>
          <t>Barbell Row 20 (staged Lying Row 32.5). Gate met -&gt; 22.5 3x12.</t>
        </is>
      </c>
    </row>
    <row r="531" ht="18" customHeight="1">
      <c r="A531" s="37" t="n">
        <v>46317</v>
      </c>
      <c r="B531" s="22">
        <f>IF(A531="","",IFERROR(INT((A531-DATE(2026,4,27))/7)+1,""))</f>
        <v/>
      </c>
      <c r="C531" s="22" t="inlineStr">
        <is>
          <t>Gym Upper</t>
        </is>
      </c>
      <c r="D531" s="23" t="inlineStr">
        <is>
          <t>Barbell Row</t>
        </is>
      </c>
      <c r="E531" s="22" t="n">
        <v>2</v>
      </c>
      <c r="F531" s="22" t="n">
        <v>12</v>
      </c>
      <c r="G531" s="38" t="n">
        <v>20</v>
      </c>
      <c r="H531" s="22" t="n">
        <v>6</v>
      </c>
      <c r="I531" s="25">
        <f>IF(OR(F531="",G531=""),"",F531*G531)</f>
        <v/>
      </c>
      <c r="J531" s="38">
        <f>IF(OR(F531="",G531=""),"",ROUND(G531*(1+F531/30),1))</f>
        <v/>
      </c>
      <c r="K531" s="26" t="n"/>
    </row>
    <row r="532" ht="18" customHeight="1">
      <c r="A532" s="35" t="n">
        <v>46317</v>
      </c>
      <c r="B532" s="16">
        <f>IF(A532="","",IFERROR(INT((A532-DATE(2026,4,27))/7)+1,""))</f>
        <v/>
      </c>
      <c r="C532" s="16" t="inlineStr">
        <is>
          <t>Gym Upper</t>
        </is>
      </c>
      <c r="D532" s="17" t="inlineStr">
        <is>
          <t>Barbell Row</t>
        </is>
      </c>
      <c r="E532" s="16" t="n">
        <v>3</v>
      </c>
      <c r="F532" s="16" t="n">
        <v>12</v>
      </c>
      <c r="G532" s="36" t="n">
        <v>20</v>
      </c>
      <c r="H532" s="16" t="n">
        <v>6</v>
      </c>
      <c r="I532" s="19">
        <f>IF(OR(F532="",G532=""),"",F532*G532)</f>
        <v/>
      </c>
      <c r="J532" s="36">
        <f>IF(OR(F532="",G532=""),"",ROUND(G532*(1+F532/30),1))</f>
        <v/>
      </c>
      <c r="K532" s="20" t="n"/>
    </row>
    <row r="533" ht="18" customHeight="1">
      <c r="A533" s="37" t="n">
        <v>46317</v>
      </c>
      <c r="B533" s="22">
        <f>IF(A533="","",IFERROR(INT((A533-DATE(2026,4,27))/7)+1,""))</f>
        <v/>
      </c>
      <c r="C533" s="22" t="inlineStr">
        <is>
          <t>Gym Upper</t>
        </is>
      </c>
      <c r="D533" s="23" t="inlineStr">
        <is>
          <t>Tibialis Raise</t>
        </is>
      </c>
      <c r="E533" s="22" t="n">
        <v>1</v>
      </c>
      <c r="F533" s="22" t="n">
        <v>15</v>
      </c>
      <c r="G533" s="38" t="n">
        <v>6.8</v>
      </c>
      <c r="H533" s="22" t="n">
        <v>6</v>
      </c>
      <c r="I533" s="25">
        <f>IF(OR(F533="",G533=""),"",F533*G533)</f>
        <v/>
      </c>
      <c r="J533" s="38">
        <f>IF(OR(F533="",G533=""),"",ROUND(G533*(1+F533/30),1))</f>
        <v/>
      </c>
      <c r="K533" s="26" t="inlineStr">
        <is>
          <t>Gate met 2nd session -&gt; reps first: 6.8 3x20.</t>
        </is>
      </c>
    </row>
    <row r="534" ht="18" customHeight="1">
      <c r="A534" s="35" t="n">
        <v>46317</v>
      </c>
      <c r="B534" s="16">
        <f>IF(A534="","",IFERROR(INT((A534-DATE(2026,4,27))/7)+1,""))</f>
        <v/>
      </c>
      <c r="C534" s="16" t="inlineStr">
        <is>
          <t>Gym Upper</t>
        </is>
      </c>
      <c r="D534" s="17" t="inlineStr">
        <is>
          <t>Tibialis Raise</t>
        </is>
      </c>
      <c r="E534" s="16" t="n">
        <v>2</v>
      </c>
      <c r="F534" s="16" t="n">
        <v>15</v>
      </c>
      <c r="G534" s="36" t="n">
        <v>6.8</v>
      </c>
      <c r="H534" s="16" t="n">
        <v>5</v>
      </c>
      <c r="I534" s="19">
        <f>IF(OR(F534="",G534=""),"",F534*G534)</f>
        <v/>
      </c>
      <c r="J534" s="36">
        <f>IF(OR(F534="",G534=""),"",ROUND(G534*(1+F534/30),1))</f>
        <v/>
      </c>
      <c r="K534" s="20" t="n"/>
    </row>
    <row r="535" ht="18" customHeight="1">
      <c r="A535" s="37" t="n">
        <v>46317</v>
      </c>
      <c r="B535" s="22">
        <f>IF(A535="","",IFERROR(INT((A535-DATE(2026,4,27))/7)+1,""))</f>
        <v/>
      </c>
      <c r="C535" s="22" t="inlineStr">
        <is>
          <t>Gym Upper</t>
        </is>
      </c>
      <c r="D535" s="23" t="inlineStr">
        <is>
          <t>Tibialis Raise</t>
        </is>
      </c>
      <c r="E535" s="22" t="n">
        <v>3</v>
      </c>
      <c r="F535" s="22" t="n">
        <v>15</v>
      </c>
      <c r="G535" s="38" t="n">
        <v>6.8</v>
      </c>
      <c r="H535" s="22" t="n">
        <v>5</v>
      </c>
      <c r="I535" s="25">
        <f>IF(OR(F535="",G535=""),"",F535*G535)</f>
        <v/>
      </c>
      <c r="J535" s="38">
        <f>IF(OR(F535="",G535=""),"",ROUND(G535*(1+F535/30),1))</f>
        <v/>
      </c>
      <c r="K535" s="26" t="n"/>
    </row>
    <row r="536" ht="18" customHeight="1">
      <c r="A536" s="35" t="n">
        <v>46317</v>
      </c>
      <c r="B536" s="16">
        <f>IF(A536="","",IFERROR(INT((A536-DATE(2026,4,27))/7)+1,""))</f>
        <v/>
      </c>
      <c r="C536" s="16" t="inlineStr">
        <is>
          <t>Gym Upper</t>
        </is>
      </c>
      <c r="D536" s="17" t="inlineStr">
        <is>
          <t>Hanging Knee Raise (BW)</t>
        </is>
      </c>
      <c r="E536" s="16" t="n">
        <v>1</v>
      </c>
      <c r="F536" s="16" t="n">
        <v>10</v>
      </c>
      <c r="G536" s="36" t="n"/>
      <c r="H536" s="16" t="n">
        <v>6</v>
      </c>
      <c r="I536" s="19">
        <f>IF(OR(F536="",G536=""),"",F536*G536)</f>
        <v/>
      </c>
      <c r="J536" s="36">
        <f>IF(OR(F536="",G536=""),"",ROUND(G536*(1+F536/30),1))</f>
        <v/>
      </c>
      <c r="K536" s="20" t="inlineStr">
        <is>
          <t>Gate met -&gt; 3x12.</t>
        </is>
      </c>
    </row>
    <row r="537" ht="18" customHeight="1">
      <c r="A537" s="37" t="n">
        <v>46317</v>
      </c>
      <c r="B537" s="22">
        <f>IF(A537="","",IFERROR(INT((A537-DATE(2026,4,27))/7)+1,""))</f>
        <v/>
      </c>
      <c r="C537" s="22" t="inlineStr">
        <is>
          <t>Gym Upper</t>
        </is>
      </c>
      <c r="D537" s="23" t="inlineStr">
        <is>
          <t>Hanging Knee Raise (BW)</t>
        </is>
      </c>
      <c r="E537" s="22" t="n">
        <v>2</v>
      </c>
      <c r="F537" s="22" t="n">
        <v>10</v>
      </c>
      <c r="G537" s="38" t="n"/>
      <c r="H537" s="22" t="n">
        <v>6</v>
      </c>
      <c r="I537" s="25">
        <f>IF(OR(F537="",G537=""),"",F537*G537)</f>
        <v/>
      </c>
      <c r="J537" s="38">
        <f>IF(OR(F537="",G537=""),"",ROUND(G537*(1+F537/30),1))</f>
        <v/>
      </c>
      <c r="K537" s="26" t="n"/>
    </row>
    <row r="538" ht="18" customHeight="1">
      <c r="A538" s="35" t="n">
        <v>46317</v>
      </c>
      <c r="B538" s="16">
        <f>IF(A538="","",IFERROR(INT((A538-DATE(2026,4,27))/7)+1,""))</f>
        <v/>
      </c>
      <c r="C538" s="16" t="inlineStr">
        <is>
          <t>Gym Upper</t>
        </is>
      </c>
      <c r="D538" s="17" t="inlineStr">
        <is>
          <t>Hanging Knee Raise (BW)</t>
        </is>
      </c>
      <c r="E538" s="16" t="n">
        <v>3</v>
      </c>
      <c r="F538" s="16" t="n">
        <v>10</v>
      </c>
      <c r="G538" s="36" t="n"/>
      <c r="H538" s="16" t="n">
        <v>6</v>
      </c>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 PM: Gym #3 upper DONE 20 sets / 3006 kg / avg RPE 5.8, all gates met; shin clean #52; bike 0, kcal 2344, protein 176, creatine Y.</t>
        </is>
      </c>
    </row>
    <row r="64" ht="18" customHeight="1">
      <c r="A64" s="37" t="n">
        <v>46318</v>
      </c>
      <c r="B64" s="16">
        <f>IF(A64="","",IFERROR(INT((A64-DATE(2026,4,27))/7)+1,""))</f>
        <v/>
      </c>
      <c r="C64" s="38" t="n">
        <v>76.90000000000001</v>
      </c>
      <c r="D64" s="38" t="n">
        <v>8.130000000000001</v>
      </c>
      <c r="E64" s="36" t="n"/>
      <c r="F64" s="36" t="n"/>
      <c r="G64" s="36" t="n"/>
      <c r="H64" s="36" t="n"/>
      <c r="I64" s="26" t="inlineStr">
        <is>
          <t>5K Wk 3 Fri (TT +2) - AM: sleep 8:08 (23:35-07:43) q8, RHR 44 (-1 vs 7d), mot 10/energy 10/stress 3, DOMS chest 3/shldr 3/back 2/arm 0 (Gym #3), quad 1/ham 1/glute 1/calf 1, tendons clean, SHIN CLEAN #53. BW 76.90 (-0.45 vs 77.35x2) water, no kcal change. Gate green -&gt; 4x1 k PR decider Fri PM, Sat fallback.</t>
        </is>
      </c>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2026-10-23T05:59:15Z</dcterms:modified>
</cp:coreProperties>
</file>