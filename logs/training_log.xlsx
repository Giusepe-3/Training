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7" t="n">
        <v>46310</v>
      </c>
      <c r="B504" s="22">
        <f>IF(A504="","",IFERROR(INT((A504-DATE(2026,4,27))/7)+1,""))</f>
        <v/>
      </c>
      <c r="C504" s="22" t="inlineStr">
        <is>
          <t>Gym Full Body</t>
        </is>
      </c>
      <c r="D504" s="23" t="inlineStr">
        <is>
          <t>Bench Press</t>
        </is>
      </c>
      <c r="E504" s="22" t="n">
        <v>1</v>
      </c>
      <c r="F504" s="22" t="n">
        <v>8</v>
      </c>
      <c r="G504" s="38" t="n">
        <v>25</v>
      </c>
      <c r="H504" s="22" t="n">
        <v>6</v>
      </c>
      <c r="I504" s="25">
        <f>IF(OR(F504="",G504=""),"",F504*G504)</f>
        <v/>
      </c>
      <c r="J504" s="38">
        <f>IF(OR(F504="",G504=""),"",ROUND(G504*(1+F504/30),1))</f>
        <v/>
      </c>
      <c r="K504" s="26" t="inlineStr">
        <is>
          <t>Gym #2. 3 of 4 sets. Hold 25 4x8.</t>
        </is>
      </c>
    </row>
    <row r="505" ht="18" customHeight="1">
      <c r="A505" s="37" t="n">
        <v>46310</v>
      </c>
      <c r="B505" s="22">
        <f>IF(A505="","",IFERROR(INT((A505-DATE(2026,4,27))/7)+1,""))</f>
        <v/>
      </c>
      <c r="C505" s="22" t="inlineStr">
        <is>
          <t>Gym Full Body</t>
        </is>
      </c>
      <c r="D505" s="23" t="inlineStr">
        <is>
          <t>Bench Press</t>
        </is>
      </c>
      <c r="E505" s="22" t="n">
        <v>2</v>
      </c>
      <c r="F505" s="22" t="n">
        <v>8</v>
      </c>
      <c r="G505" s="38" t="n">
        <v>25</v>
      </c>
      <c r="H505" s="22" t="n">
        <v>7</v>
      </c>
      <c r="I505" s="25">
        <f>IF(OR(F505="",G505=""),"",F505*G505)</f>
        <v/>
      </c>
      <c r="J505" s="38">
        <f>IF(OR(F505="",G505=""),"",ROUND(G505*(1+F505/30),1))</f>
        <v/>
      </c>
      <c r="K505" s="26" t="n"/>
    </row>
    <row r="506" ht="18" customHeight="1">
      <c r="A506" s="37" t="n">
        <v>46310</v>
      </c>
      <c r="B506" s="22">
        <f>IF(A506="","",IFERROR(INT((A506-DATE(2026,4,27))/7)+1,""))</f>
        <v/>
      </c>
      <c r="C506" s="22" t="inlineStr">
        <is>
          <t>Gym Full Body</t>
        </is>
      </c>
      <c r="D506" s="23" t="inlineStr">
        <is>
          <t>Bench Press</t>
        </is>
      </c>
      <c r="E506" s="22" t="n">
        <v>3</v>
      </c>
      <c r="F506" s="22" t="n">
        <v>8</v>
      </c>
      <c r="G506" s="38" t="n">
        <v>25</v>
      </c>
      <c r="H506" s="22" t="n">
        <v>7</v>
      </c>
      <c r="I506" s="25">
        <f>IF(OR(F506="",G506=""),"",F506*G506)</f>
        <v/>
      </c>
      <c r="J506" s="38">
        <f>IF(OR(F506="",G506=""),"",ROUND(G506*(1+F506/30),1))</f>
        <v/>
      </c>
      <c r="K506" s="26" t="n"/>
    </row>
    <row r="507" ht="18" customHeight="1">
      <c r="A507" s="37" t="n">
        <v>46310</v>
      </c>
      <c r="B507" s="22">
        <f>IF(A507="","",IFERROR(INT((A507-DATE(2026,4,27))/7)+1,""))</f>
        <v/>
      </c>
      <c r="C507" s="22" t="inlineStr">
        <is>
          <t>Gym Full Body</t>
        </is>
      </c>
      <c r="D507" s="23" t="inlineStr">
        <is>
          <t>Incline DB Press</t>
        </is>
      </c>
      <c r="E507" s="22" t="n">
        <v>1</v>
      </c>
      <c r="F507" s="22" t="n">
        <v>10</v>
      </c>
      <c r="G507" s="38" t="n">
        <v>6</v>
      </c>
      <c r="H507" s="22" t="n">
        <v>7</v>
      </c>
      <c r="I507" s="25">
        <f>IF(OR(F507="",G507=""),"",F507*G507)</f>
        <v/>
      </c>
      <c r="J507" s="38">
        <f>IF(OR(F507="",G507=""),"",ROUND(G507*(1+F507/30),1))</f>
        <v/>
      </c>
      <c r="K507" s="26" t="inlineStr">
        <is>
          <t>6/DB. 2 of 3 sets. Hold 3x10.</t>
        </is>
      </c>
    </row>
    <row r="508" ht="18" customHeight="1">
      <c r="A508" s="37" t="n">
        <v>46310</v>
      </c>
      <c r="B508" s="22">
        <f>IF(A508="","",IFERROR(INT((A508-DATE(2026,4,27))/7)+1,""))</f>
        <v/>
      </c>
      <c r="C508" s="22" t="inlineStr">
        <is>
          <t>Gym Full Body</t>
        </is>
      </c>
      <c r="D508" s="23" t="inlineStr">
        <is>
          <t>Incline DB Press</t>
        </is>
      </c>
      <c r="E508" s="22" t="n">
        <v>2</v>
      </c>
      <c r="F508" s="22" t="n">
        <v>10</v>
      </c>
      <c r="G508" s="38" t="n">
        <v>6</v>
      </c>
      <c r="H508" s="22" t="n">
        <v>7</v>
      </c>
      <c r="I508" s="25">
        <f>IF(OR(F508="",G508=""),"",F508*G508)</f>
        <v/>
      </c>
      <c r="J508" s="38">
        <f>IF(OR(F508="",G508=""),"",ROUND(G508*(1+F508/30),1))</f>
        <v/>
      </c>
      <c r="K508" s="26" t="n"/>
    </row>
    <row r="509" ht="18" customHeight="1">
      <c r="A509" s="37" t="n">
        <v>46310</v>
      </c>
      <c r="B509" s="22">
        <f>IF(A509="","",IFERROR(INT((A509-DATE(2026,4,27))/7)+1,""))</f>
        <v/>
      </c>
      <c r="C509" s="22" t="inlineStr">
        <is>
          <t>Gym Full Body</t>
        </is>
      </c>
      <c r="D509" s="23" t="inlineStr">
        <is>
          <t>Leg Extension</t>
        </is>
      </c>
      <c r="E509" s="22" t="n">
        <v>1</v>
      </c>
      <c r="F509" s="22" t="n">
        <v>10</v>
      </c>
      <c r="G509" s="38" t="n">
        <v>15</v>
      </c>
      <c r="H509" s="22" t="n">
        <v>6</v>
      </c>
      <c r="I509" s="25">
        <f>IF(OR(F509="",G509=""),"",F509*G509)</f>
        <v/>
      </c>
      <c r="J509" s="38">
        <f>IF(OR(F509="",G509=""),"",ROUND(G509*(1+F509/30),1))</f>
        <v/>
      </c>
      <c r="K509" s="26" t="inlineStr">
        <is>
          <t>Above seed 12.5, legs cap RPE 6. Hold.</t>
        </is>
      </c>
    </row>
    <row r="510" ht="18" customHeight="1">
      <c r="A510" s="37" t="n">
        <v>46310</v>
      </c>
      <c r="B510" s="22">
        <f>IF(A510="","",IFERROR(INT((A510-DATE(2026,4,27))/7)+1,""))</f>
        <v/>
      </c>
      <c r="C510" s="22" t="inlineStr">
        <is>
          <t>Gym Full Body</t>
        </is>
      </c>
      <c r="D510" s="23" t="inlineStr">
        <is>
          <t>Leg Extension</t>
        </is>
      </c>
      <c r="E510" s="22" t="n">
        <v>2</v>
      </c>
      <c r="F510" s="22" t="n">
        <v>10</v>
      </c>
      <c r="G510" s="38" t="n">
        <v>15</v>
      </c>
      <c r="H510" s="22" t="n">
        <v>6</v>
      </c>
      <c r="I510" s="25">
        <f>IF(OR(F510="",G510=""),"",F510*G510)</f>
        <v/>
      </c>
      <c r="J510" s="38">
        <f>IF(OR(F510="",G510=""),"",ROUND(G510*(1+F510/30),1))</f>
        <v/>
      </c>
      <c r="K510" s="26" t="n"/>
    </row>
    <row r="511" ht="18" customHeight="1">
      <c r="A511" s="37" t="n">
        <v>46310</v>
      </c>
      <c r="B511" s="22">
        <f>IF(A511="","",IFERROR(INT((A511-DATE(2026,4,27))/7)+1,""))</f>
        <v/>
      </c>
      <c r="C511" s="22" t="inlineStr">
        <is>
          <t>Gym Full Body</t>
        </is>
      </c>
      <c r="D511" s="23" t="inlineStr">
        <is>
          <t>Lying Leg Curl</t>
        </is>
      </c>
      <c r="E511" s="22" t="n">
        <v>1</v>
      </c>
      <c r="F511" s="22" t="n">
        <v>10</v>
      </c>
      <c r="G511" s="38" t="n">
        <v>16</v>
      </c>
      <c r="H511" s="22" t="n">
        <v>6</v>
      </c>
      <c r="I511" s="25">
        <f>IF(OR(F511="",G511=""),"",F511*G511)</f>
        <v/>
      </c>
      <c r="J511" s="38">
        <f>IF(OR(F511="",G511=""),"",ROUND(G511*(1+F511/30),1))</f>
        <v/>
      </c>
      <c r="K511" s="26" t="inlineStr">
        <is>
          <t>Above seed 10. Hold.</t>
        </is>
      </c>
    </row>
    <row r="512" ht="18" customHeight="1">
      <c r="A512" s="37" t="n">
        <v>46310</v>
      </c>
      <c r="B512" s="22">
        <f>IF(A512="","",IFERROR(INT((A512-DATE(2026,4,27))/7)+1,""))</f>
        <v/>
      </c>
      <c r="C512" s="22" t="inlineStr">
        <is>
          <t>Gym Full Body</t>
        </is>
      </c>
      <c r="D512" s="23" t="inlineStr">
        <is>
          <t>Lying Leg Curl</t>
        </is>
      </c>
      <c r="E512" s="22" t="n">
        <v>2</v>
      </c>
      <c r="F512" s="22" t="n">
        <v>10</v>
      </c>
      <c r="G512" s="38" t="n">
        <v>16</v>
      </c>
      <c r="H512" s="22" t="n">
        <v>6</v>
      </c>
      <c r="I512" s="25">
        <f>IF(OR(F512="",G512=""),"",F512*G512)</f>
        <v/>
      </c>
      <c r="J512" s="38">
        <f>IF(OR(F512="",G512=""),"",ROUND(G512*(1+F512/30),1))</f>
        <v/>
      </c>
      <c r="K512" s="26" t="n"/>
    </row>
    <row r="513" ht="18" customHeight="1">
      <c r="A513" s="37" t="n">
        <v>46310</v>
      </c>
      <c r="B513" s="22">
        <f>IF(A513="","",IFERROR(INT((A513-DATE(2026,4,27))/7)+1,""))</f>
        <v/>
      </c>
      <c r="C513" s="22" t="inlineStr">
        <is>
          <t>Gym Full Body</t>
        </is>
      </c>
      <c r="D513" s="23" t="inlineStr">
        <is>
          <t>Tibialis Raise</t>
        </is>
      </c>
      <c r="E513" s="22" t="n">
        <v>1</v>
      </c>
      <c r="F513" s="22" t="n">
        <v>15</v>
      </c>
      <c r="G513" s="38" t="n">
        <v>6.8</v>
      </c>
      <c r="H513" s="22" t="n">
        <v>7</v>
      </c>
      <c r="I513" s="25">
        <f>IF(OR(F513="",G513=""),"",F513*G513)</f>
        <v/>
      </c>
      <c r="J513" s="38">
        <f>IF(OR(F513="",G513=""),"",ROUND(G513*(1+F513/30),1))</f>
        <v/>
      </c>
      <c r="K513" s="26" t="inlineStr">
        <is>
          <t>6.8 kg (seed 2.5). Hold.</t>
        </is>
      </c>
    </row>
    <row r="514" ht="18" customHeight="1">
      <c r="A514" s="37" t="n">
        <v>46310</v>
      </c>
      <c r="B514" s="22">
        <f>IF(A514="","",IFERROR(INT((A514-DATE(2026,4,27))/7)+1,""))</f>
        <v/>
      </c>
      <c r="C514" s="22" t="inlineStr">
        <is>
          <t>Gym Full Body</t>
        </is>
      </c>
      <c r="D514" s="23" t="inlineStr">
        <is>
          <t>Tibialis Raise</t>
        </is>
      </c>
      <c r="E514" s="22" t="n">
        <v>2</v>
      </c>
      <c r="F514" s="22" t="n">
        <v>15</v>
      </c>
      <c r="G514" s="38" t="n">
        <v>6.8</v>
      </c>
      <c r="H514" s="22" t="n">
        <v>7</v>
      </c>
      <c r="I514" s="25">
        <f>IF(OR(F514="",G514=""),"",F514*G514)</f>
        <v/>
      </c>
      <c r="J514" s="38">
        <f>IF(OR(F514="",G514=""),"",ROUND(G514*(1+F514/30),1))</f>
        <v/>
      </c>
      <c r="K514" s="26" t="n"/>
    </row>
    <row r="515" ht="18" customHeight="1">
      <c r="A515" s="37" t="n">
        <v>46310</v>
      </c>
      <c r="B515" s="22">
        <f>IF(A515="","",IFERROR(INT((A515-DATE(2026,4,27))/7)+1,""))</f>
        <v/>
      </c>
      <c r="C515" s="22" t="inlineStr">
        <is>
          <t>Gym Full Body</t>
        </is>
      </c>
      <c r="D515" s="23" t="inlineStr">
        <is>
          <t>Tibialis Raise</t>
        </is>
      </c>
      <c r="E515" s="22" t="n">
        <v>3</v>
      </c>
      <c r="F515" s="22" t="n">
        <v>15</v>
      </c>
      <c r="G515" s="38" t="n">
        <v>6.8</v>
      </c>
      <c r="H515" s="22" t="n">
        <v>7</v>
      </c>
      <c r="I515" s="25">
        <f>IF(OR(F515="",G515=""),"",F515*G515)</f>
        <v/>
      </c>
      <c r="J515" s="38">
        <f>IF(OR(F515="",G515=""),"",ROUND(G515*(1+F515/30),1))</f>
        <v/>
      </c>
      <c r="K515" s="26" t="n"/>
    </row>
    <row r="516" ht="18" customHeight="1">
      <c r="A516" s="37" t="n">
        <v>46310</v>
      </c>
      <c r="B516" s="22">
        <f>IF(A516="","",IFERROR(INT((A516-DATE(2026,4,27))/7)+1,""))</f>
        <v/>
      </c>
      <c r="C516" s="22" t="inlineStr">
        <is>
          <t>Gym Full Body</t>
        </is>
      </c>
      <c r="D516" s="23" t="inlineStr">
        <is>
          <t>Hanging Knee Raise (BW)</t>
        </is>
      </c>
      <c r="E516" s="22" t="n">
        <v>1</v>
      </c>
      <c r="F516" s="22" t="n">
        <v>8</v>
      </c>
      <c r="G516" s="38" t="n"/>
      <c r="H516" s="22" t="n">
        <v>6</v>
      </c>
      <c r="I516" s="25">
        <f>IF(OR(F516="",G516=""),"",F516*G516)</f>
        <v/>
      </c>
      <c r="J516" s="38">
        <f>IF(OR(F516="",G516=""),"",ROUND(G516*(1+F516/30),1))</f>
        <v/>
      </c>
      <c r="K516" s="26" t="inlineStr">
        <is>
          <t>Next 3x10.</t>
        </is>
      </c>
    </row>
    <row r="517" ht="18" customHeight="1">
      <c r="A517" s="37" t="n">
        <v>46310</v>
      </c>
      <c r="B517" s="22">
        <f>IF(A517="","",IFERROR(INT((A517-DATE(2026,4,27))/7)+1,""))</f>
        <v/>
      </c>
      <c r="C517" s="22" t="inlineStr">
        <is>
          <t>Gym Full Body</t>
        </is>
      </c>
      <c r="D517" s="23" t="inlineStr">
        <is>
          <t>Hanging Knee Raise (BW)</t>
        </is>
      </c>
      <c r="E517" s="22" t="n">
        <v>2</v>
      </c>
      <c r="F517" s="22" t="n">
        <v>8</v>
      </c>
      <c r="G517" s="38" t="n"/>
      <c r="H517" s="22" t="n">
        <v>6</v>
      </c>
      <c r="I517" s="25">
        <f>IF(OR(F517="",G517=""),"",F517*G517)</f>
        <v/>
      </c>
      <c r="J517" s="38">
        <f>IF(OR(F517="",G517=""),"",ROUND(G517*(1+F517/30),1))</f>
        <v/>
      </c>
      <c r="K517" s="26" t="n"/>
    </row>
    <row r="518" ht="18" customHeight="1">
      <c r="A518" s="37" t="n">
        <v>46310</v>
      </c>
      <c r="B518" s="22">
        <f>IF(A518="","",IFERROR(INT((A518-DATE(2026,4,27))/7)+1,""))</f>
        <v/>
      </c>
      <c r="C518" s="22" t="inlineStr">
        <is>
          <t>Gym Full Body</t>
        </is>
      </c>
      <c r="D518" s="23" t="inlineStr">
        <is>
          <t>Hanging Knee Raise (BW)</t>
        </is>
      </c>
      <c r="E518" s="22" t="n">
        <v>3</v>
      </c>
      <c r="F518" s="22" t="n">
        <v>8</v>
      </c>
      <c r="G518" s="38" t="n"/>
      <c r="H518" s="22" t="n">
        <v>6</v>
      </c>
      <c r="I518" s="25">
        <f>IF(OR(F518="",G518=""),"",F518*G518)</f>
        <v/>
      </c>
      <c r="J518" s="38">
        <f>IF(OR(F518="",G518=""),"",ROUND(G518*(1+F518/30),1))</f>
        <v/>
      </c>
      <c r="K518" s="26"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5" t="n">
        <v>46310</v>
      </c>
      <c r="B31" s="16">
        <f>IF(A31="","",IFERROR(INT((A31-DATE(2026,4,27))/7)+1,""))</f>
        <v/>
      </c>
      <c r="C31" s="27" t="n">
        <v>4.02</v>
      </c>
      <c r="D31" s="36" t="n">
        <v>28.85</v>
      </c>
      <c r="E31" s="16">
        <f>IF(OR(C31="",D31=""),"",TEXT(D31/C31/1440,"m:ss"))</f>
        <v/>
      </c>
      <c r="F31" s="16" t="n">
        <v>142</v>
      </c>
      <c r="G31" s="16" t="n">
        <v>157</v>
      </c>
      <c r="H31" s="16" t="n"/>
      <c r="I31" s="16" t="inlineStr">
        <is>
          <t>Easy</t>
        </is>
      </c>
      <c r="J31" s="20" t="inlineStr">
        <is>
          <t>5K Wk 2 Thu - EASY 4 k, AM 07:49 (gym 19:45). Moving 28:51 (7:11), elapsed 29:36. Laps 7:05@124 / 7:00@147 / 7:34@146 / 7:05@151. Cadence ~160-163 (under floor). No pain - SHIN CLEAN #47. Strava 20591443035.</t>
        </is>
      </c>
      <c r="K31" t="n">
        <v>0</v>
      </c>
    </row>
    <row r="32" ht="18" customHeight="1">
      <c r="A32" s="35" t="n">
        <v>46312</v>
      </c>
      <c r="B32" s="16">
        <f>IF(A32="","",IFERROR(INT((A32-DATE(2026,4,27))/7)+1,""))</f>
        <v/>
      </c>
      <c r="C32" s="27" t="n">
        <v>6.82</v>
      </c>
      <c r="D32" s="36" t="n">
        <v>42.5</v>
      </c>
      <c r="E32" s="16">
        <f>IF(OR(C32="",D32=""),"",TEXT(D32/C32/1440,"m:ss"))</f>
        <v/>
      </c>
      <c r="F32" s="16" t="n">
        <v>161</v>
      </c>
      <c r="G32" s="16" t="n">
        <v>184</v>
      </c>
      <c r="H32" s="16" t="n">
        <v>6</v>
      </c>
      <c r="I32" s="16" t="inlineStr">
        <is>
          <t>Threshold</t>
        </is>
      </c>
      <c r="J32" s="20" t="inlineStr">
        <is>
          <t>5K Wk 2 Sat - THRESHOLD 2x2 k, 13:51 Sonderborg flat road. Moving 42:30, elapsed 45:23. WU ~2.4 k + 3 strides. Rep 1 ~5:27, rep 2 ~5:29 (stream est., moving; ~35 s pause in each) vs 5:35-5:40 = RAN HOT. HR 177-184 vs cap 175 (~10 bpm over 10/6 at similar pace). CD skipped. Cadence reps 164-168. RPE 6, felt good. SHIN CLEAN #48. Strava 20620965276.</t>
        </is>
      </c>
      <c r="K32" t="n">
        <v>0</v>
      </c>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2026-10-17T12:57:51Z</dcterms:modified>
</cp:coreProperties>
</file>